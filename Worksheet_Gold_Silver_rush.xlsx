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Metadata/LabelInfo.xml" ContentType="application/vnd.ms-office.classificationlabel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microsoft.com/office/2011/relationships/webextensiontaskpanes" Target="xl/webextensions/taskpanes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swinburneeduau-my.sharepoint.com/personal/xtian_swin_edu_au/Documents/Documents/Industry and Media Engagement/Media/The Conversation Articles/Gold and Silver/"/>
    </mc:Choice>
  </mc:AlternateContent>
  <xr:revisionPtr revIDLastSave="475" documentId="8_{59DFC7C4-B7C4-4D74-BC93-E9EE0A7B4469}" xr6:coauthVersionLast="47" xr6:coauthVersionMax="47" xr10:uidLastSave="{36570DB2-8672-4449-BF8E-A01A2D9E86F5}"/>
  <bookViews>
    <workbookView xWindow="-120" yWindow="-120" windowWidth="51840" windowHeight="21120" activeTab="8" xr2:uid="{01E671F4-5432-402A-8A7A-F31841F82CA3}"/>
  </bookViews>
  <sheets>
    <sheet name="Graphs" sheetId="12" r:id="rId1"/>
    <sheet name="Price-&gt;&gt;" sheetId="6" r:id="rId2"/>
    <sheet name="Gold" sheetId="2" r:id="rId3"/>
    <sheet name="Silver" sheetId="3" r:id="rId4"/>
    <sheet name="Platium" sheetId="4" r:id="rId5"/>
    <sheet name="Palladium" sheetId="5" r:id="rId6"/>
    <sheet name="Retail Trade-&gt;&gt;" sheetId="7" r:id="rId7"/>
    <sheet name="List of ETFs used" sheetId="8" r:id="rId8"/>
    <sheet name="Commsec" sheetId="11" r:id="rId9"/>
    <sheet name="Raw data" sheetId="10" r:id="rId10"/>
  </sheets>
  <definedNames>
    <definedName name="_xlnm._FilterDatabase" localSheetId="9" hidden="1">'Raw data'!$A$1:$W$1773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X33" i="12" l="1"/>
  <c r="AY33" i="12"/>
  <c r="AZ33" i="12"/>
  <c r="BA33" i="12"/>
  <c r="AW33" i="12"/>
  <c r="F4" i="12"/>
  <c r="G4" i="12"/>
  <c r="H4" i="12"/>
  <c r="I4" i="12"/>
  <c r="F5" i="12"/>
  <c r="G5" i="12"/>
  <c r="H5" i="12"/>
  <c r="I5" i="12"/>
  <c r="F6" i="12"/>
  <c r="G6" i="12"/>
  <c r="H6" i="12"/>
  <c r="I6" i="12"/>
  <c r="F7" i="12"/>
  <c r="G7" i="12"/>
  <c r="H7" i="12"/>
  <c r="I7" i="12"/>
  <c r="F8" i="12"/>
  <c r="G8" i="12"/>
  <c r="H8" i="12"/>
  <c r="I8" i="12"/>
  <c r="F9" i="12"/>
  <c r="G9" i="12"/>
  <c r="H9" i="12"/>
  <c r="I9" i="12"/>
  <c r="F10" i="12"/>
  <c r="G10" i="12"/>
  <c r="H10" i="12"/>
  <c r="I10" i="12"/>
  <c r="F11" i="12"/>
  <c r="G11" i="12"/>
  <c r="H11" i="12"/>
  <c r="I11" i="12"/>
  <c r="F12" i="12"/>
  <c r="G12" i="12"/>
  <c r="H12" i="12"/>
  <c r="I12" i="12"/>
  <c r="F13" i="12"/>
  <c r="G13" i="12"/>
  <c r="H13" i="12"/>
  <c r="I13" i="12"/>
  <c r="F14" i="12"/>
  <c r="G14" i="12"/>
  <c r="H14" i="12"/>
  <c r="I14" i="12"/>
  <c r="F15" i="12"/>
  <c r="G15" i="12"/>
  <c r="H15" i="12"/>
  <c r="I15" i="12"/>
  <c r="F16" i="12"/>
  <c r="G16" i="12"/>
  <c r="H16" i="12"/>
  <c r="I16" i="12"/>
  <c r="F17" i="12"/>
  <c r="G17" i="12"/>
  <c r="H17" i="12"/>
  <c r="I17" i="12"/>
  <c r="F18" i="12"/>
  <c r="G18" i="12"/>
  <c r="H18" i="12"/>
  <c r="I18" i="12"/>
  <c r="F19" i="12"/>
  <c r="G19" i="12"/>
  <c r="H19" i="12"/>
  <c r="I19" i="12"/>
  <c r="F20" i="12"/>
  <c r="G20" i="12"/>
  <c r="H20" i="12"/>
  <c r="I20" i="12"/>
  <c r="F21" i="12"/>
  <c r="G21" i="12"/>
  <c r="H21" i="12"/>
  <c r="I21" i="12"/>
  <c r="F22" i="12"/>
  <c r="G22" i="12"/>
  <c r="H22" i="12"/>
  <c r="I22" i="12"/>
  <c r="F23" i="12"/>
  <c r="G23" i="12"/>
  <c r="H23" i="12"/>
  <c r="I23" i="12"/>
  <c r="F24" i="12"/>
  <c r="G24" i="12"/>
  <c r="H24" i="12"/>
  <c r="I24" i="12"/>
  <c r="F25" i="12"/>
  <c r="G25" i="12"/>
  <c r="H25" i="12"/>
  <c r="I25" i="12"/>
  <c r="F26" i="12"/>
  <c r="G26" i="12"/>
  <c r="H26" i="12"/>
  <c r="I26" i="12"/>
  <c r="F27" i="12"/>
  <c r="G27" i="12"/>
  <c r="H27" i="12"/>
  <c r="I27" i="12"/>
  <c r="F28" i="12"/>
  <c r="G28" i="12"/>
  <c r="H28" i="12"/>
  <c r="I28" i="12"/>
  <c r="F29" i="12"/>
  <c r="G29" i="12"/>
  <c r="H29" i="12"/>
  <c r="I29" i="12"/>
  <c r="F30" i="12"/>
  <c r="G30" i="12"/>
  <c r="H30" i="12"/>
  <c r="I30" i="12"/>
  <c r="F31" i="12"/>
  <c r="G31" i="12"/>
  <c r="H31" i="12"/>
  <c r="I31" i="12"/>
  <c r="F32" i="12"/>
  <c r="G32" i="12"/>
  <c r="H32" i="12"/>
  <c r="I32" i="12"/>
  <c r="F33" i="12"/>
  <c r="G33" i="12"/>
  <c r="H33" i="12"/>
  <c r="I33" i="12"/>
  <c r="F34" i="12"/>
  <c r="G34" i="12"/>
  <c r="H34" i="12"/>
  <c r="I34" i="12"/>
  <c r="F35" i="12"/>
  <c r="G35" i="12"/>
  <c r="H35" i="12"/>
  <c r="I35" i="12"/>
  <c r="F36" i="12"/>
  <c r="G36" i="12"/>
  <c r="H36" i="12"/>
  <c r="I36" i="12"/>
  <c r="F37" i="12"/>
  <c r="G37" i="12"/>
  <c r="H37" i="12"/>
  <c r="I37" i="12"/>
  <c r="F38" i="12"/>
  <c r="G38" i="12"/>
  <c r="H38" i="12"/>
  <c r="I38" i="12"/>
  <c r="F39" i="12"/>
  <c r="G39" i="12"/>
  <c r="H39" i="12"/>
  <c r="I39" i="12"/>
  <c r="F40" i="12"/>
  <c r="G40" i="12"/>
  <c r="H40" i="12"/>
  <c r="I40" i="12"/>
  <c r="F41" i="12"/>
  <c r="G41" i="12"/>
  <c r="H41" i="12"/>
  <c r="I41" i="12"/>
  <c r="F42" i="12"/>
  <c r="G42" i="12"/>
  <c r="H42" i="12"/>
  <c r="I42" i="12"/>
  <c r="F43" i="12"/>
  <c r="G43" i="12"/>
  <c r="H43" i="12"/>
  <c r="I43" i="12"/>
  <c r="F44" i="12"/>
  <c r="G44" i="12"/>
  <c r="H44" i="12"/>
  <c r="I44" i="12"/>
  <c r="F45" i="12"/>
  <c r="G45" i="12"/>
  <c r="H45" i="12"/>
  <c r="I45" i="12"/>
  <c r="F46" i="12"/>
  <c r="G46" i="12"/>
  <c r="H46" i="12"/>
  <c r="I46" i="12"/>
  <c r="F47" i="12"/>
  <c r="G47" i="12"/>
  <c r="H47" i="12"/>
  <c r="I47" i="12"/>
  <c r="F48" i="12"/>
  <c r="G48" i="12"/>
  <c r="H48" i="12"/>
  <c r="I48" i="12"/>
  <c r="F49" i="12"/>
  <c r="G49" i="12"/>
  <c r="H49" i="12"/>
  <c r="I49" i="12"/>
  <c r="F50" i="12"/>
  <c r="G50" i="12"/>
  <c r="H50" i="12"/>
  <c r="I50" i="12"/>
  <c r="F51" i="12"/>
  <c r="G51" i="12"/>
  <c r="H51" i="12"/>
  <c r="I51" i="12"/>
  <c r="F52" i="12"/>
  <c r="G52" i="12"/>
  <c r="H52" i="12"/>
  <c r="I52" i="12"/>
  <c r="F53" i="12"/>
  <c r="G53" i="12"/>
  <c r="H53" i="12"/>
  <c r="I53" i="12"/>
  <c r="F54" i="12"/>
  <c r="G54" i="12"/>
  <c r="H54" i="12"/>
  <c r="I54" i="12"/>
  <c r="F55" i="12"/>
  <c r="G55" i="12"/>
  <c r="H55" i="12"/>
  <c r="I55" i="12"/>
  <c r="F56" i="12"/>
  <c r="G56" i="12"/>
  <c r="H56" i="12"/>
  <c r="I56" i="12"/>
  <c r="F57" i="12"/>
  <c r="G57" i="12"/>
  <c r="H57" i="12"/>
  <c r="I57" i="12"/>
  <c r="F58" i="12"/>
  <c r="G58" i="12"/>
  <c r="H58" i="12"/>
  <c r="I58" i="12"/>
  <c r="F59" i="12"/>
  <c r="G59" i="12"/>
  <c r="H59" i="12"/>
  <c r="I59" i="12"/>
  <c r="F60" i="12"/>
  <c r="G60" i="12"/>
  <c r="H60" i="12"/>
  <c r="I60" i="12"/>
  <c r="F61" i="12"/>
  <c r="G61" i="12"/>
  <c r="H61" i="12"/>
  <c r="I61" i="12"/>
  <c r="F62" i="12"/>
  <c r="G62" i="12"/>
  <c r="H62" i="12"/>
  <c r="I62" i="12"/>
  <c r="F63" i="12"/>
  <c r="G63" i="12"/>
  <c r="H63" i="12"/>
  <c r="I63" i="12"/>
  <c r="F64" i="12"/>
  <c r="G64" i="12"/>
  <c r="H64" i="12"/>
  <c r="I64" i="12"/>
  <c r="F65" i="12"/>
  <c r="G65" i="12"/>
  <c r="H65" i="12"/>
  <c r="I65" i="12"/>
  <c r="F66" i="12"/>
  <c r="G66" i="12"/>
  <c r="H66" i="12"/>
  <c r="I66" i="12"/>
  <c r="F67" i="12"/>
  <c r="G67" i="12"/>
  <c r="H67" i="12"/>
  <c r="I67" i="12"/>
  <c r="F68" i="12"/>
  <c r="G68" i="12"/>
  <c r="H68" i="12"/>
  <c r="I68" i="12"/>
  <c r="F69" i="12"/>
  <c r="G69" i="12"/>
  <c r="H69" i="12"/>
  <c r="I69" i="12"/>
  <c r="F70" i="12"/>
  <c r="G70" i="12"/>
  <c r="H70" i="12"/>
  <c r="I70" i="12"/>
  <c r="F71" i="12"/>
  <c r="G71" i="12"/>
  <c r="H71" i="12"/>
  <c r="I71" i="12"/>
  <c r="F72" i="12"/>
  <c r="G72" i="12"/>
  <c r="H72" i="12"/>
  <c r="I72" i="12"/>
  <c r="F73" i="12"/>
  <c r="G73" i="12"/>
  <c r="H73" i="12"/>
  <c r="I73" i="12"/>
  <c r="F74" i="12"/>
  <c r="G74" i="12"/>
  <c r="H74" i="12"/>
  <c r="I74" i="12"/>
  <c r="F75" i="12"/>
  <c r="G75" i="12"/>
  <c r="H75" i="12"/>
  <c r="I75" i="12"/>
  <c r="F76" i="12"/>
  <c r="G76" i="12"/>
  <c r="H76" i="12"/>
  <c r="I76" i="12"/>
  <c r="F77" i="12"/>
  <c r="G77" i="12"/>
  <c r="H77" i="12"/>
  <c r="I77" i="12"/>
  <c r="F78" i="12"/>
  <c r="G78" i="12"/>
  <c r="H78" i="12"/>
  <c r="I78" i="12"/>
  <c r="F79" i="12"/>
  <c r="G79" i="12"/>
  <c r="H79" i="12"/>
  <c r="I79" i="12"/>
  <c r="F80" i="12"/>
  <c r="G80" i="12"/>
  <c r="H80" i="12"/>
  <c r="I80" i="12"/>
  <c r="F81" i="12"/>
  <c r="G81" i="12"/>
  <c r="H81" i="12"/>
  <c r="I81" i="12"/>
  <c r="F82" i="12"/>
  <c r="G82" i="12"/>
  <c r="H82" i="12"/>
  <c r="I82" i="12"/>
  <c r="F83" i="12"/>
  <c r="G83" i="12"/>
  <c r="H83" i="12"/>
  <c r="I83" i="12"/>
  <c r="F84" i="12"/>
  <c r="G84" i="12"/>
  <c r="H84" i="12"/>
  <c r="I84" i="12"/>
  <c r="F85" i="12"/>
  <c r="G85" i="12"/>
  <c r="H85" i="12"/>
  <c r="I85" i="12"/>
  <c r="F86" i="12"/>
  <c r="G86" i="12"/>
  <c r="H86" i="12"/>
  <c r="I86" i="12"/>
  <c r="F87" i="12"/>
  <c r="G87" i="12"/>
  <c r="H87" i="12"/>
  <c r="I87" i="12"/>
  <c r="F88" i="12"/>
  <c r="G88" i="12"/>
  <c r="H88" i="12"/>
  <c r="I88" i="12"/>
  <c r="F89" i="12"/>
  <c r="G89" i="12"/>
  <c r="H89" i="12"/>
  <c r="I89" i="12"/>
  <c r="F90" i="12"/>
  <c r="G90" i="12"/>
  <c r="H90" i="12"/>
  <c r="I90" i="12"/>
  <c r="F91" i="12"/>
  <c r="G91" i="12"/>
  <c r="H91" i="12"/>
  <c r="I91" i="12"/>
  <c r="F92" i="12"/>
  <c r="G92" i="12"/>
  <c r="H92" i="12"/>
  <c r="I92" i="12"/>
  <c r="F93" i="12"/>
  <c r="G93" i="12"/>
  <c r="H93" i="12"/>
  <c r="I93" i="12"/>
  <c r="F94" i="12"/>
  <c r="G94" i="12"/>
  <c r="H94" i="12"/>
  <c r="I94" i="12"/>
  <c r="F95" i="12"/>
  <c r="G95" i="12"/>
  <c r="H95" i="12"/>
  <c r="I95" i="12"/>
  <c r="F96" i="12"/>
  <c r="G96" i="12"/>
  <c r="H96" i="12"/>
  <c r="I96" i="12"/>
  <c r="F97" i="12"/>
  <c r="G97" i="12"/>
  <c r="H97" i="12"/>
  <c r="I97" i="12"/>
  <c r="F98" i="12"/>
  <c r="G98" i="12"/>
  <c r="H98" i="12"/>
  <c r="I98" i="12"/>
  <c r="F99" i="12"/>
  <c r="G99" i="12"/>
  <c r="H99" i="12"/>
  <c r="I99" i="12"/>
  <c r="F100" i="12"/>
  <c r="G100" i="12"/>
  <c r="H100" i="12"/>
  <c r="I100" i="12"/>
  <c r="F101" i="12"/>
  <c r="G101" i="12"/>
  <c r="H101" i="12"/>
  <c r="I101" i="12"/>
  <c r="F102" i="12"/>
  <c r="G102" i="12"/>
  <c r="H102" i="12"/>
  <c r="I102" i="12"/>
  <c r="F103" i="12"/>
  <c r="G103" i="12"/>
  <c r="H103" i="12"/>
  <c r="I103" i="12"/>
  <c r="F104" i="12"/>
  <c r="G104" i="12"/>
  <c r="H104" i="12"/>
  <c r="I104" i="12"/>
  <c r="F105" i="12"/>
  <c r="G105" i="12"/>
  <c r="H105" i="12"/>
  <c r="I105" i="12"/>
  <c r="F106" i="12"/>
  <c r="G106" i="12"/>
  <c r="H106" i="12"/>
  <c r="I106" i="12"/>
  <c r="F107" i="12"/>
  <c r="G107" i="12"/>
  <c r="H107" i="12"/>
  <c r="I107" i="12"/>
  <c r="F108" i="12"/>
  <c r="G108" i="12"/>
  <c r="H108" i="12"/>
  <c r="I108" i="12"/>
  <c r="F109" i="12"/>
  <c r="G109" i="12"/>
  <c r="H109" i="12"/>
  <c r="I109" i="12"/>
  <c r="F110" i="12"/>
  <c r="G110" i="12"/>
  <c r="H110" i="12"/>
  <c r="I110" i="12"/>
  <c r="F111" i="12"/>
  <c r="G111" i="12"/>
  <c r="H111" i="12"/>
  <c r="I111" i="12"/>
  <c r="F112" i="12"/>
  <c r="G112" i="12"/>
  <c r="H112" i="12"/>
  <c r="I112" i="12"/>
  <c r="F113" i="12"/>
  <c r="G113" i="12"/>
  <c r="H113" i="12"/>
  <c r="I113" i="12"/>
  <c r="F114" i="12"/>
  <c r="G114" i="12"/>
  <c r="H114" i="12"/>
  <c r="I114" i="12"/>
  <c r="F115" i="12"/>
  <c r="G115" i="12"/>
  <c r="H115" i="12"/>
  <c r="I115" i="12"/>
  <c r="F116" i="12"/>
  <c r="G116" i="12"/>
  <c r="H116" i="12"/>
  <c r="I116" i="12"/>
  <c r="F117" i="12"/>
  <c r="G117" i="12"/>
  <c r="H117" i="12"/>
  <c r="I117" i="12"/>
  <c r="F118" i="12"/>
  <c r="G118" i="12"/>
  <c r="H118" i="12"/>
  <c r="I118" i="12"/>
  <c r="F119" i="12"/>
  <c r="G119" i="12"/>
  <c r="H119" i="12"/>
  <c r="I119" i="12"/>
  <c r="F120" i="12"/>
  <c r="G120" i="12"/>
  <c r="H120" i="12"/>
  <c r="I120" i="12"/>
  <c r="F121" i="12"/>
  <c r="G121" i="12"/>
  <c r="H121" i="12"/>
  <c r="I121" i="12"/>
  <c r="F122" i="12"/>
  <c r="G122" i="12"/>
  <c r="H122" i="12"/>
  <c r="I122" i="12"/>
  <c r="F123" i="12"/>
  <c r="G123" i="12"/>
  <c r="H123" i="12"/>
  <c r="I123" i="12"/>
  <c r="F124" i="12"/>
  <c r="G124" i="12"/>
  <c r="H124" i="12"/>
  <c r="I124" i="12"/>
  <c r="F125" i="12"/>
  <c r="G125" i="12"/>
  <c r="H125" i="12"/>
  <c r="I125" i="12"/>
  <c r="F126" i="12"/>
  <c r="G126" i="12"/>
  <c r="H126" i="12"/>
  <c r="I126" i="12"/>
  <c r="F127" i="12"/>
  <c r="G127" i="12"/>
  <c r="H127" i="12"/>
  <c r="I127" i="12"/>
  <c r="F128" i="12"/>
  <c r="G128" i="12"/>
  <c r="H128" i="12"/>
  <c r="I128" i="12"/>
  <c r="F129" i="12"/>
  <c r="G129" i="12"/>
  <c r="H129" i="12"/>
  <c r="I129" i="12"/>
  <c r="F130" i="12"/>
  <c r="G130" i="12"/>
  <c r="H130" i="12"/>
  <c r="I130" i="12"/>
  <c r="F131" i="12"/>
  <c r="G131" i="12"/>
  <c r="H131" i="12"/>
  <c r="I131" i="12"/>
  <c r="F132" i="12"/>
  <c r="G132" i="12"/>
  <c r="H132" i="12"/>
  <c r="I132" i="12"/>
  <c r="F133" i="12"/>
  <c r="G133" i="12"/>
  <c r="H133" i="12"/>
  <c r="I133" i="12"/>
  <c r="F134" i="12"/>
  <c r="G134" i="12"/>
  <c r="H134" i="12"/>
  <c r="I134" i="12"/>
  <c r="F135" i="12"/>
  <c r="G135" i="12"/>
  <c r="H135" i="12"/>
  <c r="I135" i="12"/>
  <c r="F136" i="12"/>
  <c r="G136" i="12"/>
  <c r="H136" i="12"/>
  <c r="I136" i="12"/>
  <c r="F137" i="12"/>
  <c r="G137" i="12"/>
  <c r="H137" i="12"/>
  <c r="I137" i="12"/>
  <c r="F138" i="12"/>
  <c r="G138" i="12"/>
  <c r="H138" i="12"/>
  <c r="I138" i="12"/>
  <c r="F139" i="12"/>
  <c r="G139" i="12"/>
  <c r="H139" i="12"/>
  <c r="I139" i="12"/>
  <c r="F140" i="12"/>
  <c r="G140" i="12"/>
  <c r="H140" i="12"/>
  <c r="I140" i="12"/>
  <c r="F141" i="12"/>
  <c r="G141" i="12"/>
  <c r="H141" i="12"/>
  <c r="I141" i="12"/>
  <c r="F142" i="12"/>
  <c r="G142" i="12"/>
  <c r="H142" i="12"/>
  <c r="I142" i="12"/>
  <c r="F143" i="12"/>
  <c r="G143" i="12"/>
  <c r="H143" i="12"/>
  <c r="I143" i="12"/>
  <c r="F144" i="12"/>
  <c r="G144" i="12"/>
  <c r="H144" i="12"/>
  <c r="I144" i="12"/>
  <c r="F145" i="12"/>
  <c r="G145" i="12"/>
  <c r="H145" i="12"/>
  <c r="I145" i="12"/>
  <c r="F146" i="12"/>
  <c r="G146" i="12"/>
  <c r="H146" i="12"/>
  <c r="I146" i="12"/>
  <c r="F147" i="12"/>
  <c r="G147" i="12"/>
  <c r="H147" i="12"/>
  <c r="I147" i="12"/>
  <c r="F148" i="12"/>
  <c r="G148" i="12"/>
  <c r="H148" i="12"/>
  <c r="I148" i="12"/>
  <c r="F149" i="12"/>
  <c r="G149" i="12"/>
  <c r="H149" i="12"/>
  <c r="I149" i="12"/>
  <c r="F150" i="12"/>
  <c r="G150" i="12"/>
  <c r="H150" i="12"/>
  <c r="I150" i="12"/>
  <c r="F151" i="12"/>
  <c r="G151" i="12"/>
  <c r="H151" i="12"/>
  <c r="I151" i="12"/>
  <c r="F152" i="12"/>
  <c r="G152" i="12"/>
  <c r="H152" i="12"/>
  <c r="I152" i="12"/>
  <c r="F153" i="12"/>
  <c r="G153" i="12"/>
  <c r="H153" i="12"/>
  <c r="I153" i="12"/>
  <c r="F154" i="12"/>
  <c r="G154" i="12"/>
  <c r="H154" i="12"/>
  <c r="I154" i="12"/>
  <c r="F155" i="12"/>
  <c r="G155" i="12"/>
  <c r="H155" i="12"/>
  <c r="I155" i="12"/>
  <c r="F156" i="12"/>
  <c r="G156" i="12"/>
  <c r="H156" i="12"/>
  <c r="I156" i="12"/>
  <c r="F157" i="12"/>
  <c r="G157" i="12"/>
  <c r="H157" i="12"/>
  <c r="I157" i="12"/>
  <c r="F158" i="12"/>
  <c r="G158" i="12"/>
  <c r="H158" i="12"/>
  <c r="I158" i="12"/>
  <c r="F159" i="12"/>
  <c r="G159" i="12"/>
  <c r="H159" i="12"/>
  <c r="I159" i="12"/>
  <c r="F160" i="12"/>
  <c r="G160" i="12"/>
  <c r="H160" i="12"/>
  <c r="I160" i="12"/>
  <c r="F161" i="12"/>
  <c r="G161" i="12"/>
  <c r="H161" i="12"/>
  <c r="I161" i="12"/>
  <c r="F162" i="12"/>
  <c r="G162" i="12"/>
  <c r="H162" i="12"/>
  <c r="I162" i="12"/>
  <c r="F163" i="12"/>
  <c r="G163" i="12"/>
  <c r="H163" i="12"/>
  <c r="I163" i="12"/>
  <c r="F164" i="12"/>
  <c r="G164" i="12"/>
  <c r="H164" i="12"/>
  <c r="I164" i="12"/>
  <c r="F165" i="12"/>
  <c r="G165" i="12"/>
  <c r="H165" i="12"/>
  <c r="I165" i="12"/>
  <c r="F166" i="12"/>
  <c r="G166" i="12"/>
  <c r="H166" i="12"/>
  <c r="I166" i="12"/>
  <c r="F167" i="12"/>
  <c r="G167" i="12"/>
  <c r="H167" i="12"/>
  <c r="I167" i="12"/>
  <c r="F168" i="12"/>
  <c r="G168" i="12"/>
  <c r="H168" i="12"/>
  <c r="I168" i="12"/>
  <c r="F169" i="12"/>
  <c r="G169" i="12"/>
  <c r="H169" i="12"/>
  <c r="I169" i="12"/>
  <c r="F170" i="12"/>
  <c r="G170" i="12"/>
  <c r="H170" i="12"/>
  <c r="I170" i="12"/>
  <c r="F171" i="12"/>
  <c r="G171" i="12"/>
  <c r="H171" i="12"/>
  <c r="I171" i="12"/>
  <c r="F172" i="12"/>
  <c r="G172" i="12"/>
  <c r="H172" i="12"/>
  <c r="I172" i="12"/>
  <c r="F173" i="12"/>
  <c r="G173" i="12"/>
  <c r="H173" i="12"/>
  <c r="I173" i="12"/>
  <c r="F174" i="12"/>
  <c r="G174" i="12"/>
  <c r="H174" i="12"/>
  <c r="I174" i="12"/>
  <c r="F175" i="12"/>
  <c r="G175" i="12"/>
  <c r="H175" i="12"/>
  <c r="I175" i="12"/>
  <c r="F176" i="12"/>
  <c r="G176" i="12"/>
  <c r="H176" i="12"/>
  <c r="I176" i="12"/>
  <c r="F177" i="12"/>
  <c r="G177" i="12"/>
  <c r="H177" i="12"/>
  <c r="I177" i="12"/>
  <c r="F178" i="12"/>
  <c r="G178" i="12"/>
  <c r="H178" i="12"/>
  <c r="I178" i="12"/>
  <c r="F179" i="12"/>
  <c r="G179" i="12"/>
  <c r="H179" i="12"/>
  <c r="I179" i="12"/>
  <c r="F180" i="12"/>
  <c r="G180" i="12"/>
  <c r="H180" i="12"/>
  <c r="I180" i="12"/>
  <c r="F181" i="12"/>
  <c r="G181" i="12"/>
  <c r="H181" i="12"/>
  <c r="I181" i="12"/>
  <c r="F182" i="12"/>
  <c r="G182" i="12"/>
  <c r="H182" i="12"/>
  <c r="I182" i="12"/>
  <c r="F183" i="12"/>
  <c r="G183" i="12"/>
  <c r="H183" i="12"/>
  <c r="I183" i="12"/>
  <c r="F184" i="12"/>
  <c r="G184" i="12"/>
  <c r="H184" i="12"/>
  <c r="I184" i="12"/>
  <c r="F185" i="12"/>
  <c r="G185" i="12"/>
  <c r="H185" i="12"/>
  <c r="I185" i="12"/>
  <c r="F186" i="12"/>
  <c r="G186" i="12"/>
  <c r="H186" i="12"/>
  <c r="I186" i="12"/>
  <c r="F187" i="12"/>
  <c r="G187" i="12"/>
  <c r="H187" i="12"/>
  <c r="I187" i="12"/>
  <c r="F188" i="12"/>
  <c r="G188" i="12"/>
  <c r="H188" i="12"/>
  <c r="I188" i="12"/>
  <c r="F189" i="12"/>
  <c r="G189" i="12"/>
  <c r="H189" i="12"/>
  <c r="I189" i="12"/>
  <c r="F190" i="12"/>
  <c r="G190" i="12"/>
  <c r="H190" i="12"/>
  <c r="I190" i="12"/>
  <c r="F191" i="12"/>
  <c r="G191" i="12"/>
  <c r="H191" i="12"/>
  <c r="I191" i="12"/>
  <c r="F192" i="12"/>
  <c r="G192" i="12"/>
  <c r="H192" i="12"/>
  <c r="I192" i="12"/>
  <c r="F193" i="12"/>
  <c r="G193" i="12"/>
  <c r="H193" i="12"/>
  <c r="I193" i="12"/>
  <c r="F194" i="12"/>
  <c r="G194" i="12"/>
  <c r="H194" i="12"/>
  <c r="I194" i="12"/>
  <c r="F195" i="12"/>
  <c r="G195" i="12"/>
  <c r="H195" i="12"/>
  <c r="I195" i="12"/>
  <c r="F196" i="12"/>
  <c r="G196" i="12"/>
  <c r="H196" i="12"/>
  <c r="I196" i="12"/>
  <c r="F197" i="12"/>
  <c r="G197" i="12"/>
  <c r="H197" i="12"/>
  <c r="I197" i="12"/>
  <c r="F198" i="12"/>
  <c r="G198" i="12"/>
  <c r="H198" i="12"/>
  <c r="I198" i="12"/>
  <c r="F199" i="12"/>
  <c r="G199" i="12"/>
  <c r="H199" i="12"/>
  <c r="I199" i="12"/>
  <c r="F200" i="12"/>
  <c r="G200" i="12"/>
  <c r="H200" i="12"/>
  <c r="I200" i="12"/>
  <c r="F201" i="12"/>
  <c r="G201" i="12"/>
  <c r="H201" i="12"/>
  <c r="I201" i="12"/>
  <c r="F202" i="12"/>
  <c r="G202" i="12"/>
  <c r="H202" i="12"/>
  <c r="I202" i="12"/>
  <c r="F203" i="12"/>
  <c r="G203" i="12"/>
  <c r="H203" i="12"/>
  <c r="I203" i="12"/>
  <c r="F204" i="12"/>
  <c r="G204" i="12"/>
  <c r="H204" i="12"/>
  <c r="I204" i="12"/>
  <c r="F205" i="12"/>
  <c r="G205" i="12"/>
  <c r="H205" i="12"/>
  <c r="I205" i="12"/>
  <c r="F206" i="12"/>
  <c r="G206" i="12"/>
  <c r="H206" i="12"/>
  <c r="I206" i="12"/>
  <c r="F207" i="12"/>
  <c r="G207" i="12"/>
  <c r="H207" i="12"/>
  <c r="I207" i="12"/>
  <c r="F208" i="12"/>
  <c r="G208" i="12"/>
  <c r="H208" i="12"/>
  <c r="I208" i="12"/>
  <c r="F209" i="12"/>
  <c r="G209" i="12"/>
  <c r="H209" i="12"/>
  <c r="I209" i="12"/>
  <c r="F210" i="12"/>
  <c r="G210" i="12"/>
  <c r="H210" i="12"/>
  <c r="I210" i="12"/>
  <c r="F211" i="12"/>
  <c r="G211" i="12"/>
  <c r="H211" i="12"/>
  <c r="I211" i="12"/>
  <c r="F212" i="12"/>
  <c r="G212" i="12"/>
  <c r="H212" i="12"/>
  <c r="I212" i="12"/>
  <c r="F213" i="12"/>
  <c r="G213" i="12"/>
  <c r="H213" i="12"/>
  <c r="I213" i="12"/>
  <c r="F214" i="12"/>
  <c r="G214" i="12"/>
  <c r="H214" i="12"/>
  <c r="I214" i="12"/>
  <c r="F215" i="12"/>
  <c r="G215" i="12"/>
  <c r="H215" i="12"/>
  <c r="I215" i="12"/>
  <c r="F216" i="12"/>
  <c r="G216" i="12"/>
  <c r="H216" i="12"/>
  <c r="I216" i="12"/>
  <c r="F217" i="12"/>
  <c r="G217" i="12"/>
  <c r="H217" i="12"/>
  <c r="I217" i="12"/>
  <c r="F218" i="12"/>
  <c r="G218" i="12"/>
  <c r="H218" i="12"/>
  <c r="I218" i="12"/>
  <c r="F219" i="12"/>
  <c r="G219" i="12"/>
  <c r="H219" i="12"/>
  <c r="I219" i="12"/>
  <c r="F220" i="12"/>
  <c r="G220" i="12"/>
  <c r="H220" i="12"/>
  <c r="I220" i="12"/>
  <c r="F221" i="12"/>
  <c r="G221" i="12"/>
  <c r="H221" i="12"/>
  <c r="I221" i="12"/>
  <c r="F222" i="12"/>
  <c r="G222" i="12"/>
  <c r="H222" i="12"/>
  <c r="I222" i="12"/>
  <c r="F223" i="12"/>
  <c r="G223" i="12"/>
  <c r="H223" i="12"/>
  <c r="I223" i="12"/>
  <c r="F224" i="12"/>
  <c r="G224" i="12"/>
  <c r="H224" i="12"/>
  <c r="I224" i="12"/>
  <c r="F225" i="12"/>
  <c r="G225" i="12"/>
  <c r="H225" i="12"/>
  <c r="I225" i="12"/>
  <c r="F226" i="12"/>
  <c r="G226" i="12"/>
  <c r="H226" i="12"/>
  <c r="I226" i="12"/>
  <c r="F227" i="12"/>
  <c r="G227" i="12"/>
  <c r="H227" i="12"/>
  <c r="I227" i="12"/>
  <c r="F228" i="12"/>
  <c r="G228" i="12"/>
  <c r="H228" i="12"/>
  <c r="I228" i="12"/>
  <c r="F229" i="12"/>
  <c r="G229" i="12"/>
  <c r="H229" i="12"/>
  <c r="I229" i="12"/>
  <c r="F230" i="12"/>
  <c r="G230" i="12"/>
  <c r="H230" i="12"/>
  <c r="I230" i="12"/>
  <c r="F231" i="12"/>
  <c r="G231" i="12"/>
  <c r="H231" i="12"/>
  <c r="I231" i="12"/>
  <c r="F232" i="12"/>
  <c r="G232" i="12"/>
  <c r="H232" i="12"/>
  <c r="I232" i="12"/>
  <c r="F233" i="12"/>
  <c r="G233" i="12"/>
  <c r="H233" i="12"/>
  <c r="I233" i="12"/>
  <c r="F234" i="12"/>
  <c r="G234" i="12"/>
  <c r="H234" i="12"/>
  <c r="I234" i="12"/>
  <c r="F235" i="12"/>
  <c r="G235" i="12"/>
  <c r="H235" i="12"/>
  <c r="I235" i="12"/>
  <c r="F236" i="12"/>
  <c r="G236" i="12"/>
  <c r="H236" i="12"/>
  <c r="I236" i="12"/>
  <c r="F237" i="12"/>
  <c r="G237" i="12"/>
  <c r="H237" i="12"/>
  <c r="I237" i="12"/>
  <c r="F238" i="12"/>
  <c r="G238" i="12"/>
  <c r="H238" i="12"/>
  <c r="I238" i="12"/>
  <c r="F239" i="12"/>
  <c r="G239" i="12"/>
  <c r="H239" i="12"/>
  <c r="I239" i="12"/>
  <c r="F240" i="12"/>
  <c r="G240" i="12"/>
  <c r="H240" i="12"/>
  <c r="I240" i="12"/>
  <c r="F241" i="12"/>
  <c r="G241" i="12"/>
  <c r="H241" i="12"/>
  <c r="I241" i="12"/>
  <c r="F242" i="12"/>
  <c r="G242" i="12"/>
  <c r="H242" i="12"/>
  <c r="I242" i="12"/>
  <c r="F243" i="12"/>
  <c r="G243" i="12"/>
  <c r="H243" i="12"/>
  <c r="I243" i="12"/>
  <c r="F244" i="12"/>
  <c r="G244" i="12"/>
  <c r="H244" i="12"/>
  <c r="I244" i="12"/>
  <c r="F245" i="12"/>
  <c r="G245" i="12"/>
  <c r="H245" i="12"/>
  <c r="I245" i="12"/>
  <c r="F246" i="12"/>
  <c r="G246" i="12"/>
  <c r="H246" i="12"/>
  <c r="I246" i="12"/>
  <c r="F247" i="12"/>
  <c r="G247" i="12"/>
  <c r="H247" i="12"/>
  <c r="I247" i="12"/>
  <c r="F248" i="12"/>
  <c r="G248" i="12"/>
  <c r="H248" i="12"/>
  <c r="I248" i="12"/>
  <c r="F249" i="12"/>
  <c r="G249" i="12"/>
  <c r="H249" i="12"/>
  <c r="I249" i="12"/>
  <c r="F250" i="12"/>
  <c r="G250" i="12"/>
  <c r="H250" i="12"/>
  <c r="I250" i="12"/>
  <c r="F251" i="12"/>
  <c r="G251" i="12"/>
  <c r="H251" i="12"/>
  <c r="I251" i="12"/>
  <c r="F252" i="12"/>
  <c r="G252" i="12"/>
  <c r="H252" i="12"/>
  <c r="I252" i="12"/>
  <c r="F253" i="12"/>
  <c r="G253" i="12"/>
  <c r="H253" i="12"/>
  <c r="I253" i="12"/>
  <c r="F254" i="12"/>
  <c r="G254" i="12"/>
  <c r="H254" i="12"/>
  <c r="I254" i="12"/>
  <c r="F255" i="12"/>
  <c r="G255" i="12"/>
  <c r="H255" i="12"/>
  <c r="I255" i="12"/>
  <c r="F256" i="12"/>
  <c r="G256" i="12"/>
  <c r="H256" i="12"/>
  <c r="I256" i="12"/>
  <c r="F257" i="12"/>
  <c r="G257" i="12"/>
  <c r="H257" i="12"/>
  <c r="I257" i="12"/>
  <c r="F258" i="12"/>
  <c r="G258" i="12"/>
  <c r="H258" i="12"/>
  <c r="I258" i="12"/>
  <c r="F259" i="12"/>
  <c r="G259" i="12"/>
  <c r="H259" i="12"/>
  <c r="I259" i="12"/>
  <c r="G3" i="12"/>
  <c r="AG3" i="12" s="1"/>
  <c r="H3" i="12"/>
  <c r="AH3" i="12" s="1"/>
  <c r="I3" i="12"/>
  <c r="AI3" i="12" s="1"/>
  <c r="F3" i="12"/>
  <c r="AF3" i="12" s="1"/>
  <c r="AG2" i="12"/>
  <c r="AH2" i="12"/>
  <c r="AI2" i="12"/>
  <c r="AF2" i="12"/>
  <c r="A1" i="5"/>
  <c r="A1" i="4"/>
  <c r="A1" i="3"/>
  <c r="A1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A1" authorId="0" shapeId="0" xr:uid="{8313250A-B805-4A63-BF80-5BD4EFC5ED45}">
      <text>
        <r>
          <rPr>
            <b/>
            <sz val="9"/>
            <color indexed="81"/>
            <rFont val="Tahoma"/>
            <family val="2"/>
          </rPr>
          <t>=DSGRID("GOLDUSD","P","-2Y","","Daily","RowHeader=true;ColHeader=true;Heading=true;Code=true;Curn=true;DispSeriesDescription=true;YearlyTSFormat=false;QuarterlyTSFormat=false;MonthlyTSFormat=true")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A1" authorId="0" shapeId="0" xr:uid="{C4020296-2545-4669-AB2B-B9CC800862F2}">
      <text>
        <r>
          <rPr>
            <b/>
            <sz val="9"/>
            <color indexed="81"/>
            <rFont val="Tahoma"/>
            <family val="2"/>
          </rPr>
          <t>=DSGRID("SILVCSP","P","-2Y","","Daily","RowHeader=true;ColHeader=true;Heading=true;Code=true;Curn=true;DispSeriesDescription=true;YearlyTSFormat=false;QuarterlyTSFormat=false;MonthlyTSFormat=true")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A1" authorId="0" shapeId="0" xr:uid="{71E983F6-9904-48D5-8B5E-6B64583B5AC5}">
      <text>
        <r>
          <rPr>
            <b/>
            <sz val="9"/>
            <color indexed="81"/>
            <rFont val="Tahoma"/>
            <family val="2"/>
          </rPr>
          <t>=DSGRID("PLATUSD","P","-2Y","","Daily","RowHeader=true;ColHeader=true;Heading=true;Code=true;Curn=true;DispSeriesDescription=true;YearlyTSFormat=false;QuarterlyTSFormat=false;MonthlyTSFormat=true")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A1" authorId="0" shapeId="0" xr:uid="{4D0B91FC-4C9F-4BCB-AF44-9A28D75DDE4A}">
      <text>
        <r>
          <rPr>
            <b/>
            <sz val="9"/>
            <color indexed="81"/>
            <rFont val="Tahoma"/>
            <family val="2"/>
          </rPr>
          <t>=DSGRID("PALLUSD","P","-2Y","","Daily","RowHeader=true;ColHeader=true;Heading=true;Code=true;Curn=true;DispSeriesDescription=true;YearlyTSFormat=false;QuarterlyTSFormat=false;MonthlyTSFormat=true")</t>
        </r>
      </text>
    </comment>
  </commentList>
</comments>
</file>

<file path=xl/sharedStrings.xml><?xml version="1.0" encoding="utf-8"?>
<sst xmlns="http://schemas.openxmlformats.org/spreadsheetml/2006/main" count="5751" uniqueCount="206">
  <si>
    <t>End</t>
  </si>
  <si>
    <t>Frequency</t>
  </si>
  <si>
    <t>D</t>
  </si>
  <si>
    <t>Name</t>
  </si>
  <si>
    <t>Code</t>
  </si>
  <si>
    <t>CURRENCY</t>
  </si>
  <si>
    <t>U$</t>
  </si>
  <si>
    <t>Gold, USD FX Comp. U$/Troy Oz</t>
  </si>
  <si>
    <t>GOLDUSD(P)</t>
  </si>
  <si>
    <t>Silver Commodity Cash Spot</t>
  </si>
  <si>
    <t>SILVCSP(P)</t>
  </si>
  <si>
    <t>Platinum, USD FX Comp. U$/Troy Oz</t>
  </si>
  <si>
    <t>PLATUSD(P)</t>
  </si>
  <si>
    <t>Palladium, USD FX Comp. U$/Troy Oz</t>
  </si>
  <si>
    <t>PALLUSD(P)</t>
  </si>
  <si>
    <t>Ticker</t>
  </si>
  <si>
    <t>Fund Assets (AUM) (M USD)</t>
  </si>
  <si>
    <t>Expense Ratio</t>
  </si>
  <si>
    <t>YTD Return</t>
  </si>
  <si>
    <t>Fund Type</t>
  </si>
  <si>
    <t>Global X Physical Gold Structured</t>
  </si>
  <si>
    <t>GOLD AU</t>
  </si>
  <si>
    <t>0.40%</t>
  </si>
  <si>
    <t>+15.45%</t>
  </si>
  <si>
    <t>ETC</t>
  </si>
  <si>
    <t>Global X Physical Silver Structured</t>
  </si>
  <si>
    <t>ETPMAG AU</t>
  </si>
  <si>
    <t>0.49%</t>
  </si>
  <si>
    <t>+52.15%</t>
  </si>
  <si>
    <t>Betashares Gold Bullion Currency Hedged ETF</t>
  </si>
  <si>
    <t>QAU AU</t>
  </si>
  <si>
    <t>0.59%</t>
  </si>
  <si>
    <t>+20.29%</t>
  </si>
  <si>
    <t>ETF</t>
  </si>
  <si>
    <t>Perth Mint Gold Structured Product</t>
  </si>
  <si>
    <t>PMGOLD AU</t>
  </si>
  <si>
    <t>0.15%</t>
  </si>
  <si>
    <t>+15.64%</t>
  </si>
  <si>
    <t>Global X Gold Bullion ETF</t>
  </si>
  <si>
    <t>GXLD AU</t>
  </si>
  <si>
    <t>--</t>
  </si>
  <si>
    <t>+15.65%</t>
  </si>
  <si>
    <t>iShares Physical Gold ETF</t>
  </si>
  <si>
    <t>GLDN AU</t>
  </si>
  <si>
    <t>0.18%</t>
  </si>
  <si>
    <t>+15.46%</t>
  </si>
  <si>
    <t>Global X Gold Bullion Currency Hedged ETF</t>
  </si>
  <si>
    <t>GHLD AU</t>
  </si>
  <si>
    <t>0.35%</t>
  </si>
  <si>
    <t>+20.64%</t>
  </si>
  <si>
    <t>VanEck Gold Bullion ETF</t>
  </si>
  <si>
    <t>NUGG AU</t>
  </si>
  <si>
    <t>0.25%</t>
  </si>
  <si>
    <t>+15.49%</t>
  </si>
  <si>
    <t>Global X Precious Metals Basket Structured</t>
  </si>
  <si>
    <t>ETPMPM AU</t>
  </si>
  <si>
    <t>0.44%</t>
  </si>
  <si>
    <t>+27.66%</t>
  </si>
  <si>
    <t>Global X Physical Platinum Structured</t>
  </si>
  <si>
    <t>ETPMPT AU</t>
  </si>
  <si>
    <t>+25.68%</t>
  </si>
  <si>
    <t>Global X Physical Palladium Structured</t>
  </si>
  <si>
    <t>ETPMPD AU</t>
  </si>
  <si>
    <t>+24.06%</t>
  </si>
  <si>
    <t>Month</t>
  </si>
  <si>
    <t>Commodity</t>
  </si>
  <si>
    <t>Year</t>
  </si>
  <si>
    <t>Broker_Code</t>
  </si>
  <si>
    <t>Broker_Name</t>
  </si>
  <si>
    <t>Net volume</t>
  </si>
  <si>
    <t>Net value</t>
  </si>
  <si>
    <t>Gross volume</t>
  </si>
  <si>
    <t>Gross volume %</t>
  </si>
  <si>
    <t>Gross value</t>
  </si>
  <si>
    <t>Gross value %</t>
  </si>
  <si>
    <t>Buy volume</t>
  </si>
  <si>
    <t>Buy volume %</t>
  </si>
  <si>
    <t>Buy VWAP</t>
  </si>
  <si>
    <t>Buy value</t>
  </si>
  <si>
    <t>Buy value %</t>
  </si>
  <si>
    <t>Sell volume</t>
  </si>
  <si>
    <t>Sell volume %</t>
  </si>
  <si>
    <t>Sell VWAP</t>
  </si>
  <si>
    <t>Sell value</t>
  </si>
  <si>
    <t>Sell value %</t>
  </si>
  <si>
    <t>Trades</t>
  </si>
  <si>
    <t>Trades %</t>
  </si>
  <si>
    <t>ETPMAG</t>
  </si>
  <si>
    <t>AIEL</t>
  </si>
  <si>
    <t>Australian Investment Exchange Limited</t>
  </si>
  <si>
    <t>ANDW</t>
  </si>
  <si>
    <t>CMC Markets Stockbroking Limited</t>
  </si>
  <si>
    <t>BELL</t>
  </si>
  <si>
    <t>Bell Potter Securities Limited</t>
  </si>
  <si>
    <t>BRCA</t>
  </si>
  <si>
    <t>Barclays Capital Asia Limited</t>
  </si>
  <si>
    <t>BRIG</t>
  </si>
  <si>
    <t>Bridges Financial Services Pty Ltd</t>
  </si>
  <si>
    <t>BTIG</t>
  </si>
  <si>
    <t>BTIG Australia Limited</t>
  </si>
  <si>
    <t>CGAU</t>
  </si>
  <si>
    <t>Canaccord Genuity Financial Limited</t>
  </si>
  <si>
    <t>COMM</t>
  </si>
  <si>
    <t>Commonwealth Securities Limited</t>
  </si>
  <si>
    <t>FCEX</t>
  </si>
  <si>
    <t>FinClear Execution Limited</t>
  </si>
  <si>
    <t>FNZC</t>
  </si>
  <si>
    <t>FNZ Custodians (Australia) Pty Ltd</t>
  </si>
  <si>
    <t>HRTL</t>
  </si>
  <si>
    <t>Euroz Hartleys Limited</t>
  </si>
  <si>
    <t>IBRO</t>
  </si>
  <si>
    <t>Interactive Brokers Australia Pty Ltd</t>
  </si>
  <si>
    <t>INSA</t>
  </si>
  <si>
    <t>Instinet Australia Pty Limited</t>
  </si>
  <si>
    <t>INTE</t>
  </si>
  <si>
    <t>Phillip Capital Limited</t>
  </si>
  <si>
    <t>JPML</t>
  </si>
  <si>
    <t>J.P. Morgan Securities Australia Limited</t>
  </si>
  <si>
    <t>MACE</t>
  </si>
  <si>
    <t>Macquarie Equities Limited</t>
  </si>
  <si>
    <t>MEAL</t>
  </si>
  <si>
    <t>Macquarie Securities (Australia) Limited</t>
  </si>
  <si>
    <t>MERR</t>
  </si>
  <si>
    <t>Merrill Lynch Equities (Australia) Limited</t>
  </si>
  <si>
    <t>MORR</t>
  </si>
  <si>
    <t>Morrison Securities Pty Limited</t>
  </si>
  <si>
    <t>MOST</t>
  </si>
  <si>
    <t>Morgan Stanley Australia Securities Limited</t>
  </si>
  <si>
    <t>MSWM</t>
  </si>
  <si>
    <t>Morgan Stanley Wealth Management Australia Pty Ltd</t>
  </si>
  <si>
    <t>NONT</t>
  </si>
  <si>
    <t>Wealthhub Securities Limited</t>
  </si>
  <si>
    <t>OPEN</t>
  </si>
  <si>
    <t>Openmarkets Australia Limited</t>
  </si>
  <si>
    <t>ORDS</t>
  </si>
  <si>
    <t>Ord Minnett Limited</t>
  </si>
  <si>
    <t>RBSM</t>
  </si>
  <si>
    <t>Morgans Financial Limited</t>
  </si>
  <si>
    <t>SHAW</t>
  </si>
  <si>
    <t>Shaw and Partners Limited</t>
  </si>
  <si>
    <t>SOSB</t>
  </si>
  <si>
    <t>PHILLIP SECURITIES (AUS) LIMITED</t>
  </si>
  <si>
    <t>SSB1</t>
  </si>
  <si>
    <t>Citigroup Global Markets Australia Pty Limited</t>
  </si>
  <si>
    <t>SUSH</t>
  </si>
  <si>
    <t>Susquehanna Pacific Pty Ltd</t>
  </si>
  <si>
    <t>THRD</t>
  </si>
  <si>
    <t>Third Party Platform Pty Ltd</t>
  </si>
  <si>
    <t>Totals</t>
  </si>
  <si>
    <t>UBSA</t>
  </si>
  <si>
    <t>UBS Securities Australia Ltd</t>
  </si>
  <si>
    <t>VFAP</t>
  </si>
  <si>
    <t>Virtu Financial Asia Pty Ltd</t>
  </si>
  <si>
    <t>WEBU</t>
  </si>
  <si>
    <t>Webull Securities (Australia) Pty Ltd</t>
  </si>
  <si>
    <t>WILS</t>
  </si>
  <si>
    <t>Wilsons Advisory and Stockbroking Limited</t>
  </si>
  <si>
    <t>BURR</t>
  </si>
  <si>
    <t>Burrell Stockbroking Pty Limited</t>
  </si>
  <si>
    <t>CLSA</t>
  </si>
  <si>
    <t>CLSA Australia Pty Ltd</t>
  </si>
  <si>
    <t>EVAN</t>
  </si>
  <si>
    <t>Evans and Partners Pty Ltd</t>
  </si>
  <si>
    <t>JOEY</t>
  </si>
  <si>
    <t>Barrenjoey Markets Pty Limited</t>
  </si>
  <si>
    <t>TAYL</t>
  </si>
  <si>
    <t>Taylor Collison Limited</t>
  </si>
  <si>
    <t>ITGA</t>
  </si>
  <si>
    <t>Virtu ITG Australia Limited</t>
  </si>
  <si>
    <t>JEFF</t>
  </si>
  <si>
    <t>Jefferies (Australia) Securities Pty Ltd</t>
  </si>
  <si>
    <t>SAWJ</t>
  </si>
  <si>
    <t>Argonaut Securities Pty Ltd</t>
  </si>
  <si>
    <t>GSAU</t>
  </si>
  <si>
    <t>Goldman Sachs Australia Pty Ltd</t>
  </si>
  <si>
    <t>NMF</t>
  </si>
  <si>
    <t>Nine Mile Financial Pty Limited</t>
  </si>
  <si>
    <t>RBCS</t>
  </si>
  <si>
    <t>RBC Securities Australia Pty Ltd</t>
  </si>
  <si>
    <t>ETPMPD</t>
  </si>
  <si>
    <t>ETPMPM</t>
  </si>
  <si>
    <t>ETPMPT</t>
  </si>
  <si>
    <t>GOLD</t>
  </si>
  <si>
    <t>VELO</t>
  </si>
  <si>
    <t>Velocity Trade Limited</t>
  </si>
  <si>
    <t>MOE</t>
  </si>
  <si>
    <t>MA Moelis Australia Securities Pty Ltd</t>
  </si>
  <si>
    <t>FCSP</t>
  </si>
  <si>
    <t>ABN AMRO Clearing Sydney Pty Ltd</t>
  </si>
  <si>
    <t>EFHK</t>
  </si>
  <si>
    <t>Eclipse Futures (HK) Ltd</t>
  </si>
  <si>
    <t>LICA</t>
  </si>
  <si>
    <t>Mako Trading Australia Pty Ltd</t>
  </si>
  <si>
    <t>Not used in the analysis</t>
  </si>
  <si>
    <t>Total-&gt;&gt;</t>
  </si>
  <si>
    <t>Gold</t>
  </si>
  <si>
    <t>Silver</t>
  </si>
  <si>
    <t>Platium</t>
  </si>
  <si>
    <t>Palladium</t>
  </si>
  <si>
    <t>Annualised Risk</t>
  </si>
  <si>
    <t>Buy and Hold Return since Feb 2025</t>
  </si>
  <si>
    <t>Time (USD)</t>
  </si>
  <si>
    <t>Composite</t>
  </si>
  <si>
    <t>Buy value (AUD)</t>
  </si>
  <si>
    <t>Net value (AUD)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</si>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</sst>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8" formatCode="_(&quot;$&quot;* #,##0_);_(&quot;$&quot;* \(#,##0\);_(&quot;$&quot;* &quot;-&quot;??_);_(@_)"/>
    <numFmt numFmtId="169" formatCode="0.0%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indexed="81"/>
      <name val="Tahoma"/>
      <family val="2"/>
    </font>
    <font>
      <b/>
      <sz val="11"/>
      <color indexed="9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2" borderId="0"/>
  </cellStyleXfs>
  <cellXfs count="12">
    <xf numFmtId="0" fontId="0" fillId="0" borderId="0" xfId="0"/>
    <xf numFmtId="0" fontId="0" fillId="0" borderId="0" xfId="0" quotePrefix="1"/>
    <xf numFmtId="14" fontId="0" fillId="0" borderId="0" xfId="0" applyNumberFormat="1"/>
    <xf numFmtId="0" fontId="3" fillId="2" borderId="0" xfId="3"/>
    <xf numFmtId="11" fontId="0" fillId="0" borderId="0" xfId="0" applyNumberFormat="1"/>
    <xf numFmtId="0" fontId="0" fillId="3" borderId="0" xfId="0" applyFill="1"/>
    <xf numFmtId="1" fontId="0" fillId="0" borderId="0" xfId="0" applyNumberFormat="1"/>
    <xf numFmtId="9" fontId="0" fillId="0" borderId="0" xfId="2" applyFont="1"/>
    <xf numFmtId="168" fontId="0" fillId="0" borderId="0" xfId="1" applyNumberFormat="1" applyFont="1"/>
    <xf numFmtId="169" fontId="0" fillId="0" borderId="0" xfId="2" applyNumberFormat="1" applyFont="1"/>
    <xf numFmtId="9" fontId="0" fillId="0" borderId="0" xfId="2" applyNumberFormat="1" applyFont="1"/>
    <xf numFmtId="168" fontId="0" fillId="0" borderId="0" xfId="0" applyNumberFormat="1"/>
  </cellXfs>
  <cellStyles count="4">
    <cellStyle name="blp_column_header" xfId="3" xr:uid="{ED3DA3CC-2B16-4B74-86BF-7E92202B9182}"/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refinitivshim.rtdserver.dsgrid">
      <tp t="s">
        <v>Start</v>
        <stp/>
        <stp>2</stp>
        <stp>17161031</stp>
        <tr r="A1" s="2"/>
      </tp>
      <tp t="s">
        <v>Start</v>
        <stp/>
        <stp>3</stp>
        <stp>17161031</stp>
        <tr r="A1" s="3"/>
      </tp>
      <tp t="s">
        <v>Start</v>
        <stp/>
        <stp>4</stp>
        <stp>17161031</stp>
        <tr r="A1" s="4"/>
      </tp>
      <tp t="s">
        <v>Start</v>
        <stp/>
        <stp>5</stp>
        <stp>17161031</stp>
        <tr r="A1" s="5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volatileDependencies" Target="volatileDependenci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Gold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Graphs!$B$1</c:f>
              <c:strCache>
                <c:ptCount val="1"/>
                <c:pt idx="0">
                  <c:v>Gold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Graphs!$A$2:$A$259</c:f>
              <c:numCache>
                <c:formatCode>m/d/yyyy</c:formatCode>
                <c:ptCount val="258"/>
                <c:pt idx="0">
                  <c:v>45691</c:v>
                </c:pt>
                <c:pt idx="1">
                  <c:v>45692</c:v>
                </c:pt>
                <c:pt idx="2">
                  <c:v>45693</c:v>
                </c:pt>
                <c:pt idx="3">
                  <c:v>45694</c:v>
                </c:pt>
                <c:pt idx="4">
                  <c:v>45695</c:v>
                </c:pt>
                <c:pt idx="5">
                  <c:v>45698</c:v>
                </c:pt>
                <c:pt idx="6">
                  <c:v>45699</c:v>
                </c:pt>
                <c:pt idx="7">
                  <c:v>45700</c:v>
                </c:pt>
                <c:pt idx="8">
                  <c:v>45701</c:v>
                </c:pt>
                <c:pt idx="9">
                  <c:v>45702</c:v>
                </c:pt>
                <c:pt idx="10">
                  <c:v>45705</c:v>
                </c:pt>
                <c:pt idx="11">
                  <c:v>45706</c:v>
                </c:pt>
                <c:pt idx="12">
                  <c:v>45707</c:v>
                </c:pt>
                <c:pt idx="13">
                  <c:v>45708</c:v>
                </c:pt>
                <c:pt idx="14">
                  <c:v>45709</c:v>
                </c:pt>
                <c:pt idx="15">
                  <c:v>45712</c:v>
                </c:pt>
                <c:pt idx="16">
                  <c:v>45713</c:v>
                </c:pt>
                <c:pt idx="17">
                  <c:v>45714</c:v>
                </c:pt>
                <c:pt idx="18">
                  <c:v>45715</c:v>
                </c:pt>
                <c:pt idx="19">
                  <c:v>45716</c:v>
                </c:pt>
                <c:pt idx="20">
                  <c:v>45719</c:v>
                </c:pt>
                <c:pt idx="21">
                  <c:v>45720</c:v>
                </c:pt>
                <c:pt idx="22">
                  <c:v>45721</c:v>
                </c:pt>
                <c:pt idx="23">
                  <c:v>45722</c:v>
                </c:pt>
                <c:pt idx="24">
                  <c:v>45723</c:v>
                </c:pt>
                <c:pt idx="25">
                  <c:v>45726</c:v>
                </c:pt>
                <c:pt idx="26">
                  <c:v>45727</c:v>
                </c:pt>
                <c:pt idx="27">
                  <c:v>45728</c:v>
                </c:pt>
                <c:pt idx="28">
                  <c:v>45729</c:v>
                </c:pt>
                <c:pt idx="29">
                  <c:v>45730</c:v>
                </c:pt>
                <c:pt idx="30">
                  <c:v>45733</c:v>
                </c:pt>
                <c:pt idx="31">
                  <c:v>45734</c:v>
                </c:pt>
                <c:pt idx="32">
                  <c:v>45735</c:v>
                </c:pt>
                <c:pt idx="33">
                  <c:v>45736</c:v>
                </c:pt>
                <c:pt idx="34">
                  <c:v>45737</c:v>
                </c:pt>
                <c:pt idx="35">
                  <c:v>45740</c:v>
                </c:pt>
                <c:pt idx="36">
                  <c:v>45741</c:v>
                </c:pt>
                <c:pt idx="37">
                  <c:v>45742</c:v>
                </c:pt>
                <c:pt idx="38">
                  <c:v>45743</c:v>
                </c:pt>
                <c:pt idx="39">
                  <c:v>45744</c:v>
                </c:pt>
                <c:pt idx="40">
                  <c:v>45747</c:v>
                </c:pt>
                <c:pt idx="41">
                  <c:v>45748</c:v>
                </c:pt>
                <c:pt idx="42">
                  <c:v>45749</c:v>
                </c:pt>
                <c:pt idx="43">
                  <c:v>45750</c:v>
                </c:pt>
                <c:pt idx="44">
                  <c:v>45751</c:v>
                </c:pt>
                <c:pt idx="45">
                  <c:v>45754</c:v>
                </c:pt>
                <c:pt idx="46">
                  <c:v>45755</c:v>
                </c:pt>
                <c:pt idx="47">
                  <c:v>45756</c:v>
                </c:pt>
                <c:pt idx="48">
                  <c:v>45757</c:v>
                </c:pt>
                <c:pt idx="49">
                  <c:v>45758</c:v>
                </c:pt>
                <c:pt idx="50">
                  <c:v>45761</c:v>
                </c:pt>
                <c:pt idx="51">
                  <c:v>45762</c:v>
                </c:pt>
                <c:pt idx="52">
                  <c:v>45763</c:v>
                </c:pt>
                <c:pt idx="53">
                  <c:v>45764</c:v>
                </c:pt>
                <c:pt idx="54">
                  <c:v>45765</c:v>
                </c:pt>
                <c:pt idx="55">
                  <c:v>45768</c:v>
                </c:pt>
                <c:pt idx="56">
                  <c:v>45769</c:v>
                </c:pt>
                <c:pt idx="57">
                  <c:v>45770</c:v>
                </c:pt>
                <c:pt idx="58">
                  <c:v>45771</c:v>
                </c:pt>
                <c:pt idx="59">
                  <c:v>45772</c:v>
                </c:pt>
                <c:pt idx="60">
                  <c:v>45775</c:v>
                </c:pt>
                <c:pt idx="61">
                  <c:v>45776</c:v>
                </c:pt>
                <c:pt idx="62">
                  <c:v>45777</c:v>
                </c:pt>
                <c:pt idx="63">
                  <c:v>45778</c:v>
                </c:pt>
                <c:pt idx="64">
                  <c:v>45779</c:v>
                </c:pt>
                <c:pt idx="65">
                  <c:v>45782</c:v>
                </c:pt>
                <c:pt idx="66">
                  <c:v>45783</c:v>
                </c:pt>
                <c:pt idx="67">
                  <c:v>45784</c:v>
                </c:pt>
                <c:pt idx="68">
                  <c:v>45785</c:v>
                </c:pt>
                <c:pt idx="69">
                  <c:v>45786</c:v>
                </c:pt>
                <c:pt idx="70">
                  <c:v>45789</c:v>
                </c:pt>
                <c:pt idx="71">
                  <c:v>45790</c:v>
                </c:pt>
                <c:pt idx="72">
                  <c:v>45791</c:v>
                </c:pt>
                <c:pt idx="73">
                  <c:v>45792</c:v>
                </c:pt>
                <c:pt idx="74">
                  <c:v>45793</c:v>
                </c:pt>
                <c:pt idx="75">
                  <c:v>45796</c:v>
                </c:pt>
                <c:pt idx="76">
                  <c:v>45797</c:v>
                </c:pt>
                <c:pt idx="77">
                  <c:v>45798</c:v>
                </c:pt>
                <c:pt idx="78">
                  <c:v>45799</c:v>
                </c:pt>
                <c:pt idx="79">
                  <c:v>45800</c:v>
                </c:pt>
                <c:pt idx="80">
                  <c:v>45803</c:v>
                </c:pt>
                <c:pt idx="81">
                  <c:v>45804</c:v>
                </c:pt>
                <c:pt idx="82">
                  <c:v>45805</c:v>
                </c:pt>
                <c:pt idx="83">
                  <c:v>45806</c:v>
                </c:pt>
                <c:pt idx="84">
                  <c:v>45807</c:v>
                </c:pt>
                <c:pt idx="85">
                  <c:v>45810</c:v>
                </c:pt>
                <c:pt idx="86">
                  <c:v>45811</c:v>
                </c:pt>
                <c:pt idx="87">
                  <c:v>45812</c:v>
                </c:pt>
                <c:pt idx="88">
                  <c:v>45813</c:v>
                </c:pt>
                <c:pt idx="89">
                  <c:v>45814</c:v>
                </c:pt>
                <c:pt idx="90">
                  <c:v>45817</c:v>
                </c:pt>
                <c:pt idx="91">
                  <c:v>45818</c:v>
                </c:pt>
                <c:pt idx="92">
                  <c:v>45819</c:v>
                </c:pt>
                <c:pt idx="93">
                  <c:v>45820</c:v>
                </c:pt>
                <c:pt idx="94">
                  <c:v>45821</c:v>
                </c:pt>
                <c:pt idx="95">
                  <c:v>45824</c:v>
                </c:pt>
                <c:pt idx="96">
                  <c:v>45825</c:v>
                </c:pt>
                <c:pt idx="97">
                  <c:v>45826</c:v>
                </c:pt>
                <c:pt idx="98">
                  <c:v>45827</c:v>
                </c:pt>
                <c:pt idx="99">
                  <c:v>45828</c:v>
                </c:pt>
                <c:pt idx="100">
                  <c:v>45831</c:v>
                </c:pt>
                <c:pt idx="101">
                  <c:v>45832</c:v>
                </c:pt>
                <c:pt idx="102">
                  <c:v>45833</c:v>
                </c:pt>
                <c:pt idx="103">
                  <c:v>45834</c:v>
                </c:pt>
                <c:pt idx="104">
                  <c:v>45835</c:v>
                </c:pt>
                <c:pt idx="105">
                  <c:v>45838</c:v>
                </c:pt>
                <c:pt idx="106">
                  <c:v>45839</c:v>
                </c:pt>
                <c:pt idx="107">
                  <c:v>45840</c:v>
                </c:pt>
                <c:pt idx="108">
                  <c:v>45841</c:v>
                </c:pt>
                <c:pt idx="109">
                  <c:v>45842</c:v>
                </c:pt>
                <c:pt idx="110">
                  <c:v>45845</c:v>
                </c:pt>
                <c:pt idx="111">
                  <c:v>45846</c:v>
                </c:pt>
                <c:pt idx="112">
                  <c:v>45847</c:v>
                </c:pt>
                <c:pt idx="113">
                  <c:v>45848</c:v>
                </c:pt>
                <c:pt idx="114">
                  <c:v>45849</c:v>
                </c:pt>
                <c:pt idx="115">
                  <c:v>45852</c:v>
                </c:pt>
                <c:pt idx="116">
                  <c:v>45853</c:v>
                </c:pt>
                <c:pt idx="117">
                  <c:v>45854</c:v>
                </c:pt>
                <c:pt idx="118">
                  <c:v>45855</c:v>
                </c:pt>
                <c:pt idx="119">
                  <c:v>45856</c:v>
                </c:pt>
                <c:pt idx="120">
                  <c:v>45859</c:v>
                </c:pt>
                <c:pt idx="121">
                  <c:v>45860</c:v>
                </c:pt>
                <c:pt idx="122">
                  <c:v>45861</c:v>
                </c:pt>
                <c:pt idx="123">
                  <c:v>45862</c:v>
                </c:pt>
                <c:pt idx="124">
                  <c:v>45863</c:v>
                </c:pt>
                <c:pt idx="125">
                  <c:v>45866</c:v>
                </c:pt>
                <c:pt idx="126">
                  <c:v>45867</c:v>
                </c:pt>
                <c:pt idx="127">
                  <c:v>45868</c:v>
                </c:pt>
                <c:pt idx="128">
                  <c:v>45869</c:v>
                </c:pt>
                <c:pt idx="129">
                  <c:v>45870</c:v>
                </c:pt>
                <c:pt idx="130">
                  <c:v>45873</c:v>
                </c:pt>
                <c:pt idx="131">
                  <c:v>45874</c:v>
                </c:pt>
                <c:pt idx="132">
                  <c:v>45875</c:v>
                </c:pt>
                <c:pt idx="133">
                  <c:v>45876</c:v>
                </c:pt>
                <c:pt idx="134">
                  <c:v>45877</c:v>
                </c:pt>
                <c:pt idx="135">
                  <c:v>45880</c:v>
                </c:pt>
                <c:pt idx="136">
                  <c:v>45881</c:v>
                </c:pt>
                <c:pt idx="137">
                  <c:v>45882</c:v>
                </c:pt>
                <c:pt idx="138">
                  <c:v>45883</c:v>
                </c:pt>
                <c:pt idx="139">
                  <c:v>45884</c:v>
                </c:pt>
                <c:pt idx="140">
                  <c:v>45887</c:v>
                </c:pt>
                <c:pt idx="141">
                  <c:v>45888</c:v>
                </c:pt>
                <c:pt idx="142">
                  <c:v>45889</c:v>
                </c:pt>
                <c:pt idx="143">
                  <c:v>45890</c:v>
                </c:pt>
                <c:pt idx="144">
                  <c:v>45891</c:v>
                </c:pt>
                <c:pt idx="145">
                  <c:v>45894</c:v>
                </c:pt>
                <c:pt idx="146">
                  <c:v>45895</c:v>
                </c:pt>
                <c:pt idx="147">
                  <c:v>45896</c:v>
                </c:pt>
                <c:pt idx="148">
                  <c:v>45897</c:v>
                </c:pt>
                <c:pt idx="149">
                  <c:v>45898</c:v>
                </c:pt>
                <c:pt idx="150">
                  <c:v>45901</c:v>
                </c:pt>
                <c:pt idx="151">
                  <c:v>45902</c:v>
                </c:pt>
                <c:pt idx="152">
                  <c:v>45903</c:v>
                </c:pt>
                <c:pt idx="153">
                  <c:v>45904</c:v>
                </c:pt>
                <c:pt idx="154">
                  <c:v>45905</c:v>
                </c:pt>
                <c:pt idx="155">
                  <c:v>45908</c:v>
                </c:pt>
                <c:pt idx="156">
                  <c:v>45909</c:v>
                </c:pt>
                <c:pt idx="157">
                  <c:v>45910</c:v>
                </c:pt>
                <c:pt idx="158">
                  <c:v>45911</c:v>
                </c:pt>
                <c:pt idx="159">
                  <c:v>45912</c:v>
                </c:pt>
                <c:pt idx="160">
                  <c:v>45915</c:v>
                </c:pt>
                <c:pt idx="161">
                  <c:v>45916</c:v>
                </c:pt>
                <c:pt idx="162">
                  <c:v>45917</c:v>
                </c:pt>
                <c:pt idx="163">
                  <c:v>45918</c:v>
                </c:pt>
                <c:pt idx="164">
                  <c:v>45919</c:v>
                </c:pt>
                <c:pt idx="165">
                  <c:v>45922</c:v>
                </c:pt>
                <c:pt idx="166">
                  <c:v>45923</c:v>
                </c:pt>
                <c:pt idx="167">
                  <c:v>45924</c:v>
                </c:pt>
                <c:pt idx="168">
                  <c:v>45925</c:v>
                </c:pt>
                <c:pt idx="169">
                  <c:v>45926</c:v>
                </c:pt>
                <c:pt idx="170">
                  <c:v>45929</c:v>
                </c:pt>
                <c:pt idx="171">
                  <c:v>45930</c:v>
                </c:pt>
                <c:pt idx="172">
                  <c:v>45931</c:v>
                </c:pt>
                <c:pt idx="173">
                  <c:v>45932</c:v>
                </c:pt>
                <c:pt idx="174">
                  <c:v>45933</c:v>
                </c:pt>
                <c:pt idx="175">
                  <c:v>45936</c:v>
                </c:pt>
                <c:pt idx="176">
                  <c:v>45937</c:v>
                </c:pt>
                <c:pt idx="177">
                  <c:v>45938</c:v>
                </c:pt>
                <c:pt idx="178">
                  <c:v>45939</c:v>
                </c:pt>
                <c:pt idx="179">
                  <c:v>45940</c:v>
                </c:pt>
                <c:pt idx="180">
                  <c:v>45943</c:v>
                </c:pt>
                <c:pt idx="181">
                  <c:v>45944</c:v>
                </c:pt>
                <c:pt idx="182">
                  <c:v>45945</c:v>
                </c:pt>
                <c:pt idx="183">
                  <c:v>45946</c:v>
                </c:pt>
                <c:pt idx="184">
                  <c:v>45947</c:v>
                </c:pt>
                <c:pt idx="185">
                  <c:v>45950</c:v>
                </c:pt>
                <c:pt idx="186">
                  <c:v>45951</c:v>
                </c:pt>
                <c:pt idx="187">
                  <c:v>45952</c:v>
                </c:pt>
                <c:pt idx="188">
                  <c:v>45953</c:v>
                </c:pt>
                <c:pt idx="189">
                  <c:v>45954</c:v>
                </c:pt>
                <c:pt idx="190">
                  <c:v>45957</c:v>
                </c:pt>
                <c:pt idx="191">
                  <c:v>45958</c:v>
                </c:pt>
                <c:pt idx="192">
                  <c:v>45959</c:v>
                </c:pt>
                <c:pt idx="193">
                  <c:v>45960</c:v>
                </c:pt>
                <c:pt idx="194">
                  <c:v>45961</c:v>
                </c:pt>
                <c:pt idx="195">
                  <c:v>45964</c:v>
                </c:pt>
                <c:pt idx="196">
                  <c:v>45965</c:v>
                </c:pt>
                <c:pt idx="197">
                  <c:v>45966</c:v>
                </c:pt>
                <c:pt idx="198">
                  <c:v>45967</c:v>
                </c:pt>
                <c:pt idx="199">
                  <c:v>45968</c:v>
                </c:pt>
                <c:pt idx="200">
                  <c:v>45971</c:v>
                </c:pt>
                <c:pt idx="201">
                  <c:v>45972</c:v>
                </c:pt>
                <c:pt idx="202">
                  <c:v>45973</c:v>
                </c:pt>
                <c:pt idx="203">
                  <c:v>45974</c:v>
                </c:pt>
                <c:pt idx="204">
                  <c:v>45975</c:v>
                </c:pt>
                <c:pt idx="205">
                  <c:v>45978</c:v>
                </c:pt>
                <c:pt idx="206">
                  <c:v>45979</c:v>
                </c:pt>
                <c:pt idx="207">
                  <c:v>45980</c:v>
                </c:pt>
                <c:pt idx="208">
                  <c:v>45981</c:v>
                </c:pt>
                <c:pt idx="209">
                  <c:v>45982</c:v>
                </c:pt>
                <c:pt idx="210">
                  <c:v>45985</c:v>
                </c:pt>
                <c:pt idx="211">
                  <c:v>45986</c:v>
                </c:pt>
                <c:pt idx="212">
                  <c:v>45987</c:v>
                </c:pt>
                <c:pt idx="213">
                  <c:v>45988</c:v>
                </c:pt>
                <c:pt idx="214">
                  <c:v>45989</c:v>
                </c:pt>
                <c:pt idx="215">
                  <c:v>45992</c:v>
                </c:pt>
                <c:pt idx="216">
                  <c:v>45993</c:v>
                </c:pt>
                <c:pt idx="217">
                  <c:v>45994</c:v>
                </c:pt>
                <c:pt idx="218">
                  <c:v>45995</c:v>
                </c:pt>
                <c:pt idx="219">
                  <c:v>45996</c:v>
                </c:pt>
                <c:pt idx="220">
                  <c:v>45999</c:v>
                </c:pt>
                <c:pt idx="221">
                  <c:v>46000</c:v>
                </c:pt>
                <c:pt idx="222">
                  <c:v>46001</c:v>
                </c:pt>
                <c:pt idx="223">
                  <c:v>46002</c:v>
                </c:pt>
                <c:pt idx="224">
                  <c:v>46003</c:v>
                </c:pt>
                <c:pt idx="225">
                  <c:v>46006</c:v>
                </c:pt>
                <c:pt idx="226">
                  <c:v>46007</c:v>
                </c:pt>
                <c:pt idx="227">
                  <c:v>46008</c:v>
                </c:pt>
                <c:pt idx="228">
                  <c:v>46009</c:v>
                </c:pt>
                <c:pt idx="229">
                  <c:v>46010</c:v>
                </c:pt>
                <c:pt idx="230">
                  <c:v>46013</c:v>
                </c:pt>
                <c:pt idx="231">
                  <c:v>46014</c:v>
                </c:pt>
                <c:pt idx="232">
                  <c:v>46015</c:v>
                </c:pt>
                <c:pt idx="233">
                  <c:v>46016</c:v>
                </c:pt>
                <c:pt idx="234">
                  <c:v>46017</c:v>
                </c:pt>
                <c:pt idx="235">
                  <c:v>46020</c:v>
                </c:pt>
                <c:pt idx="236">
                  <c:v>46021</c:v>
                </c:pt>
                <c:pt idx="237">
                  <c:v>46022</c:v>
                </c:pt>
                <c:pt idx="238">
                  <c:v>46023</c:v>
                </c:pt>
                <c:pt idx="239">
                  <c:v>46024</c:v>
                </c:pt>
                <c:pt idx="240">
                  <c:v>46027</c:v>
                </c:pt>
                <c:pt idx="241">
                  <c:v>46028</c:v>
                </c:pt>
                <c:pt idx="242">
                  <c:v>46029</c:v>
                </c:pt>
                <c:pt idx="243">
                  <c:v>46030</c:v>
                </c:pt>
                <c:pt idx="244">
                  <c:v>46031</c:v>
                </c:pt>
                <c:pt idx="245">
                  <c:v>46034</c:v>
                </c:pt>
                <c:pt idx="246">
                  <c:v>46035</c:v>
                </c:pt>
                <c:pt idx="247">
                  <c:v>46036</c:v>
                </c:pt>
                <c:pt idx="248">
                  <c:v>46037</c:v>
                </c:pt>
                <c:pt idx="249">
                  <c:v>46038</c:v>
                </c:pt>
                <c:pt idx="250">
                  <c:v>46041</c:v>
                </c:pt>
                <c:pt idx="251">
                  <c:v>46042</c:v>
                </c:pt>
                <c:pt idx="252">
                  <c:v>46043</c:v>
                </c:pt>
                <c:pt idx="253">
                  <c:v>46044</c:v>
                </c:pt>
                <c:pt idx="254">
                  <c:v>46045</c:v>
                </c:pt>
                <c:pt idx="255">
                  <c:v>46048</c:v>
                </c:pt>
                <c:pt idx="256">
                  <c:v>46049</c:v>
                </c:pt>
                <c:pt idx="257">
                  <c:v>46050</c:v>
                </c:pt>
              </c:numCache>
            </c:numRef>
          </c:cat>
          <c:val>
            <c:numRef>
              <c:f>Graphs!$B$2:$B$259</c:f>
              <c:numCache>
                <c:formatCode>_("$"* #,##0_);_("$"* \(#,##0\);_("$"* "-"??_);_(@_)</c:formatCode>
                <c:ptCount val="258"/>
                <c:pt idx="0">
                  <c:v>2814.3449999999998</c:v>
                </c:pt>
                <c:pt idx="1">
                  <c:v>2842.0749999999998</c:v>
                </c:pt>
                <c:pt idx="2">
                  <c:v>2865.25</c:v>
                </c:pt>
                <c:pt idx="3">
                  <c:v>2856.6350000000002</c:v>
                </c:pt>
                <c:pt idx="4">
                  <c:v>2861.0949999999998</c:v>
                </c:pt>
                <c:pt idx="5">
                  <c:v>2907.4749999999999</c:v>
                </c:pt>
                <c:pt idx="6">
                  <c:v>2898.8539999999998</c:v>
                </c:pt>
                <c:pt idx="7">
                  <c:v>2903.8150000000001</c:v>
                </c:pt>
                <c:pt idx="8">
                  <c:v>2929.1750000000002</c:v>
                </c:pt>
                <c:pt idx="9">
                  <c:v>2883.5549999999998</c:v>
                </c:pt>
                <c:pt idx="10">
                  <c:v>2897.93</c:v>
                </c:pt>
                <c:pt idx="11">
                  <c:v>2935.72</c:v>
                </c:pt>
                <c:pt idx="12">
                  <c:v>2932.7950000000001</c:v>
                </c:pt>
                <c:pt idx="13">
                  <c:v>2939</c:v>
                </c:pt>
                <c:pt idx="14">
                  <c:v>2936.4050000000002</c:v>
                </c:pt>
                <c:pt idx="15">
                  <c:v>2951.9450000000002</c:v>
                </c:pt>
                <c:pt idx="16">
                  <c:v>2915.42</c:v>
                </c:pt>
                <c:pt idx="17">
                  <c:v>2916.8449999999998</c:v>
                </c:pt>
                <c:pt idx="18">
                  <c:v>2877.2449999999999</c:v>
                </c:pt>
                <c:pt idx="19">
                  <c:v>2858.77</c:v>
                </c:pt>
                <c:pt idx="20">
                  <c:v>2893.895</c:v>
                </c:pt>
                <c:pt idx="21">
                  <c:v>2917.66</c:v>
                </c:pt>
                <c:pt idx="22">
                  <c:v>2918.9949999999999</c:v>
                </c:pt>
                <c:pt idx="23">
                  <c:v>2910.645</c:v>
                </c:pt>
                <c:pt idx="24">
                  <c:v>2911.4450000000002</c:v>
                </c:pt>
                <c:pt idx="25">
                  <c:v>2889.933</c:v>
                </c:pt>
                <c:pt idx="26">
                  <c:v>2916.57</c:v>
                </c:pt>
                <c:pt idx="27">
                  <c:v>2932.6610000000001</c:v>
                </c:pt>
                <c:pt idx="28">
                  <c:v>2988.375</c:v>
                </c:pt>
                <c:pt idx="29">
                  <c:v>2984.7280000000001</c:v>
                </c:pt>
                <c:pt idx="30">
                  <c:v>3001.77</c:v>
                </c:pt>
                <c:pt idx="31">
                  <c:v>3034.2150000000001</c:v>
                </c:pt>
                <c:pt idx="32">
                  <c:v>3047.49</c:v>
                </c:pt>
                <c:pt idx="33">
                  <c:v>3044.7330000000002</c:v>
                </c:pt>
                <c:pt idx="34">
                  <c:v>3023.9580000000001</c:v>
                </c:pt>
                <c:pt idx="35">
                  <c:v>3012.64</c:v>
                </c:pt>
                <c:pt idx="36">
                  <c:v>3020.2350000000001</c:v>
                </c:pt>
                <c:pt idx="37">
                  <c:v>3019.56</c:v>
                </c:pt>
                <c:pt idx="38">
                  <c:v>3056.355</c:v>
                </c:pt>
                <c:pt idx="39">
                  <c:v>3085.2779999999998</c:v>
                </c:pt>
                <c:pt idx="40">
                  <c:v>3123.355</c:v>
                </c:pt>
                <c:pt idx="41">
                  <c:v>3111</c:v>
                </c:pt>
                <c:pt idx="42">
                  <c:v>3134.16</c:v>
                </c:pt>
                <c:pt idx="43">
                  <c:v>3113.1550000000002</c:v>
                </c:pt>
                <c:pt idx="44">
                  <c:v>3038.02</c:v>
                </c:pt>
                <c:pt idx="45">
                  <c:v>2983.39</c:v>
                </c:pt>
                <c:pt idx="46">
                  <c:v>2984.08</c:v>
                </c:pt>
                <c:pt idx="47">
                  <c:v>3082.9029999999998</c:v>
                </c:pt>
                <c:pt idx="48">
                  <c:v>3174.1849999999999</c:v>
                </c:pt>
                <c:pt idx="49">
                  <c:v>3237.35</c:v>
                </c:pt>
                <c:pt idx="50">
                  <c:v>3209.54</c:v>
                </c:pt>
                <c:pt idx="51">
                  <c:v>3228.38</c:v>
                </c:pt>
                <c:pt idx="52">
                  <c:v>3344.41</c:v>
                </c:pt>
                <c:pt idx="53">
                  <c:v>3327.7950000000001</c:v>
                </c:pt>
                <c:pt idx="54">
                  <c:v>3327.7950000000001</c:v>
                </c:pt>
                <c:pt idx="55">
                  <c:v>3425.43</c:v>
                </c:pt>
                <c:pt idx="56">
                  <c:v>3382.5450000000001</c:v>
                </c:pt>
                <c:pt idx="57">
                  <c:v>3288.26</c:v>
                </c:pt>
                <c:pt idx="58">
                  <c:v>3349.1019999999999</c:v>
                </c:pt>
                <c:pt idx="59">
                  <c:v>3319.45</c:v>
                </c:pt>
                <c:pt idx="60">
                  <c:v>3341.665</c:v>
                </c:pt>
                <c:pt idx="61">
                  <c:v>3317.1849999999999</c:v>
                </c:pt>
                <c:pt idx="62">
                  <c:v>3288.5880000000002</c:v>
                </c:pt>
                <c:pt idx="63">
                  <c:v>3241</c:v>
                </c:pt>
                <c:pt idx="64">
                  <c:v>3240.875</c:v>
                </c:pt>
                <c:pt idx="65">
                  <c:v>3334.5</c:v>
                </c:pt>
                <c:pt idx="66">
                  <c:v>3430.21</c:v>
                </c:pt>
                <c:pt idx="67">
                  <c:v>3365.2150000000001</c:v>
                </c:pt>
                <c:pt idx="68">
                  <c:v>3305.5149999999999</c:v>
                </c:pt>
                <c:pt idx="69">
                  <c:v>3324.625</c:v>
                </c:pt>
                <c:pt idx="70">
                  <c:v>3234.7</c:v>
                </c:pt>
                <c:pt idx="71">
                  <c:v>3248.4720000000002</c:v>
                </c:pt>
                <c:pt idx="72">
                  <c:v>3178.75</c:v>
                </c:pt>
                <c:pt idx="73">
                  <c:v>3240.873</c:v>
                </c:pt>
                <c:pt idx="74">
                  <c:v>3202.7750000000001</c:v>
                </c:pt>
                <c:pt idx="75">
                  <c:v>3229.85</c:v>
                </c:pt>
                <c:pt idx="76">
                  <c:v>3290.123</c:v>
                </c:pt>
                <c:pt idx="77">
                  <c:v>3314.9920000000002</c:v>
                </c:pt>
                <c:pt idx="78">
                  <c:v>3295</c:v>
                </c:pt>
                <c:pt idx="79">
                  <c:v>3357.4250000000002</c:v>
                </c:pt>
                <c:pt idx="80">
                  <c:v>3342.94</c:v>
                </c:pt>
                <c:pt idx="81">
                  <c:v>3300.683</c:v>
                </c:pt>
                <c:pt idx="82">
                  <c:v>3289.76</c:v>
                </c:pt>
                <c:pt idx="83">
                  <c:v>3317.0219999999999</c:v>
                </c:pt>
                <c:pt idx="84">
                  <c:v>3289.4050000000002</c:v>
                </c:pt>
                <c:pt idx="85">
                  <c:v>3380.21</c:v>
                </c:pt>
                <c:pt idx="86">
                  <c:v>3352.2449999999999</c:v>
                </c:pt>
                <c:pt idx="87">
                  <c:v>3376.5450000000001</c:v>
                </c:pt>
                <c:pt idx="88">
                  <c:v>3354.163</c:v>
                </c:pt>
                <c:pt idx="89">
                  <c:v>3310.1669999999999</c:v>
                </c:pt>
                <c:pt idx="90">
                  <c:v>3328.33</c:v>
                </c:pt>
                <c:pt idx="91">
                  <c:v>3322.52</c:v>
                </c:pt>
                <c:pt idx="92">
                  <c:v>3353.84</c:v>
                </c:pt>
                <c:pt idx="93">
                  <c:v>3385.2950000000001</c:v>
                </c:pt>
                <c:pt idx="94">
                  <c:v>3432.6370000000002</c:v>
                </c:pt>
                <c:pt idx="95">
                  <c:v>3383.2049999999999</c:v>
                </c:pt>
                <c:pt idx="96">
                  <c:v>3383.2049999999999</c:v>
                </c:pt>
                <c:pt idx="97">
                  <c:v>3369.09</c:v>
                </c:pt>
                <c:pt idx="98">
                  <c:v>3370.752</c:v>
                </c:pt>
                <c:pt idx="99">
                  <c:v>3368.2350000000001</c:v>
                </c:pt>
                <c:pt idx="100">
                  <c:v>3368.8820000000001</c:v>
                </c:pt>
                <c:pt idx="101">
                  <c:v>3324.2</c:v>
                </c:pt>
                <c:pt idx="102">
                  <c:v>3332.4650000000001</c:v>
                </c:pt>
                <c:pt idx="103">
                  <c:v>3328.0650000000001</c:v>
                </c:pt>
                <c:pt idx="104">
                  <c:v>3274.248</c:v>
                </c:pt>
                <c:pt idx="105">
                  <c:v>3303.69</c:v>
                </c:pt>
                <c:pt idx="106">
                  <c:v>3339.2060000000001</c:v>
                </c:pt>
                <c:pt idx="107">
                  <c:v>3357.355</c:v>
                </c:pt>
                <c:pt idx="108">
                  <c:v>3326.5650000000001</c:v>
                </c:pt>
                <c:pt idx="109">
                  <c:v>3336.64</c:v>
                </c:pt>
                <c:pt idx="110">
                  <c:v>3335.61</c:v>
                </c:pt>
                <c:pt idx="111">
                  <c:v>3300.7</c:v>
                </c:pt>
                <c:pt idx="112">
                  <c:v>3313.723</c:v>
                </c:pt>
                <c:pt idx="113">
                  <c:v>3323.07</c:v>
                </c:pt>
                <c:pt idx="114">
                  <c:v>3355.9050000000002</c:v>
                </c:pt>
                <c:pt idx="115">
                  <c:v>3343.8</c:v>
                </c:pt>
                <c:pt idx="116">
                  <c:v>3322.63</c:v>
                </c:pt>
                <c:pt idx="117">
                  <c:v>3346.585</c:v>
                </c:pt>
                <c:pt idx="118">
                  <c:v>3338.9520000000002</c:v>
                </c:pt>
                <c:pt idx="119">
                  <c:v>3350.395</c:v>
                </c:pt>
                <c:pt idx="120">
                  <c:v>3395.8</c:v>
                </c:pt>
                <c:pt idx="121">
                  <c:v>3431.498</c:v>
                </c:pt>
                <c:pt idx="122">
                  <c:v>3387.7849999999999</c:v>
                </c:pt>
                <c:pt idx="123">
                  <c:v>3368.1550000000002</c:v>
                </c:pt>
                <c:pt idx="124">
                  <c:v>3337.1750000000002</c:v>
                </c:pt>
                <c:pt idx="125">
                  <c:v>3314.645</c:v>
                </c:pt>
                <c:pt idx="126">
                  <c:v>3326.8429999999998</c:v>
                </c:pt>
                <c:pt idx="127">
                  <c:v>3275.252</c:v>
                </c:pt>
                <c:pt idx="128">
                  <c:v>3290.3249999999998</c:v>
                </c:pt>
                <c:pt idx="129">
                  <c:v>3362.8829999999998</c:v>
                </c:pt>
                <c:pt idx="130">
                  <c:v>3373.375</c:v>
                </c:pt>
                <c:pt idx="131">
                  <c:v>3381.2649999999999</c:v>
                </c:pt>
                <c:pt idx="132">
                  <c:v>3369.0419999999999</c:v>
                </c:pt>
                <c:pt idx="133">
                  <c:v>3397.31</c:v>
                </c:pt>
                <c:pt idx="134">
                  <c:v>3398.78</c:v>
                </c:pt>
                <c:pt idx="135">
                  <c:v>3344.8330000000001</c:v>
                </c:pt>
                <c:pt idx="136">
                  <c:v>3346.2</c:v>
                </c:pt>
                <c:pt idx="137">
                  <c:v>3354.73</c:v>
                </c:pt>
                <c:pt idx="138">
                  <c:v>3336.5</c:v>
                </c:pt>
                <c:pt idx="139">
                  <c:v>3335.39</c:v>
                </c:pt>
                <c:pt idx="140">
                  <c:v>3330.5450000000001</c:v>
                </c:pt>
                <c:pt idx="141">
                  <c:v>3315.4650000000001</c:v>
                </c:pt>
                <c:pt idx="142">
                  <c:v>3347.105</c:v>
                </c:pt>
                <c:pt idx="143">
                  <c:v>3338.8150000000001</c:v>
                </c:pt>
                <c:pt idx="144">
                  <c:v>3372.105</c:v>
                </c:pt>
                <c:pt idx="145">
                  <c:v>3366.79</c:v>
                </c:pt>
                <c:pt idx="146">
                  <c:v>3392.875</c:v>
                </c:pt>
                <c:pt idx="147">
                  <c:v>3397.4250000000002</c:v>
                </c:pt>
                <c:pt idx="148">
                  <c:v>3417.2</c:v>
                </c:pt>
                <c:pt idx="149">
                  <c:v>3447.9949999999999</c:v>
                </c:pt>
                <c:pt idx="150">
                  <c:v>3476.47</c:v>
                </c:pt>
                <c:pt idx="151">
                  <c:v>3533.7350000000001</c:v>
                </c:pt>
                <c:pt idx="152">
                  <c:v>3559.4349999999999</c:v>
                </c:pt>
                <c:pt idx="153">
                  <c:v>3546.17</c:v>
                </c:pt>
                <c:pt idx="154">
                  <c:v>3586.8150000000001</c:v>
                </c:pt>
                <c:pt idx="155">
                  <c:v>3635.8449999999998</c:v>
                </c:pt>
                <c:pt idx="156">
                  <c:v>3626.48</c:v>
                </c:pt>
                <c:pt idx="157">
                  <c:v>3640.7420000000002</c:v>
                </c:pt>
                <c:pt idx="158">
                  <c:v>3634.0929999999998</c:v>
                </c:pt>
                <c:pt idx="159">
                  <c:v>3643.125</c:v>
                </c:pt>
                <c:pt idx="160">
                  <c:v>3679.1329999999998</c:v>
                </c:pt>
                <c:pt idx="161">
                  <c:v>3689.8020000000001</c:v>
                </c:pt>
                <c:pt idx="162">
                  <c:v>3660.0419999999999</c:v>
                </c:pt>
                <c:pt idx="163">
                  <c:v>3644.3620000000001</c:v>
                </c:pt>
                <c:pt idx="164">
                  <c:v>3684.9749999999999</c:v>
                </c:pt>
                <c:pt idx="165">
                  <c:v>3746.4749999999999</c:v>
                </c:pt>
                <c:pt idx="166">
                  <c:v>3764.192</c:v>
                </c:pt>
                <c:pt idx="167">
                  <c:v>3736.2919999999999</c:v>
                </c:pt>
                <c:pt idx="168">
                  <c:v>3749.37</c:v>
                </c:pt>
                <c:pt idx="169">
                  <c:v>3760.2350000000001</c:v>
                </c:pt>
                <c:pt idx="170">
                  <c:v>3833.933</c:v>
                </c:pt>
                <c:pt idx="171">
                  <c:v>3858.5120000000002</c:v>
                </c:pt>
                <c:pt idx="172">
                  <c:v>3865.8020000000001</c:v>
                </c:pt>
                <c:pt idx="173">
                  <c:v>3856.53</c:v>
                </c:pt>
                <c:pt idx="174">
                  <c:v>3886.835</c:v>
                </c:pt>
                <c:pt idx="175">
                  <c:v>3961.09</c:v>
                </c:pt>
                <c:pt idx="176">
                  <c:v>3983.82</c:v>
                </c:pt>
                <c:pt idx="177">
                  <c:v>4038.9</c:v>
                </c:pt>
                <c:pt idx="178">
                  <c:v>3976.2950000000001</c:v>
                </c:pt>
                <c:pt idx="179">
                  <c:v>4018.2959999999998</c:v>
                </c:pt>
                <c:pt idx="180">
                  <c:v>4110.7030000000004</c:v>
                </c:pt>
                <c:pt idx="181">
                  <c:v>4142.3159999999998</c:v>
                </c:pt>
                <c:pt idx="182">
                  <c:v>4208.5860000000002</c:v>
                </c:pt>
                <c:pt idx="183">
                  <c:v>4326.1840000000002</c:v>
                </c:pt>
                <c:pt idx="184">
                  <c:v>4249.9769999999999</c:v>
                </c:pt>
                <c:pt idx="185">
                  <c:v>4356.5039999999999</c:v>
                </c:pt>
                <c:pt idx="186">
                  <c:v>4125.1019999999999</c:v>
                </c:pt>
                <c:pt idx="187">
                  <c:v>4094.07</c:v>
                </c:pt>
                <c:pt idx="188">
                  <c:v>4126.1719999999996</c:v>
                </c:pt>
                <c:pt idx="189">
                  <c:v>4112.1019999999999</c:v>
                </c:pt>
                <c:pt idx="190">
                  <c:v>3981.5929999999998</c:v>
                </c:pt>
                <c:pt idx="191">
                  <c:v>3952.585</c:v>
                </c:pt>
                <c:pt idx="192">
                  <c:v>3930.38</c:v>
                </c:pt>
                <c:pt idx="193">
                  <c:v>4024.47</c:v>
                </c:pt>
                <c:pt idx="194">
                  <c:v>4002.28</c:v>
                </c:pt>
                <c:pt idx="195">
                  <c:v>4001.67</c:v>
                </c:pt>
                <c:pt idx="196">
                  <c:v>3932.0450000000001</c:v>
                </c:pt>
                <c:pt idx="197">
                  <c:v>3982.6149999999998</c:v>
                </c:pt>
                <c:pt idx="198">
                  <c:v>3977.8649999999998</c:v>
                </c:pt>
                <c:pt idx="199">
                  <c:v>3999.72</c:v>
                </c:pt>
                <c:pt idx="200">
                  <c:v>4115.8950000000004</c:v>
                </c:pt>
                <c:pt idx="201">
                  <c:v>4126.6840000000002</c:v>
                </c:pt>
                <c:pt idx="202">
                  <c:v>4198.7340000000004</c:v>
                </c:pt>
                <c:pt idx="203">
                  <c:v>4171.4610000000002</c:v>
                </c:pt>
                <c:pt idx="204">
                  <c:v>4079.58</c:v>
                </c:pt>
                <c:pt idx="205">
                  <c:v>4044.605</c:v>
                </c:pt>
                <c:pt idx="206">
                  <c:v>4067.875</c:v>
                </c:pt>
                <c:pt idx="207">
                  <c:v>4081.66</c:v>
                </c:pt>
                <c:pt idx="208">
                  <c:v>4077.4949999999999</c:v>
                </c:pt>
                <c:pt idx="209">
                  <c:v>4065.895</c:v>
                </c:pt>
                <c:pt idx="210">
                  <c:v>4139.6949999999997</c:v>
                </c:pt>
                <c:pt idx="211">
                  <c:v>4131.1480000000001</c:v>
                </c:pt>
                <c:pt idx="212">
                  <c:v>4164.5940000000001</c:v>
                </c:pt>
                <c:pt idx="213">
                  <c:v>4157.57</c:v>
                </c:pt>
                <c:pt idx="214">
                  <c:v>4230.625</c:v>
                </c:pt>
                <c:pt idx="215">
                  <c:v>4232.7269999999999</c:v>
                </c:pt>
                <c:pt idx="216">
                  <c:v>4208.1409999999996</c:v>
                </c:pt>
                <c:pt idx="217">
                  <c:v>4206.2150000000001</c:v>
                </c:pt>
                <c:pt idx="218">
                  <c:v>4208.6909999999998</c:v>
                </c:pt>
                <c:pt idx="219">
                  <c:v>4197.1289999999999</c:v>
                </c:pt>
                <c:pt idx="220">
                  <c:v>4189.0469999999996</c:v>
                </c:pt>
                <c:pt idx="221">
                  <c:v>4209.5389999999998</c:v>
                </c:pt>
                <c:pt idx="222">
                  <c:v>4228.5469999999996</c:v>
                </c:pt>
                <c:pt idx="223">
                  <c:v>4283.2809999999999</c:v>
                </c:pt>
                <c:pt idx="224">
                  <c:v>4302.43</c:v>
                </c:pt>
                <c:pt idx="225">
                  <c:v>4302.6949999999997</c:v>
                </c:pt>
                <c:pt idx="226">
                  <c:v>4303.8010000000004</c:v>
                </c:pt>
                <c:pt idx="227">
                  <c:v>4341.0780000000004</c:v>
                </c:pt>
                <c:pt idx="228">
                  <c:v>4332.3950000000004</c:v>
                </c:pt>
                <c:pt idx="229">
                  <c:v>4338.5469999999996</c:v>
                </c:pt>
                <c:pt idx="230">
                  <c:v>4445.9449999999997</c:v>
                </c:pt>
                <c:pt idx="231">
                  <c:v>4488.8159999999998</c:v>
                </c:pt>
                <c:pt idx="232">
                  <c:v>4479.6369999999997</c:v>
                </c:pt>
                <c:pt idx="233">
                  <c:v>4479.6369999999997</c:v>
                </c:pt>
                <c:pt idx="234">
                  <c:v>4532.625</c:v>
                </c:pt>
                <c:pt idx="235">
                  <c:v>4332.0780000000004</c:v>
                </c:pt>
                <c:pt idx="236">
                  <c:v>4346.5119999999997</c:v>
                </c:pt>
                <c:pt idx="237">
                  <c:v>4315.0940000000001</c:v>
                </c:pt>
                <c:pt idx="238">
                  <c:v>4315.0940000000001</c:v>
                </c:pt>
                <c:pt idx="239">
                  <c:v>4330.4960000000001</c:v>
                </c:pt>
                <c:pt idx="240">
                  <c:v>4448.4690000000001</c:v>
                </c:pt>
                <c:pt idx="241">
                  <c:v>4497.3440000000001</c:v>
                </c:pt>
                <c:pt idx="242">
                  <c:v>4453.0389999999998</c:v>
                </c:pt>
                <c:pt idx="243">
                  <c:v>4476.7299999999996</c:v>
                </c:pt>
                <c:pt idx="244">
                  <c:v>4510.4489999999996</c:v>
                </c:pt>
                <c:pt idx="245">
                  <c:v>4593.9960000000001</c:v>
                </c:pt>
                <c:pt idx="246">
                  <c:v>4587.9960000000001</c:v>
                </c:pt>
                <c:pt idx="247">
                  <c:v>4620.8360000000002</c:v>
                </c:pt>
                <c:pt idx="248">
                  <c:v>4614.9059999999999</c:v>
                </c:pt>
                <c:pt idx="249">
                  <c:v>4595.1019999999999</c:v>
                </c:pt>
                <c:pt idx="250">
                  <c:v>4671.0200000000004</c:v>
                </c:pt>
                <c:pt idx="251">
                  <c:v>4763.4880000000003</c:v>
                </c:pt>
                <c:pt idx="252">
                  <c:v>4836.6719999999996</c:v>
                </c:pt>
                <c:pt idx="253">
                  <c:v>4936.7460000000001</c:v>
                </c:pt>
                <c:pt idx="254">
                  <c:v>4982.9059999999999</c:v>
                </c:pt>
                <c:pt idx="255">
                  <c:v>5015.3440000000001</c:v>
                </c:pt>
                <c:pt idx="256">
                  <c:v>5189.6210000000001</c:v>
                </c:pt>
                <c:pt idx="257">
                  <c:v>5400.2460000000001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502-42AB-9951-25BD7009DC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3632319"/>
        <c:axId val="213633399"/>
      </c:lineChart>
      <c:dateAx>
        <c:axId val="213632319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633399"/>
        <c:crosses val="autoZero"/>
        <c:auto val="1"/>
        <c:lblOffset val="100"/>
        <c:baseTimeUnit val="days"/>
      </c:dateAx>
      <c:valAx>
        <c:axId val="213633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6323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Silver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Graphs!$C$1</c:f>
              <c:strCache>
                <c:ptCount val="1"/>
                <c:pt idx="0">
                  <c:v>Silver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Graphs!$A$2:$A$259</c:f>
              <c:numCache>
                <c:formatCode>m/d/yyyy</c:formatCode>
                <c:ptCount val="258"/>
                <c:pt idx="0">
                  <c:v>45691</c:v>
                </c:pt>
                <c:pt idx="1">
                  <c:v>45692</c:v>
                </c:pt>
                <c:pt idx="2">
                  <c:v>45693</c:v>
                </c:pt>
                <c:pt idx="3">
                  <c:v>45694</c:v>
                </c:pt>
                <c:pt idx="4">
                  <c:v>45695</c:v>
                </c:pt>
                <c:pt idx="5">
                  <c:v>45698</c:v>
                </c:pt>
                <c:pt idx="6">
                  <c:v>45699</c:v>
                </c:pt>
                <c:pt idx="7">
                  <c:v>45700</c:v>
                </c:pt>
                <c:pt idx="8">
                  <c:v>45701</c:v>
                </c:pt>
                <c:pt idx="9">
                  <c:v>45702</c:v>
                </c:pt>
                <c:pt idx="10">
                  <c:v>45705</c:v>
                </c:pt>
                <c:pt idx="11">
                  <c:v>45706</c:v>
                </c:pt>
                <c:pt idx="12">
                  <c:v>45707</c:v>
                </c:pt>
                <c:pt idx="13">
                  <c:v>45708</c:v>
                </c:pt>
                <c:pt idx="14">
                  <c:v>45709</c:v>
                </c:pt>
                <c:pt idx="15">
                  <c:v>45712</c:v>
                </c:pt>
                <c:pt idx="16">
                  <c:v>45713</c:v>
                </c:pt>
                <c:pt idx="17">
                  <c:v>45714</c:v>
                </c:pt>
                <c:pt idx="18">
                  <c:v>45715</c:v>
                </c:pt>
                <c:pt idx="19">
                  <c:v>45716</c:v>
                </c:pt>
                <c:pt idx="20">
                  <c:v>45719</c:v>
                </c:pt>
                <c:pt idx="21">
                  <c:v>45720</c:v>
                </c:pt>
                <c:pt idx="22">
                  <c:v>45721</c:v>
                </c:pt>
                <c:pt idx="23">
                  <c:v>45722</c:v>
                </c:pt>
                <c:pt idx="24">
                  <c:v>45723</c:v>
                </c:pt>
                <c:pt idx="25">
                  <c:v>45726</c:v>
                </c:pt>
                <c:pt idx="26">
                  <c:v>45727</c:v>
                </c:pt>
                <c:pt idx="27">
                  <c:v>45728</c:v>
                </c:pt>
                <c:pt idx="28">
                  <c:v>45729</c:v>
                </c:pt>
                <c:pt idx="29">
                  <c:v>45730</c:v>
                </c:pt>
                <c:pt idx="30">
                  <c:v>45733</c:v>
                </c:pt>
                <c:pt idx="31">
                  <c:v>45734</c:v>
                </c:pt>
                <c:pt idx="32">
                  <c:v>45735</c:v>
                </c:pt>
                <c:pt idx="33">
                  <c:v>45736</c:v>
                </c:pt>
                <c:pt idx="34">
                  <c:v>45737</c:v>
                </c:pt>
                <c:pt idx="35">
                  <c:v>45740</c:v>
                </c:pt>
                <c:pt idx="36">
                  <c:v>45741</c:v>
                </c:pt>
                <c:pt idx="37">
                  <c:v>45742</c:v>
                </c:pt>
                <c:pt idx="38">
                  <c:v>45743</c:v>
                </c:pt>
                <c:pt idx="39">
                  <c:v>45744</c:v>
                </c:pt>
                <c:pt idx="40">
                  <c:v>45747</c:v>
                </c:pt>
                <c:pt idx="41">
                  <c:v>45748</c:v>
                </c:pt>
                <c:pt idx="42">
                  <c:v>45749</c:v>
                </c:pt>
                <c:pt idx="43">
                  <c:v>45750</c:v>
                </c:pt>
                <c:pt idx="44">
                  <c:v>45751</c:v>
                </c:pt>
                <c:pt idx="45">
                  <c:v>45754</c:v>
                </c:pt>
                <c:pt idx="46">
                  <c:v>45755</c:v>
                </c:pt>
                <c:pt idx="47">
                  <c:v>45756</c:v>
                </c:pt>
                <c:pt idx="48">
                  <c:v>45757</c:v>
                </c:pt>
                <c:pt idx="49">
                  <c:v>45758</c:v>
                </c:pt>
                <c:pt idx="50">
                  <c:v>45761</c:v>
                </c:pt>
                <c:pt idx="51">
                  <c:v>45762</c:v>
                </c:pt>
                <c:pt idx="52">
                  <c:v>45763</c:v>
                </c:pt>
                <c:pt idx="53">
                  <c:v>45764</c:v>
                </c:pt>
                <c:pt idx="54">
                  <c:v>45765</c:v>
                </c:pt>
                <c:pt idx="55">
                  <c:v>45768</c:v>
                </c:pt>
                <c:pt idx="56">
                  <c:v>45769</c:v>
                </c:pt>
                <c:pt idx="57">
                  <c:v>45770</c:v>
                </c:pt>
                <c:pt idx="58">
                  <c:v>45771</c:v>
                </c:pt>
                <c:pt idx="59">
                  <c:v>45772</c:v>
                </c:pt>
                <c:pt idx="60">
                  <c:v>45775</c:v>
                </c:pt>
                <c:pt idx="61">
                  <c:v>45776</c:v>
                </c:pt>
                <c:pt idx="62">
                  <c:v>45777</c:v>
                </c:pt>
                <c:pt idx="63">
                  <c:v>45778</c:v>
                </c:pt>
                <c:pt idx="64">
                  <c:v>45779</c:v>
                </c:pt>
                <c:pt idx="65">
                  <c:v>45782</c:v>
                </c:pt>
                <c:pt idx="66">
                  <c:v>45783</c:v>
                </c:pt>
                <c:pt idx="67">
                  <c:v>45784</c:v>
                </c:pt>
                <c:pt idx="68">
                  <c:v>45785</c:v>
                </c:pt>
                <c:pt idx="69">
                  <c:v>45786</c:v>
                </c:pt>
                <c:pt idx="70">
                  <c:v>45789</c:v>
                </c:pt>
                <c:pt idx="71">
                  <c:v>45790</c:v>
                </c:pt>
                <c:pt idx="72">
                  <c:v>45791</c:v>
                </c:pt>
                <c:pt idx="73">
                  <c:v>45792</c:v>
                </c:pt>
                <c:pt idx="74">
                  <c:v>45793</c:v>
                </c:pt>
                <c:pt idx="75">
                  <c:v>45796</c:v>
                </c:pt>
                <c:pt idx="76">
                  <c:v>45797</c:v>
                </c:pt>
                <c:pt idx="77">
                  <c:v>45798</c:v>
                </c:pt>
                <c:pt idx="78">
                  <c:v>45799</c:v>
                </c:pt>
                <c:pt idx="79">
                  <c:v>45800</c:v>
                </c:pt>
                <c:pt idx="80">
                  <c:v>45803</c:v>
                </c:pt>
                <c:pt idx="81">
                  <c:v>45804</c:v>
                </c:pt>
                <c:pt idx="82">
                  <c:v>45805</c:v>
                </c:pt>
                <c:pt idx="83">
                  <c:v>45806</c:v>
                </c:pt>
                <c:pt idx="84">
                  <c:v>45807</c:v>
                </c:pt>
                <c:pt idx="85">
                  <c:v>45810</c:v>
                </c:pt>
                <c:pt idx="86">
                  <c:v>45811</c:v>
                </c:pt>
                <c:pt idx="87">
                  <c:v>45812</c:v>
                </c:pt>
                <c:pt idx="88">
                  <c:v>45813</c:v>
                </c:pt>
                <c:pt idx="89">
                  <c:v>45814</c:v>
                </c:pt>
                <c:pt idx="90">
                  <c:v>45817</c:v>
                </c:pt>
                <c:pt idx="91">
                  <c:v>45818</c:v>
                </c:pt>
                <c:pt idx="92">
                  <c:v>45819</c:v>
                </c:pt>
                <c:pt idx="93">
                  <c:v>45820</c:v>
                </c:pt>
                <c:pt idx="94">
                  <c:v>45821</c:v>
                </c:pt>
                <c:pt idx="95">
                  <c:v>45824</c:v>
                </c:pt>
                <c:pt idx="96">
                  <c:v>45825</c:v>
                </c:pt>
                <c:pt idx="97">
                  <c:v>45826</c:v>
                </c:pt>
                <c:pt idx="98">
                  <c:v>45827</c:v>
                </c:pt>
                <c:pt idx="99">
                  <c:v>45828</c:v>
                </c:pt>
                <c:pt idx="100">
                  <c:v>45831</c:v>
                </c:pt>
                <c:pt idx="101">
                  <c:v>45832</c:v>
                </c:pt>
                <c:pt idx="102">
                  <c:v>45833</c:v>
                </c:pt>
                <c:pt idx="103">
                  <c:v>45834</c:v>
                </c:pt>
                <c:pt idx="104">
                  <c:v>45835</c:v>
                </c:pt>
                <c:pt idx="105">
                  <c:v>45838</c:v>
                </c:pt>
                <c:pt idx="106">
                  <c:v>45839</c:v>
                </c:pt>
                <c:pt idx="107">
                  <c:v>45840</c:v>
                </c:pt>
                <c:pt idx="108">
                  <c:v>45841</c:v>
                </c:pt>
                <c:pt idx="109">
                  <c:v>45842</c:v>
                </c:pt>
                <c:pt idx="110">
                  <c:v>45845</c:v>
                </c:pt>
                <c:pt idx="111">
                  <c:v>45846</c:v>
                </c:pt>
                <c:pt idx="112">
                  <c:v>45847</c:v>
                </c:pt>
                <c:pt idx="113">
                  <c:v>45848</c:v>
                </c:pt>
                <c:pt idx="114">
                  <c:v>45849</c:v>
                </c:pt>
                <c:pt idx="115">
                  <c:v>45852</c:v>
                </c:pt>
                <c:pt idx="116">
                  <c:v>45853</c:v>
                </c:pt>
                <c:pt idx="117">
                  <c:v>45854</c:v>
                </c:pt>
                <c:pt idx="118">
                  <c:v>45855</c:v>
                </c:pt>
                <c:pt idx="119">
                  <c:v>45856</c:v>
                </c:pt>
                <c:pt idx="120">
                  <c:v>45859</c:v>
                </c:pt>
                <c:pt idx="121">
                  <c:v>45860</c:v>
                </c:pt>
                <c:pt idx="122">
                  <c:v>45861</c:v>
                </c:pt>
                <c:pt idx="123">
                  <c:v>45862</c:v>
                </c:pt>
                <c:pt idx="124">
                  <c:v>45863</c:v>
                </c:pt>
                <c:pt idx="125">
                  <c:v>45866</c:v>
                </c:pt>
                <c:pt idx="126">
                  <c:v>45867</c:v>
                </c:pt>
                <c:pt idx="127">
                  <c:v>45868</c:v>
                </c:pt>
                <c:pt idx="128">
                  <c:v>45869</c:v>
                </c:pt>
                <c:pt idx="129">
                  <c:v>45870</c:v>
                </c:pt>
                <c:pt idx="130">
                  <c:v>45873</c:v>
                </c:pt>
                <c:pt idx="131">
                  <c:v>45874</c:v>
                </c:pt>
                <c:pt idx="132">
                  <c:v>45875</c:v>
                </c:pt>
                <c:pt idx="133">
                  <c:v>45876</c:v>
                </c:pt>
                <c:pt idx="134">
                  <c:v>45877</c:v>
                </c:pt>
                <c:pt idx="135">
                  <c:v>45880</c:v>
                </c:pt>
                <c:pt idx="136">
                  <c:v>45881</c:v>
                </c:pt>
                <c:pt idx="137">
                  <c:v>45882</c:v>
                </c:pt>
                <c:pt idx="138">
                  <c:v>45883</c:v>
                </c:pt>
                <c:pt idx="139">
                  <c:v>45884</c:v>
                </c:pt>
                <c:pt idx="140">
                  <c:v>45887</c:v>
                </c:pt>
                <c:pt idx="141">
                  <c:v>45888</c:v>
                </c:pt>
                <c:pt idx="142">
                  <c:v>45889</c:v>
                </c:pt>
                <c:pt idx="143">
                  <c:v>45890</c:v>
                </c:pt>
                <c:pt idx="144">
                  <c:v>45891</c:v>
                </c:pt>
                <c:pt idx="145">
                  <c:v>45894</c:v>
                </c:pt>
                <c:pt idx="146">
                  <c:v>45895</c:v>
                </c:pt>
                <c:pt idx="147">
                  <c:v>45896</c:v>
                </c:pt>
                <c:pt idx="148">
                  <c:v>45897</c:v>
                </c:pt>
                <c:pt idx="149">
                  <c:v>45898</c:v>
                </c:pt>
                <c:pt idx="150">
                  <c:v>45901</c:v>
                </c:pt>
                <c:pt idx="151">
                  <c:v>45902</c:v>
                </c:pt>
                <c:pt idx="152">
                  <c:v>45903</c:v>
                </c:pt>
                <c:pt idx="153">
                  <c:v>45904</c:v>
                </c:pt>
                <c:pt idx="154">
                  <c:v>45905</c:v>
                </c:pt>
                <c:pt idx="155">
                  <c:v>45908</c:v>
                </c:pt>
                <c:pt idx="156">
                  <c:v>45909</c:v>
                </c:pt>
                <c:pt idx="157">
                  <c:v>45910</c:v>
                </c:pt>
                <c:pt idx="158">
                  <c:v>45911</c:v>
                </c:pt>
                <c:pt idx="159">
                  <c:v>45912</c:v>
                </c:pt>
                <c:pt idx="160">
                  <c:v>45915</c:v>
                </c:pt>
                <c:pt idx="161">
                  <c:v>45916</c:v>
                </c:pt>
                <c:pt idx="162">
                  <c:v>45917</c:v>
                </c:pt>
                <c:pt idx="163">
                  <c:v>45918</c:v>
                </c:pt>
                <c:pt idx="164">
                  <c:v>45919</c:v>
                </c:pt>
                <c:pt idx="165">
                  <c:v>45922</c:v>
                </c:pt>
                <c:pt idx="166">
                  <c:v>45923</c:v>
                </c:pt>
                <c:pt idx="167">
                  <c:v>45924</c:v>
                </c:pt>
                <c:pt idx="168">
                  <c:v>45925</c:v>
                </c:pt>
                <c:pt idx="169">
                  <c:v>45926</c:v>
                </c:pt>
                <c:pt idx="170">
                  <c:v>45929</c:v>
                </c:pt>
                <c:pt idx="171">
                  <c:v>45930</c:v>
                </c:pt>
                <c:pt idx="172">
                  <c:v>45931</c:v>
                </c:pt>
                <c:pt idx="173">
                  <c:v>45932</c:v>
                </c:pt>
                <c:pt idx="174">
                  <c:v>45933</c:v>
                </c:pt>
                <c:pt idx="175">
                  <c:v>45936</c:v>
                </c:pt>
                <c:pt idx="176">
                  <c:v>45937</c:v>
                </c:pt>
                <c:pt idx="177">
                  <c:v>45938</c:v>
                </c:pt>
                <c:pt idx="178">
                  <c:v>45939</c:v>
                </c:pt>
                <c:pt idx="179">
                  <c:v>45940</c:v>
                </c:pt>
                <c:pt idx="180">
                  <c:v>45943</c:v>
                </c:pt>
                <c:pt idx="181">
                  <c:v>45944</c:v>
                </c:pt>
                <c:pt idx="182">
                  <c:v>45945</c:v>
                </c:pt>
                <c:pt idx="183">
                  <c:v>45946</c:v>
                </c:pt>
                <c:pt idx="184">
                  <c:v>45947</c:v>
                </c:pt>
                <c:pt idx="185">
                  <c:v>45950</c:v>
                </c:pt>
                <c:pt idx="186">
                  <c:v>45951</c:v>
                </c:pt>
                <c:pt idx="187">
                  <c:v>45952</c:v>
                </c:pt>
                <c:pt idx="188">
                  <c:v>45953</c:v>
                </c:pt>
                <c:pt idx="189">
                  <c:v>45954</c:v>
                </c:pt>
                <c:pt idx="190">
                  <c:v>45957</c:v>
                </c:pt>
                <c:pt idx="191">
                  <c:v>45958</c:v>
                </c:pt>
                <c:pt idx="192">
                  <c:v>45959</c:v>
                </c:pt>
                <c:pt idx="193">
                  <c:v>45960</c:v>
                </c:pt>
                <c:pt idx="194">
                  <c:v>45961</c:v>
                </c:pt>
                <c:pt idx="195">
                  <c:v>45964</c:v>
                </c:pt>
                <c:pt idx="196">
                  <c:v>45965</c:v>
                </c:pt>
                <c:pt idx="197">
                  <c:v>45966</c:v>
                </c:pt>
                <c:pt idx="198">
                  <c:v>45967</c:v>
                </c:pt>
                <c:pt idx="199">
                  <c:v>45968</c:v>
                </c:pt>
                <c:pt idx="200">
                  <c:v>45971</c:v>
                </c:pt>
                <c:pt idx="201">
                  <c:v>45972</c:v>
                </c:pt>
                <c:pt idx="202">
                  <c:v>45973</c:v>
                </c:pt>
                <c:pt idx="203">
                  <c:v>45974</c:v>
                </c:pt>
                <c:pt idx="204">
                  <c:v>45975</c:v>
                </c:pt>
                <c:pt idx="205">
                  <c:v>45978</c:v>
                </c:pt>
                <c:pt idx="206">
                  <c:v>45979</c:v>
                </c:pt>
                <c:pt idx="207">
                  <c:v>45980</c:v>
                </c:pt>
                <c:pt idx="208">
                  <c:v>45981</c:v>
                </c:pt>
                <c:pt idx="209">
                  <c:v>45982</c:v>
                </c:pt>
                <c:pt idx="210">
                  <c:v>45985</c:v>
                </c:pt>
                <c:pt idx="211">
                  <c:v>45986</c:v>
                </c:pt>
                <c:pt idx="212">
                  <c:v>45987</c:v>
                </c:pt>
                <c:pt idx="213">
                  <c:v>45988</c:v>
                </c:pt>
                <c:pt idx="214">
                  <c:v>45989</c:v>
                </c:pt>
                <c:pt idx="215">
                  <c:v>45992</c:v>
                </c:pt>
                <c:pt idx="216">
                  <c:v>45993</c:v>
                </c:pt>
                <c:pt idx="217">
                  <c:v>45994</c:v>
                </c:pt>
                <c:pt idx="218">
                  <c:v>45995</c:v>
                </c:pt>
                <c:pt idx="219">
                  <c:v>45996</c:v>
                </c:pt>
                <c:pt idx="220">
                  <c:v>45999</c:v>
                </c:pt>
                <c:pt idx="221">
                  <c:v>46000</c:v>
                </c:pt>
                <c:pt idx="222">
                  <c:v>46001</c:v>
                </c:pt>
                <c:pt idx="223">
                  <c:v>46002</c:v>
                </c:pt>
                <c:pt idx="224">
                  <c:v>46003</c:v>
                </c:pt>
                <c:pt idx="225">
                  <c:v>46006</c:v>
                </c:pt>
                <c:pt idx="226">
                  <c:v>46007</c:v>
                </c:pt>
                <c:pt idx="227">
                  <c:v>46008</c:v>
                </c:pt>
                <c:pt idx="228">
                  <c:v>46009</c:v>
                </c:pt>
                <c:pt idx="229">
                  <c:v>46010</c:v>
                </c:pt>
                <c:pt idx="230">
                  <c:v>46013</c:v>
                </c:pt>
                <c:pt idx="231">
                  <c:v>46014</c:v>
                </c:pt>
                <c:pt idx="232">
                  <c:v>46015</c:v>
                </c:pt>
                <c:pt idx="233">
                  <c:v>46016</c:v>
                </c:pt>
                <c:pt idx="234">
                  <c:v>46017</c:v>
                </c:pt>
                <c:pt idx="235">
                  <c:v>46020</c:v>
                </c:pt>
                <c:pt idx="236">
                  <c:v>46021</c:v>
                </c:pt>
                <c:pt idx="237">
                  <c:v>46022</c:v>
                </c:pt>
                <c:pt idx="238">
                  <c:v>46023</c:v>
                </c:pt>
                <c:pt idx="239">
                  <c:v>46024</c:v>
                </c:pt>
                <c:pt idx="240">
                  <c:v>46027</c:v>
                </c:pt>
                <c:pt idx="241">
                  <c:v>46028</c:v>
                </c:pt>
                <c:pt idx="242">
                  <c:v>46029</c:v>
                </c:pt>
                <c:pt idx="243">
                  <c:v>46030</c:v>
                </c:pt>
                <c:pt idx="244">
                  <c:v>46031</c:v>
                </c:pt>
                <c:pt idx="245">
                  <c:v>46034</c:v>
                </c:pt>
                <c:pt idx="246">
                  <c:v>46035</c:v>
                </c:pt>
                <c:pt idx="247">
                  <c:v>46036</c:v>
                </c:pt>
                <c:pt idx="248">
                  <c:v>46037</c:v>
                </c:pt>
                <c:pt idx="249">
                  <c:v>46038</c:v>
                </c:pt>
                <c:pt idx="250">
                  <c:v>46041</c:v>
                </c:pt>
                <c:pt idx="251">
                  <c:v>46042</c:v>
                </c:pt>
                <c:pt idx="252">
                  <c:v>46043</c:v>
                </c:pt>
                <c:pt idx="253">
                  <c:v>46044</c:v>
                </c:pt>
                <c:pt idx="254">
                  <c:v>46045</c:v>
                </c:pt>
                <c:pt idx="255">
                  <c:v>46048</c:v>
                </c:pt>
                <c:pt idx="256">
                  <c:v>46049</c:v>
                </c:pt>
                <c:pt idx="257">
                  <c:v>46050</c:v>
                </c:pt>
              </c:numCache>
            </c:numRef>
          </c:cat>
          <c:val>
            <c:numRef>
              <c:f>Graphs!$C$2:$C$259</c:f>
              <c:numCache>
                <c:formatCode>_("$"* #,##0_);_("$"* \(#,##0\);_("$"* "-"??_);_(@_)</c:formatCode>
                <c:ptCount val="258"/>
                <c:pt idx="0">
                  <c:v>31.5685</c:v>
                </c:pt>
                <c:pt idx="1">
                  <c:v>32.097700000000003</c:v>
                </c:pt>
                <c:pt idx="2">
                  <c:v>32.316400000000002</c:v>
                </c:pt>
                <c:pt idx="3">
                  <c:v>32.226300000000002</c:v>
                </c:pt>
                <c:pt idx="4">
                  <c:v>31.825800000000001</c:v>
                </c:pt>
                <c:pt idx="5">
                  <c:v>32.066000000000003</c:v>
                </c:pt>
                <c:pt idx="6">
                  <c:v>31.8278</c:v>
                </c:pt>
                <c:pt idx="7">
                  <c:v>32.222000000000001</c:v>
                </c:pt>
                <c:pt idx="8">
                  <c:v>32.363599999999998</c:v>
                </c:pt>
                <c:pt idx="9">
                  <c:v>32.152999999999999</c:v>
                </c:pt>
                <c:pt idx="10">
                  <c:v>32.814999999999998</c:v>
                </c:pt>
                <c:pt idx="11">
                  <c:v>32.872300000000003</c:v>
                </c:pt>
                <c:pt idx="12">
                  <c:v>32.722299999999997</c:v>
                </c:pt>
                <c:pt idx="13">
                  <c:v>32.933300000000003</c:v>
                </c:pt>
                <c:pt idx="14">
                  <c:v>32.554000000000002</c:v>
                </c:pt>
                <c:pt idx="15">
                  <c:v>32.350999999999999</c:v>
                </c:pt>
                <c:pt idx="16">
                  <c:v>31.752500000000001</c:v>
                </c:pt>
                <c:pt idx="17">
                  <c:v>31.864699999999999</c:v>
                </c:pt>
                <c:pt idx="18">
                  <c:v>31.275099999999998</c:v>
                </c:pt>
                <c:pt idx="19">
                  <c:v>31.156099999999999</c:v>
                </c:pt>
                <c:pt idx="20">
                  <c:v>31.689699999999998</c:v>
                </c:pt>
                <c:pt idx="21">
                  <c:v>31.9849</c:v>
                </c:pt>
                <c:pt idx="22">
                  <c:v>32.627600000000001</c:v>
                </c:pt>
                <c:pt idx="23">
                  <c:v>32.627499999999998</c:v>
                </c:pt>
                <c:pt idx="24">
                  <c:v>32.537199999999999</c:v>
                </c:pt>
                <c:pt idx="25">
                  <c:v>32.134999999999998</c:v>
                </c:pt>
                <c:pt idx="26">
                  <c:v>32.954999999999998</c:v>
                </c:pt>
                <c:pt idx="27">
                  <c:v>33.255000000000003</c:v>
                </c:pt>
                <c:pt idx="28">
                  <c:v>33.825000000000003</c:v>
                </c:pt>
                <c:pt idx="29">
                  <c:v>33.805</c:v>
                </c:pt>
                <c:pt idx="30">
                  <c:v>33.865000000000002</c:v>
                </c:pt>
                <c:pt idx="31">
                  <c:v>34.049999999999997</c:v>
                </c:pt>
                <c:pt idx="32">
                  <c:v>33.83</c:v>
                </c:pt>
                <c:pt idx="33">
                  <c:v>33.575000000000003</c:v>
                </c:pt>
                <c:pt idx="34">
                  <c:v>33.06</c:v>
                </c:pt>
                <c:pt idx="35">
                  <c:v>33.012500000000003</c:v>
                </c:pt>
                <c:pt idx="36">
                  <c:v>33.770000000000003</c:v>
                </c:pt>
                <c:pt idx="37">
                  <c:v>33.734999999999999</c:v>
                </c:pt>
                <c:pt idx="38">
                  <c:v>34.43</c:v>
                </c:pt>
                <c:pt idx="39">
                  <c:v>34.134999999999998</c:v>
                </c:pt>
                <c:pt idx="40">
                  <c:v>34.094999999999999</c:v>
                </c:pt>
                <c:pt idx="41">
                  <c:v>33.76</c:v>
                </c:pt>
                <c:pt idx="42">
                  <c:v>34.055</c:v>
                </c:pt>
                <c:pt idx="43">
                  <c:v>31.895</c:v>
                </c:pt>
                <c:pt idx="44">
                  <c:v>29.58</c:v>
                </c:pt>
                <c:pt idx="45">
                  <c:v>30.145</c:v>
                </c:pt>
                <c:pt idx="46">
                  <c:v>29.864999999999998</c:v>
                </c:pt>
                <c:pt idx="47">
                  <c:v>31.055</c:v>
                </c:pt>
                <c:pt idx="48">
                  <c:v>31.221</c:v>
                </c:pt>
                <c:pt idx="49">
                  <c:v>32.279000000000003</c:v>
                </c:pt>
                <c:pt idx="50">
                  <c:v>32.369999999999997</c:v>
                </c:pt>
                <c:pt idx="51">
                  <c:v>32.325000000000003</c:v>
                </c:pt>
                <c:pt idx="52">
                  <c:v>32.761400000000002</c:v>
                </c:pt>
                <c:pt idx="53">
                  <c:v>32.615000000000002</c:v>
                </c:pt>
                <c:pt idx="54">
                  <c:v>32.615000000000002</c:v>
                </c:pt>
                <c:pt idx="55">
                  <c:v>32.729999999999997</c:v>
                </c:pt>
                <c:pt idx="56">
                  <c:v>32.545000000000002</c:v>
                </c:pt>
                <c:pt idx="57">
                  <c:v>33.568199999999997</c:v>
                </c:pt>
                <c:pt idx="58">
                  <c:v>33.582900000000002</c:v>
                </c:pt>
                <c:pt idx="59">
                  <c:v>33.104999999999997</c:v>
                </c:pt>
                <c:pt idx="60">
                  <c:v>33.195</c:v>
                </c:pt>
                <c:pt idx="61">
                  <c:v>32.99</c:v>
                </c:pt>
                <c:pt idx="62">
                  <c:v>32.619999999999997</c:v>
                </c:pt>
                <c:pt idx="63">
                  <c:v>32.43</c:v>
                </c:pt>
                <c:pt idx="64">
                  <c:v>32.005000000000003</c:v>
                </c:pt>
                <c:pt idx="65">
                  <c:v>32.524999999999999</c:v>
                </c:pt>
                <c:pt idx="66">
                  <c:v>33.265000000000001</c:v>
                </c:pt>
                <c:pt idx="67">
                  <c:v>32.494999999999997</c:v>
                </c:pt>
                <c:pt idx="68">
                  <c:v>32.515000000000001</c:v>
                </c:pt>
                <c:pt idx="69">
                  <c:v>32.722700000000003</c:v>
                </c:pt>
                <c:pt idx="70">
                  <c:v>32.608699999999999</c:v>
                </c:pt>
                <c:pt idx="71">
                  <c:v>32.914999999999999</c:v>
                </c:pt>
                <c:pt idx="72">
                  <c:v>32.234999999999999</c:v>
                </c:pt>
                <c:pt idx="73">
                  <c:v>32.700000000000003</c:v>
                </c:pt>
                <c:pt idx="74">
                  <c:v>32.284999999999997</c:v>
                </c:pt>
                <c:pt idx="75">
                  <c:v>32.372500000000002</c:v>
                </c:pt>
                <c:pt idx="76">
                  <c:v>33.092599999999997</c:v>
                </c:pt>
                <c:pt idx="77">
                  <c:v>33.402500000000003</c:v>
                </c:pt>
                <c:pt idx="78">
                  <c:v>33.102499999999999</c:v>
                </c:pt>
                <c:pt idx="79">
                  <c:v>33.505000000000003</c:v>
                </c:pt>
                <c:pt idx="80">
                  <c:v>33.424999999999997</c:v>
                </c:pt>
                <c:pt idx="81">
                  <c:v>33.325000000000003</c:v>
                </c:pt>
                <c:pt idx="82">
                  <c:v>33.020000000000003</c:v>
                </c:pt>
                <c:pt idx="83">
                  <c:v>33.372500000000002</c:v>
                </c:pt>
                <c:pt idx="84">
                  <c:v>32.994999999999997</c:v>
                </c:pt>
                <c:pt idx="85">
                  <c:v>34.814999999999998</c:v>
                </c:pt>
                <c:pt idx="86">
                  <c:v>34.524999999999999</c:v>
                </c:pt>
                <c:pt idx="87">
                  <c:v>34.984999999999999</c:v>
                </c:pt>
                <c:pt idx="88">
                  <c:v>36.174999999999997</c:v>
                </c:pt>
                <c:pt idx="89">
                  <c:v>35.979999999999997</c:v>
                </c:pt>
                <c:pt idx="90">
                  <c:v>36.756399999999999</c:v>
                </c:pt>
                <c:pt idx="91">
                  <c:v>36.585000000000001</c:v>
                </c:pt>
                <c:pt idx="92">
                  <c:v>36.25</c:v>
                </c:pt>
                <c:pt idx="93">
                  <c:v>36.4</c:v>
                </c:pt>
                <c:pt idx="94">
                  <c:v>36.314999999999998</c:v>
                </c:pt>
                <c:pt idx="95">
                  <c:v>36.354999999999997</c:v>
                </c:pt>
                <c:pt idx="96">
                  <c:v>36.354999999999997</c:v>
                </c:pt>
                <c:pt idx="97">
                  <c:v>36.756999999999998</c:v>
                </c:pt>
                <c:pt idx="98">
                  <c:v>36.394500000000001</c:v>
                </c:pt>
                <c:pt idx="99">
                  <c:v>36.006999999999998</c:v>
                </c:pt>
                <c:pt idx="100">
                  <c:v>36.155000000000001</c:v>
                </c:pt>
                <c:pt idx="101">
                  <c:v>35.923099999999998</c:v>
                </c:pt>
                <c:pt idx="102">
                  <c:v>36.325000000000003</c:v>
                </c:pt>
                <c:pt idx="103">
                  <c:v>36.645000000000003</c:v>
                </c:pt>
                <c:pt idx="104">
                  <c:v>36.005000000000003</c:v>
                </c:pt>
                <c:pt idx="105">
                  <c:v>36.104999999999997</c:v>
                </c:pt>
                <c:pt idx="106">
                  <c:v>36.085000000000001</c:v>
                </c:pt>
                <c:pt idx="107">
                  <c:v>36.619999999999997</c:v>
                </c:pt>
                <c:pt idx="108">
                  <c:v>36.848199999999999</c:v>
                </c:pt>
                <c:pt idx="109">
                  <c:v>36.935000000000002</c:v>
                </c:pt>
                <c:pt idx="110">
                  <c:v>36.763800000000003</c:v>
                </c:pt>
                <c:pt idx="111">
                  <c:v>36.805</c:v>
                </c:pt>
                <c:pt idx="112">
                  <c:v>36.36</c:v>
                </c:pt>
                <c:pt idx="113">
                  <c:v>37.055</c:v>
                </c:pt>
                <c:pt idx="114">
                  <c:v>38.375</c:v>
                </c:pt>
                <c:pt idx="115">
                  <c:v>38.159999999999997</c:v>
                </c:pt>
                <c:pt idx="116">
                  <c:v>37.74</c:v>
                </c:pt>
                <c:pt idx="117">
                  <c:v>37.965000000000003</c:v>
                </c:pt>
                <c:pt idx="118">
                  <c:v>38.14</c:v>
                </c:pt>
                <c:pt idx="119">
                  <c:v>38.195</c:v>
                </c:pt>
                <c:pt idx="120">
                  <c:v>38.94</c:v>
                </c:pt>
                <c:pt idx="121">
                  <c:v>39.305</c:v>
                </c:pt>
                <c:pt idx="122">
                  <c:v>39.305</c:v>
                </c:pt>
                <c:pt idx="123">
                  <c:v>39.104999999999997</c:v>
                </c:pt>
                <c:pt idx="124">
                  <c:v>38.17</c:v>
                </c:pt>
                <c:pt idx="125">
                  <c:v>38.19</c:v>
                </c:pt>
                <c:pt idx="126">
                  <c:v>38.215000000000003</c:v>
                </c:pt>
                <c:pt idx="127">
                  <c:v>37.15</c:v>
                </c:pt>
                <c:pt idx="128">
                  <c:v>36.765000000000001</c:v>
                </c:pt>
                <c:pt idx="129">
                  <c:v>37.045000000000002</c:v>
                </c:pt>
                <c:pt idx="130">
                  <c:v>37.417299999999997</c:v>
                </c:pt>
                <c:pt idx="131">
                  <c:v>37.86</c:v>
                </c:pt>
                <c:pt idx="132">
                  <c:v>37.875</c:v>
                </c:pt>
                <c:pt idx="133">
                  <c:v>38.335000000000001</c:v>
                </c:pt>
                <c:pt idx="134">
                  <c:v>38.35</c:v>
                </c:pt>
                <c:pt idx="135">
                  <c:v>37.609099999999998</c:v>
                </c:pt>
                <c:pt idx="136">
                  <c:v>37.914999999999999</c:v>
                </c:pt>
                <c:pt idx="137">
                  <c:v>38.520000000000003</c:v>
                </c:pt>
                <c:pt idx="138">
                  <c:v>38.0154</c:v>
                </c:pt>
                <c:pt idx="139">
                  <c:v>38.015000000000001</c:v>
                </c:pt>
                <c:pt idx="140">
                  <c:v>38.034999999999997</c:v>
                </c:pt>
                <c:pt idx="141">
                  <c:v>37.395000000000003</c:v>
                </c:pt>
                <c:pt idx="142">
                  <c:v>37.908700000000003</c:v>
                </c:pt>
                <c:pt idx="143">
                  <c:v>38.19</c:v>
                </c:pt>
                <c:pt idx="144">
                  <c:v>38.847499999999997</c:v>
                </c:pt>
                <c:pt idx="145">
                  <c:v>38.575000000000003</c:v>
                </c:pt>
                <c:pt idx="146">
                  <c:v>38.615000000000002</c:v>
                </c:pt>
                <c:pt idx="147">
                  <c:v>38.638500000000001</c:v>
                </c:pt>
                <c:pt idx="148">
                  <c:v>39.094999999999999</c:v>
                </c:pt>
                <c:pt idx="149">
                  <c:v>39.695</c:v>
                </c:pt>
                <c:pt idx="150">
                  <c:v>40.699599999999997</c:v>
                </c:pt>
                <c:pt idx="151">
                  <c:v>40.914999999999999</c:v>
                </c:pt>
                <c:pt idx="152">
                  <c:v>41.215000000000003</c:v>
                </c:pt>
                <c:pt idx="153">
                  <c:v>40.695</c:v>
                </c:pt>
                <c:pt idx="154">
                  <c:v>41.005000000000003</c:v>
                </c:pt>
                <c:pt idx="155">
                  <c:v>41.354999999999997</c:v>
                </c:pt>
                <c:pt idx="156">
                  <c:v>40.905000000000001</c:v>
                </c:pt>
                <c:pt idx="157">
                  <c:v>41.17</c:v>
                </c:pt>
                <c:pt idx="158">
                  <c:v>41.585000000000001</c:v>
                </c:pt>
                <c:pt idx="159">
                  <c:v>42.195</c:v>
                </c:pt>
                <c:pt idx="160">
                  <c:v>42.734999999999999</c:v>
                </c:pt>
                <c:pt idx="161">
                  <c:v>42.57</c:v>
                </c:pt>
                <c:pt idx="162">
                  <c:v>41.68</c:v>
                </c:pt>
                <c:pt idx="163">
                  <c:v>41.825000000000003</c:v>
                </c:pt>
                <c:pt idx="164">
                  <c:v>43.104999999999997</c:v>
                </c:pt>
                <c:pt idx="165">
                  <c:v>44.104999999999997</c:v>
                </c:pt>
                <c:pt idx="166">
                  <c:v>44.04</c:v>
                </c:pt>
                <c:pt idx="167">
                  <c:v>43.935000000000002</c:v>
                </c:pt>
                <c:pt idx="168">
                  <c:v>45.244999999999997</c:v>
                </c:pt>
                <c:pt idx="169">
                  <c:v>46.026200000000003</c:v>
                </c:pt>
                <c:pt idx="170">
                  <c:v>46.954999999999998</c:v>
                </c:pt>
                <c:pt idx="171">
                  <c:v>46.695</c:v>
                </c:pt>
                <c:pt idx="172">
                  <c:v>47.344999999999999</c:v>
                </c:pt>
                <c:pt idx="173">
                  <c:v>46.99</c:v>
                </c:pt>
                <c:pt idx="174">
                  <c:v>47.997500000000002</c:v>
                </c:pt>
                <c:pt idx="175">
                  <c:v>48.555</c:v>
                </c:pt>
                <c:pt idx="176">
                  <c:v>47.844999999999999</c:v>
                </c:pt>
                <c:pt idx="177">
                  <c:v>48.905000000000001</c:v>
                </c:pt>
                <c:pt idx="178">
                  <c:v>49.14</c:v>
                </c:pt>
                <c:pt idx="179">
                  <c:v>50.295000000000002</c:v>
                </c:pt>
                <c:pt idx="180">
                  <c:v>52.349899999999998</c:v>
                </c:pt>
                <c:pt idx="181">
                  <c:v>51.47</c:v>
                </c:pt>
                <c:pt idx="182">
                  <c:v>53.094999999999999</c:v>
                </c:pt>
                <c:pt idx="183">
                  <c:v>54.274999999999999</c:v>
                </c:pt>
                <c:pt idx="184">
                  <c:v>51.908700000000003</c:v>
                </c:pt>
                <c:pt idx="185">
                  <c:v>52.494999999999997</c:v>
                </c:pt>
                <c:pt idx="186">
                  <c:v>48.765000000000001</c:v>
                </c:pt>
                <c:pt idx="187">
                  <c:v>48.545000000000002</c:v>
                </c:pt>
                <c:pt idx="188">
                  <c:v>48.945</c:v>
                </c:pt>
                <c:pt idx="189">
                  <c:v>48.612499999999997</c:v>
                </c:pt>
                <c:pt idx="190">
                  <c:v>46.914999999999999</c:v>
                </c:pt>
                <c:pt idx="191">
                  <c:v>47.064999999999998</c:v>
                </c:pt>
                <c:pt idx="192">
                  <c:v>47.575000000000003</c:v>
                </c:pt>
                <c:pt idx="193">
                  <c:v>48.93</c:v>
                </c:pt>
                <c:pt idx="194">
                  <c:v>48.674999999999997</c:v>
                </c:pt>
                <c:pt idx="195">
                  <c:v>48.104999999999997</c:v>
                </c:pt>
                <c:pt idx="196">
                  <c:v>47.13</c:v>
                </c:pt>
                <c:pt idx="197">
                  <c:v>48.070999999999998</c:v>
                </c:pt>
                <c:pt idx="198">
                  <c:v>48.015000000000001</c:v>
                </c:pt>
                <c:pt idx="199">
                  <c:v>48.338299999999997</c:v>
                </c:pt>
                <c:pt idx="200">
                  <c:v>50.547199999999997</c:v>
                </c:pt>
                <c:pt idx="201">
                  <c:v>51.234699999999997</c:v>
                </c:pt>
                <c:pt idx="202">
                  <c:v>53.419199999999996</c:v>
                </c:pt>
                <c:pt idx="203">
                  <c:v>52.3367</c:v>
                </c:pt>
                <c:pt idx="204">
                  <c:v>50.5595</c:v>
                </c:pt>
                <c:pt idx="205">
                  <c:v>50.214399999999998</c:v>
                </c:pt>
                <c:pt idx="206">
                  <c:v>50.711300000000001</c:v>
                </c:pt>
                <c:pt idx="207">
                  <c:v>51.39</c:v>
                </c:pt>
                <c:pt idx="208">
                  <c:v>50.605899999999998</c:v>
                </c:pt>
                <c:pt idx="209">
                  <c:v>50.036499999999997</c:v>
                </c:pt>
                <c:pt idx="210">
                  <c:v>51.408000000000001</c:v>
                </c:pt>
                <c:pt idx="211">
                  <c:v>51.4407</c:v>
                </c:pt>
                <c:pt idx="212">
                  <c:v>53.378799999999998</c:v>
                </c:pt>
                <c:pt idx="213">
                  <c:v>53.465000000000003</c:v>
                </c:pt>
                <c:pt idx="214">
                  <c:v>56.405000000000001</c:v>
                </c:pt>
                <c:pt idx="215">
                  <c:v>57.974299999999999</c:v>
                </c:pt>
                <c:pt idx="216">
                  <c:v>58.475000000000001</c:v>
                </c:pt>
                <c:pt idx="217">
                  <c:v>58.486600000000003</c:v>
                </c:pt>
                <c:pt idx="218">
                  <c:v>57.134999999999998</c:v>
                </c:pt>
                <c:pt idx="219">
                  <c:v>58.295099999999998</c:v>
                </c:pt>
                <c:pt idx="220">
                  <c:v>58.1325</c:v>
                </c:pt>
                <c:pt idx="221">
                  <c:v>60.682499999999997</c:v>
                </c:pt>
                <c:pt idx="222">
                  <c:v>61.798099999999998</c:v>
                </c:pt>
                <c:pt idx="223">
                  <c:v>63.578000000000003</c:v>
                </c:pt>
                <c:pt idx="224">
                  <c:v>62.019399999999997</c:v>
                </c:pt>
                <c:pt idx="225">
                  <c:v>63.977699999999999</c:v>
                </c:pt>
                <c:pt idx="226">
                  <c:v>63.791400000000003</c:v>
                </c:pt>
                <c:pt idx="227">
                  <c:v>66.319999999999993</c:v>
                </c:pt>
                <c:pt idx="228">
                  <c:v>65.438000000000002</c:v>
                </c:pt>
                <c:pt idx="229">
                  <c:v>67.166300000000007</c:v>
                </c:pt>
                <c:pt idx="230">
                  <c:v>69.06</c:v>
                </c:pt>
                <c:pt idx="231">
                  <c:v>71.454899999999995</c:v>
                </c:pt>
                <c:pt idx="232">
                  <c:v>71.968400000000003</c:v>
                </c:pt>
                <c:pt idx="233">
                  <c:v>71.968400000000003</c:v>
                </c:pt>
                <c:pt idx="234">
                  <c:v>79.160899999999998</c:v>
                </c:pt>
                <c:pt idx="235">
                  <c:v>72.246799999999993</c:v>
                </c:pt>
                <c:pt idx="236">
                  <c:v>76.5</c:v>
                </c:pt>
                <c:pt idx="237">
                  <c:v>71.2928</c:v>
                </c:pt>
                <c:pt idx="238">
                  <c:v>71.2928</c:v>
                </c:pt>
                <c:pt idx="239">
                  <c:v>72.66</c:v>
                </c:pt>
                <c:pt idx="240">
                  <c:v>76.56</c:v>
                </c:pt>
                <c:pt idx="241">
                  <c:v>81.297899999999998</c:v>
                </c:pt>
                <c:pt idx="242">
                  <c:v>78.152699999999996</c:v>
                </c:pt>
                <c:pt idx="243">
                  <c:v>76.921499999999995</c:v>
                </c:pt>
                <c:pt idx="244">
                  <c:v>79.972399999999993</c:v>
                </c:pt>
                <c:pt idx="245">
                  <c:v>84.980199999999996</c:v>
                </c:pt>
                <c:pt idx="246">
                  <c:v>86.981800000000007</c:v>
                </c:pt>
                <c:pt idx="247">
                  <c:v>92.778000000000006</c:v>
                </c:pt>
                <c:pt idx="248">
                  <c:v>92.342500000000001</c:v>
                </c:pt>
                <c:pt idx="249">
                  <c:v>89.954400000000007</c:v>
                </c:pt>
                <c:pt idx="250">
                  <c:v>94.704999999999998</c:v>
                </c:pt>
                <c:pt idx="251">
                  <c:v>94.614999999999995</c:v>
                </c:pt>
                <c:pt idx="252">
                  <c:v>93.256</c:v>
                </c:pt>
                <c:pt idx="253">
                  <c:v>96.198700000000002</c:v>
                </c:pt>
                <c:pt idx="254">
                  <c:v>102.9727</c:v>
                </c:pt>
                <c:pt idx="255">
                  <c:v>103.8984</c:v>
                </c:pt>
                <c:pt idx="256">
                  <c:v>113.0258</c:v>
                </c:pt>
                <c:pt idx="257">
                  <c:v>116.6095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B0C-4E24-96D6-EBC844AB04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3632319"/>
        <c:axId val="213633399"/>
      </c:lineChart>
      <c:dateAx>
        <c:axId val="213632319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633399"/>
        <c:crosses val="autoZero"/>
        <c:auto val="1"/>
        <c:lblOffset val="100"/>
        <c:baseTimeUnit val="days"/>
      </c:dateAx>
      <c:valAx>
        <c:axId val="213633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6323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Platium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2"/>
          <c:order val="0"/>
          <c:tx>
            <c:strRef>
              <c:f>Graphs!$D$1</c:f>
              <c:strCache>
                <c:ptCount val="1"/>
                <c:pt idx="0">
                  <c:v>Platium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Graphs!$A$2:$A$259</c:f>
              <c:numCache>
                <c:formatCode>m/d/yyyy</c:formatCode>
                <c:ptCount val="258"/>
                <c:pt idx="0">
                  <c:v>45691</c:v>
                </c:pt>
                <c:pt idx="1">
                  <c:v>45692</c:v>
                </c:pt>
                <c:pt idx="2">
                  <c:v>45693</c:v>
                </c:pt>
                <c:pt idx="3">
                  <c:v>45694</c:v>
                </c:pt>
                <c:pt idx="4">
                  <c:v>45695</c:v>
                </c:pt>
                <c:pt idx="5">
                  <c:v>45698</c:v>
                </c:pt>
                <c:pt idx="6">
                  <c:v>45699</c:v>
                </c:pt>
                <c:pt idx="7">
                  <c:v>45700</c:v>
                </c:pt>
                <c:pt idx="8">
                  <c:v>45701</c:v>
                </c:pt>
                <c:pt idx="9">
                  <c:v>45702</c:v>
                </c:pt>
                <c:pt idx="10">
                  <c:v>45705</c:v>
                </c:pt>
                <c:pt idx="11">
                  <c:v>45706</c:v>
                </c:pt>
                <c:pt idx="12">
                  <c:v>45707</c:v>
                </c:pt>
                <c:pt idx="13">
                  <c:v>45708</c:v>
                </c:pt>
                <c:pt idx="14">
                  <c:v>45709</c:v>
                </c:pt>
                <c:pt idx="15">
                  <c:v>45712</c:v>
                </c:pt>
                <c:pt idx="16">
                  <c:v>45713</c:v>
                </c:pt>
                <c:pt idx="17">
                  <c:v>45714</c:v>
                </c:pt>
                <c:pt idx="18">
                  <c:v>45715</c:v>
                </c:pt>
                <c:pt idx="19">
                  <c:v>45716</c:v>
                </c:pt>
                <c:pt idx="20">
                  <c:v>45719</c:v>
                </c:pt>
                <c:pt idx="21">
                  <c:v>45720</c:v>
                </c:pt>
                <c:pt idx="22">
                  <c:v>45721</c:v>
                </c:pt>
                <c:pt idx="23">
                  <c:v>45722</c:v>
                </c:pt>
                <c:pt idx="24">
                  <c:v>45723</c:v>
                </c:pt>
                <c:pt idx="25">
                  <c:v>45726</c:v>
                </c:pt>
                <c:pt idx="26">
                  <c:v>45727</c:v>
                </c:pt>
                <c:pt idx="27">
                  <c:v>45728</c:v>
                </c:pt>
                <c:pt idx="28">
                  <c:v>45729</c:v>
                </c:pt>
                <c:pt idx="29">
                  <c:v>45730</c:v>
                </c:pt>
                <c:pt idx="30">
                  <c:v>45733</c:v>
                </c:pt>
                <c:pt idx="31">
                  <c:v>45734</c:v>
                </c:pt>
                <c:pt idx="32">
                  <c:v>45735</c:v>
                </c:pt>
                <c:pt idx="33">
                  <c:v>45736</c:v>
                </c:pt>
                <c:pt idx="34">
                  <c:v>45737</c:v>
                </c:pt>
                <c:pt idx="35">
                  <c:v>45740</c:v>
                </c:pt>
                <c:pt idx="36">
                  <c:v>45741</c:v>
                </c:pt>
                <c:pt idx="37">
                  <c:v>45742</c:v>
                </c:pt>
                <c:pt idx="38">
                  <c:v>45743</c:v>
                </c:pt>
                <c:pt idx="39">
                  <c:v>45744</c:v>
                </c:pt>
                <c:pt idx="40">
                  <c:v>45747</c:v>
                </c:pt>
                <c:pt idx="41">
                  <c:v>45748</c:v>
                </c:pt>
                <c:pt idx="42">
                  <c:v>45749</c:v>
                </c:pt>
                <c:pt idx="43">
                  <c:v>45750</c:v>
                </c:pt>
                <c:pt idx="44">
                  <c:v>45751</c:v>
                </c:pt>
                <c:pt idx="45">
                  <c:v>45754</c:v>
                </c:pt>
                <c:pt idx="46">
                  <c:v>45755</c:v>
                </c:pt>
                <c:pt idx="47">
                  <c:v>45756</c:v>
                </c:pt>
                <c:pt idx="48">
                  <c:v>45757</c:v>
                </c:pt>
                <c:pt idx="49">
                  <c:v>45758</c:v>
                </c:pt>
                <c:pt idx="50">
                  <c:v>45761</c:v>
                </c:pt>
                <c:pt idx="51">
                  <c:v>45762</c:v>
                </c:pt>
                <c:pt idx="52">
                  <c:v>45763</c:v>
                </c:pt>
                <c:pt idx="53">
                  <c:v>45764</c:v>
                </c:pt>
                <c:pt idx="54">
                  <c:v>45765</c:v>
                </c:pt>
                <c:pt idx="55">
                  <c:v>45768</c:v>
                </c:pt>
                <c:pt idx="56">
                  <c:v>45769</c:v>
                </c:pt>
                <c:pt idx="57">
                  <c:v>45770</c:v>
                </c:pt>
                <c:pt idx="58">
                  <c:v>45771</c:v>
                </c:pt>
                <c:pt idx="59">
                  <c:v>45772</c:v>
                </c:pt>
                <c:pt idx="60">
                  <c:v>45775</c:v>
                </c:pt>
                <c:pt idx="61">
                  <c:v>45776</c:v>
                </c:pt>
                <c:pt idx="62">
                  <c:v>45777</c:v>
                </c:pt>
                <c:pt idx="63">
                  <c:v>45778</c:v>
                </c:pt>
                <c:pt idx="64">
                  <c:v>45779</c:v>
                </c:pt>
                <c:pt idx="65">
                  <c:v>45782</c:v>
                </c:pt>
                <c:pt idx="66">
                  <c:v>45783</c:v>
                </c:pt>
                <c:pt idx="67">
                  <c:v>45784</c:v>
                </c:pt>
                <c:pt idx="68">
                  <c:v>45785</c:v>
                </c:pt>
                <c:pt idx="69">
                  <c:v>45786</c:v>
                </c:pt>
                <c:pt idx="70">
                  <c:v>45789</c:v>
                </c:pt>
                <c:pt idx="71">
                  <c:v>45790</c:v>
                </c:pt>
                <c:pt idx="72">
                  <c:v>45791</c:v>
                </c:pt>
                <c:pt idx="73">
                  <c:v>45792</c:v>
                </c:pt>
                <c:pt idx="74">
                  <c:v>45793</c:v>
                </c:pt>
                <c:pt idx="75">
                  <c:v>45796</c:v>
                </c:pt>
                <c:pt idx="76">
                  <c:v>45797</c:v>
                </c:pt>
                <c:pt idx="77">
                  <c:v>45798</c:v>
                </c:pt>
                <c:pt idx="78">
                  <c:v>45799</c:v>
                </c:pt>
                <c:pt idx="79">
                  <c:v>45800</c:v>
                </c:pt>
                <c:pt idx="80">
                  <c:v>45803</c:v>
                </c:pt>
                <c:pt idx="81">
                  <c:v>45804</c:v>
                </c:pt>
                <c:pt idx="82">
                  <c:v>45805</c:v>
                </c:pt>
                <c:pt idx="83">
                  <c:v>45806</c:v>
                </c:pt>
                <c:pt idx="84">
                  <c:v>45807</c:v>
                </c:pt>
                <c:pt idx="85">
                  <c:v>45810</c:v>
                </c:pt>
                <c:pt idx="86">
                  <c:v>45811</c:v>
                </c:pt>
                <c:pt idx="87">
                  <c:v>45812</c:v>
                </c:pt>
                <c:pt idx="88">
                  <c:v>45813</c:v>
                </c:pt>
                <c:pt idx="89">
                  <c:v>45814</c:v>
                </c:pt>
                <c:pt idx="90">
                  <c:v>45817</c:v>
                </c:pt>
                <c:pt idx="91">
                  <c:v>45818</c:v>
                </c:pt>
                <c:pt idx="92">
                  <c:v>45819</c:v>
                </c:pt>
                <c:pt idx="93">
                  <c:v>45820</c:v>
                </c:pt>
                <c:pt idx="94">
                  <c:v>45821</c:v>
                </c:pt>
                <c:pt idx="95">
                  <c:v>45824</c:v>
                </c:pt>
                <c:pt idx="96">
                  <c:v>45825</c:v>
                </c:pt>
                <c:pt idx="97">
                  <c:v>45826</c:v>
                </c:pt>
                <c:pt idx="98">
                  <c:v>45827</c:v>
                </c:pt>
                <c:pt idx="99">
                  <c:v>45828</c:v>
                </c:pt>
                <c:pt idx="100">
                  <c:v>45831</c:v>
                </c:pt>
                <c:pt idx="101">
                  <c:v>45832</c:v>
                </c:pt>
                <c:pt idx="102">
                  <c:v>45833</c:v>
                </c:pt>
                <c:pt idx="103">
                  <c:v>45834</c:v>
                </c:pt>
                <c:pt idx="104">
                  <c:v>45835</c:v>
                </c:pt>
                <c:pt idx="105">
                  <c:v>45838</c:v>
                </c:pt>
                <c:pt idx="106">
                  <c:v>45839</c:v>
                </c:pt>
                <c:pt idx="107">
                  <c:v>45840</c:v>
                </c:pt>
                <c:pt idx="108">
                  <c:v>45841</c:v>
                </c:pt>
                <c:pt idx="109">
                  <c:v>45842</c:v>
                </c:pt>
                <c:pt idx="110">
                  <c:v>45845</c:v>
                </c:pt>
                <c:pt idx="111">
                  <c:v>45846</c:v>
                </c:pt>
                <c:pt idx="112">
                  <c:v>45847</c:v>
                </c:pt>
                <c:pt idx="113">
                  <c:v>45848</c:v>
                </c:pt>
                <c:pt idx="114">
                  <c:v>45849</c:v>
                </c:pt>
                <c:pt idx="115">
                  <c:v>45852</c:v>
                </c:pt>
                <c:pt idx="116">
                  <c:v>45853</c:v>
                </c:pt>
                <c:pt idx="117">
                  <c:v>45854</c:v>
                </c:pt>
                <c:pt idx="118">
                  <c:v>45855</c:v>
                </c:pt>
                <c:pt idx="119">
                  <c:v>45856</c:v>
                </c:pt>
                <c:pt idx="120">
                  <c:v>45859</c:v>
                </c:pt>
                <c:pt idx="121">
                  <c:v>45860</c:v>
                </c:pt>
                <c:pt idx="122">
                  <c:v>45861</c:v>
                </c:pt>
                <c:pt idx="123">
                  <c:v>45862</c:v>
                </c:pt>
                <c:pt idx="124">
                  <c:v>45863</c:v>
                </c:pt>
                <c:pt idx="125">
                  <c:v>45866</c:v>
                </c:pt>
                <c:pt idx="126">
                  <c:v>45867</c:v>
                </c:pt>
                <c:pt idx="127">
                  <c:v>45868</c:v>
                </c:pt>
                <c:pt idx="128">
                  <c:v>45869</c:v>
                </c:pt>
                <c:pt idx="129">
                  <c:v>45870</c:v>
                </c:pt>
                <c:pt idx="130">
                  <c:v>45873</c:v>
                </c:pt>
                <c:pt idx="131">
                  <c:v>45874</c:v>
                </c:pt>
                <c:pt idx="132">
                  <c:v>45875</c:v>
                </c:pt>
                <c:pt idx="133">
                  <c:v>45876</c:v>
                </c:pt>
                <c:pt idx="134">
                  <c:v>45877</c:v>
                </c:pt>
                <c:pt idx="135">
                  <c:v>45880</c:v>
                </c:pt>
                <c:pt idx="136">
                  <c:v>45881</c:v>
                </c:pt>
                <c:pt idx="137">
                  <c:v>45882</c:v>
                </c:pt>
                <c:pt idx="138">
                  <c:v>45883</c:v>
                </c:pt>
                <c:pt idx="139">
                  <c:v>45884</c:v>
                </c:pt>
                <c:pt idx="140">
                  <c:v>45887</c:v>
                </c:pt>
                <c:pt idx="141">
                  <c:v>45888</c:v>
                </c:pt>
                <c:pt idx="142">
                  <c:v>45889</c:v>
                </c:pt>
                <c:pt idx="143">
                  <c:v>45890</c:v>
                </c:pt>
                <c:pt idx="144">
                  <c:v>45891</c:v>
                </c:pt>
                <c:pt idx="145">
                  <c:v>45894</c:v>
                </c:pt>
                <c:pt idx="146">
                  <c:v>45895</c:v>
                </c:pt>
                <c:pt idx="147">
                  <c:v>45896</c:v>
                </c:pt>
                <c:pt idx="148">
                  <c:v>45897</c:v>
                </c:pt>
                <c:pt idx="149">
                  <c:v>45898</c:v>
                </c:pt>
                <c:pt idx="150">
                  <c:v>45901</c:v>
                </c:pt>
                <c:pt idx="151">
                  <c:v>45902</c:v>
                </c:pt>
                <c:pt idx="152">
                  <c:v>45903</c:v>
                </c:pt>
                <c:pt idx="153">
                  <c:v>45904</c:v>
                </c:pt>
                <c:pt idx="154">
                  <c:v>45905</c:v>
                </c:pt>
                <c:pt idx="155">
                  <c:v>45908</c:v>
                </c:pt>
                <c:pt idx="156">
                  <c:v>45909</c:v>
                </c:pt>
                <c:pt idx="157">
                  <c:v>45910</c:v>
                </c:pt>
                <c:pt idx="158">
                  <c:v>45911</c:v>
                </c:pt>
                <c:pt idx="159">
                  <c:v>45912</c:v>
                </c:pt>
                <c:pt idx="160">
                  <c:v>45915</c:v>
                </c:pt>
                <c:pt idx="161">
                  <c:v>45916</c:v>
                </c:pt>
                <c:pt idx="162">
                  <c:v>45917</c:v>
                </c:pt>
                <c:pt idx="163">
                  <c:v>45918</c:v>
                </c:pt>
                <c:pt idx="164">
                  <c:v>45919</c:v>
                </c:pt>
                <c:pt idx="165">
                  <c:v>45922</c:v>
                </c:pt>
                <c:pt idx="166">
                  <c:v>45923</c:v>
                </c:pt>
                <c:pt idx="167">
                  <c:v>45924</c:v>
                </c:pt>
                <c:pt idx="168">
                  <c:v>45925</c:v>
                </c:pt>
                <c:pt idx="169">
                  <c:v>45926</c:v>
                </c:pt>
                <c:pt idx="170">
                  <c:v>45929</c:v>
                </c:pt>
                <c:pt idx="171">
                  <c:v>45930</c:v>
                </c:pt>
                <c:pt idx="172">
                  <c:v>45931</c:v>
                </c:pt>
                <c:pt idx="173">
                  <c:v>45932</c:v>
                </c:pt>
                <c:pt idx="174">
                  <c:v>45933</c:v>
                </c:pt>
                <c:pt idx="175">
                  <c:v>45936</c:v>
                </c:pt>
                <c:pt idx="176">
                  <c:v>45937</c:v>
                </c:pt>
                <c:pt idx="177">
                  <c:v>45938</c:v>
                </c:pt>
                <c:pt idx="178">
                  <c:v>45939</c:v>
                </c:pt>
                <c:pt idx="179">
                  <c:v>45940</c:v>
                </c:pt>
                <c:pt idx="180">
                  <c:v>45943</c:v>
                </c:pt>
                <c:pt idx="181">
                  <c:v>45944</c:v>
                </c:pt>
                <c:pt idx="182">
                  <c:v>45945</c:v>
                </c:pt>
                <c:pt idx="183">
                  <c:v>45946</c:v>
                </c:pt>
                <c:pt idx="184">
                  <c:v>45947</c:v>
                </c:pt>
                <c:pt idx="185">
                  <c:v>45950</c:v>
                </c:pt>
                <c:pt idx="186">
                  <c:v>45951</c:v>
                </c:pt>
                <c:pt idx="187">
                  <c:v>45952</c:v>
                </c:pt>
                <c:pt idx="188">
                  <c:v>45953</c:v>
                </c:pt>
                <c:pt idx="189">
                  <c:v>45954</c:v>
                </c:pt>
                <c:pt idx="190">
                  <c:v>45957</c:v>
                </c:pt>
                <c:pt idx="191">
                  <c:v>45958</c:v>
                </c:pt>
                <c:pt idx="192">
                  <c:v>45959</c:v>
                </c:pt>
                <c:pt idx="193">
                  <c:v>45960</c:v>
                </c:pt>
                <c:pt idx="194">
                  <c:v>45961</c:v>
                </c:pt>
                <c:pt idx="195">
                  <c:v>45964</c:v>
                </c:pt>
                <c:pt idx="196">
                  <c:v>45965</c:v>
                </c:pt>
                <c:pt idx="197">
                  <c:v>45966</c:v>
                </c:pt>
                <c:pt idx="198">
                  <c:v>45967</c:v>
                </c:pt>
                <c:pt idx="199">
                  <c:v>45968</c:v>
                </c:pt>
                <c:pt idx="200">
                  <c:v>45971</c:v>
                </c:pt>
                <c:pt idx="201">
                  <c:v>45972</c:v>
                </c:pt>
                <c:pt idx="202">
                  <c:v>45973</c:v>
                </c:pt>
                <c:pt idx="203">
                  <c:v>45974</c:v>
                </c:pt>
                <c:pt idx="204">
                  <c:v>45975</c:v>
                </c:pt>
                <c:pt idx="205">
                  <c:v>45978</c:v>
                </c:pt>
                <c:pt idx="206">
                  <c:v>45979</c:v>
                </c:pt>
                <c:pt idx="207">
                  <c:v>45980</c:v>
                </c:pt>
                <c:pt idx="208">
                  <c:v>45981</c:v>
                </c:pt>
                <c:pt idx="209">
                  <c:v>45982</c:v>
                </c:pt>
                <c:pt idx="210">
                  <c:v>45985</c:v>
                </c:pt>
                <c:pt idx="211">
                  <c:v>45986</c:v>
                </c:pt>
                <c:pt idx="212">
                  <c:v>45987</c:v>
                </c:pt>
                <c:pt idx="213">
                  <c:v>45988</c:v>
                </c:pt>
                <c:pt idx="214">
                  <c:v>45989</c:v>
                </c:pt>
                <c:pt idx="215">
                  <c:v>45992</c:v>
                </c:pt>
                <c:pt idx="216">
                  <c:v>45993</c:v>
                </c:pt>
                <c:pt idx="217">
                  <c:v>45994</c:v>
                </c:pt>
                <c:pt idx="218">
                  <c:v>45995</c:v>
                </c:pt>
                <c:pt idx="219">
                  <c:v>45996</c:v>
                </c:pt>
                <c:pt idx="220">
                  <c:v>45999</c:v>
                </c:pt>
                <c:pt idx="221">
                  <c:v>46000</c:v>
                </c:pt>
                <c:pt idx="222">
                  <c:v>46001</c:v>
                </c:pt>
                <c:pt idx="223">
                  <c:v>46002</c:v>
                </c:pt>
                <c:pt idx="224">
                  <c:v>46003</c:v>
                </c:pt>
                <c:pt idx="225">
                  <c:v>46006</c:v>
                </c:pt>
                <c:pt idx="226">
                  <c:v>46007</c:v>
                </c:pt>
                <c:pt idx="227">
                  <c:v>46008</c:v>
                </c:pt>
                <c:pt idx="228">
                  <c:v>46009</c:v>
                </c:pt>
                <c:pt idx="229">
                  <c:v>46010</c:v>
                </c:pt>
                <c:pt idx="230">
                  <c:v>46013</c:v>
                </c:pt>
                <c:pt idx="231">
                  <c:v>46014</c:v>
                </c:pt>
                <c:pt idx="232">
                  <c:v>46015</c:v>
                </c:pt>
                <c:pt idx="233">
                  <c:v>46016</c:v>
                </c:pt>
                <c:pt idx="234">
                  <c:v>46017</c:v>
                </c:pt>
                <c:pt idx="235">
                  <c:v>46020</c:v>
                </c:pt>
                <c:pt idx="236">
                  <c:v>46021</c:v>
                </c:pt>
                <c:pt idx="237">
                  <c:v>46022</c:v>
                </c:pt>
                <c:pt idx="238">
                  <c:v>46023</c:v>
                </c:pt>
                <c:pt idx="239">
                  <c:v>46024</c:v>
                </c:pt>
                <c:pt idx="240">
                  <c:v>46027</c:v>
                </c:pt>
                <c:pt idx="241">
                  <c:v>46028</c:v>
                </c:pt>
                <c:pt idx="242">
                  <c:v>46029</c:v>
                </c:pt>
                <c:pt idx="243">
                  <c:v>46030</c:v>
                </c:pt>
                <c:pt idx="244">
                  <c:v>46031</c:v>
                </c:pt>
                <c:pt idx="245">
                  <c:v>46034</c:v>
                </c:pt>
                <c:pt idx="246">
                  <c:v>46035</c:v>
                </c:pt>
                <c:pt idx="247">
                  <c:v>46036</c:v>
                </c:pt>
                <c:pt idx="248">
                  <c:v>46037</c:v>
                </c:pt>
                <c:pt idx="249">
                  <c:v>46038</c:v>
                </c:pt>
                <c:pt idx="250">
                  <c:v>46041</c:v>
                </c:pt>
                <c:pt idx="251">
                  <c:v>46042</c:v>
                </c:pt>
                <c:pt idx="252">
                  <c:v>46043</c:v>
                </c:pt>
                <c:pt idx="253">
                  <c:v>46044</c:v>
                </c:pt>
                <c:pt idx="254">
                  <c:v>46045</c:v>
                </c:pt>
                <c:pt idx="255">
                  <c:v>46048</c:v>
                </c:pt>
                <c:pt idx="256">
                  <c:v>46049</c:v>
                </c:pt>
                <c:pt idx="257">
                  <c:v>46050</c:v>
                </c:pt>
              </c:numCache>
            </c:numRef>
          </c:cat>
          <c:val>
            <c:numRef>
              <c:f>Graphs!$D$2:$D$259</c:f>
              <c:numCache>
                <c:formatCode>_("$"* #,##0_);_("$"* \(#,##0\);_("$"* "-"??_);_(@_)</c:formatCode>
                <c:ptCount val="258"/>
                <c:pt idx="0">
                  <c:v>969.75</c:v>
                </c:pt>
                <c:pt idx="1">
                  <c:v>968.15</c:v>
                </c:pt>
                <c:pt idx="2">
                  <c:v>983.95</c:v>
                </c:pt>
                <c:pt idx="3">
                  <c:v>989.52</c:v>
                </c:pt>
                <c:pt idx="4">
                  <c:v>980.85</c:v>
                </c:pt>
                <c:pt idx="5">
                  <c:v>994.45</c:v>
                </c:pt>
                <c:pt idx="6">
                  <c:v>986.96</c:v>
                </c:pt>
                <c:pt idx="7">
                  <c:v>995.94</c:v>
                </c:pt>
                <c:pt idx="8">
                  <c:v>999.65</c:v>
                </c:pt>
                <c:pt idx="9">
                  <c:v>981.8</c:v>
                </c:pt>
                <c:pt idx="10">
                  <c:v>980</c:v>
                </c:pt>
                <c:pt idx="11">
                  <c:v>988.2</c:v>
                </c:pt>
                <c:pt idx="12">
                  <c:v>975.5</c:v>
                </c:pt>
                <c:pt idx="13">
                  <c:v>981.35</c:v>
                </c:pt>
                <c:pt idx="14">
                  <c:v>972.65</c:v>
                </c:pt>
                <c:pt idx="15">
                  <c:v>970.08</c:v>
                </c:pt>
                <c:pt idx="16">
                  <c:v>970.25</c:v>
                </c:pt>
                <c:pt idx="17">
                  <c:v>968.75</c:v>
                </c:pt>
                <c:pt idx="18">
                  <c:v>951.7</c:v>
                </c:pt>
                <c:pt idx="19">
                  <c:v>950.65</c:v>
                </c:pt>
                <c:pt idx="20">
                  <c:v>956.35</c:v>
                </c:pt>
                <c:pt idx="21">
                  <c:v>963.7</c:v>
                </c:pt>
                <c:pt idx="22">
                  <c:v>968.55</c:v>
                </c:pt>
                <c:pt idx="23">
                  <c:v>970.51</c:v>
                </c:pt>
                <c:pt idx="24">
                  <c:v>965.95</c:v>
                </c:pt>
                <c:pt idx="25">
                  <c:v>962.13</c:v>
                </c:pt>
                <c:pt idx="26">
                  <c:v>979.5</c:v>
                </c:pt>
                <c:pt idx="27">
                  <c:v>989</c:v>
                </c:pt>
                <c:pt idx="28">
                  <c:v>999</c:v>
                </c:pt>
                <c:pt idx="29">
                  <c:v>996.75</c:v>
                </c:pt>
                <c:pt idx="30">
                  <c:v>1004.55</c:v>
                </c:pt>
                <c:pt idx="31">
                  <c:v>1002.01</c:v>
                </c:pt>
                <c:pt idx="32">
                  <c:v>996.6</c:v>
                </c:pt>
                <c:pt idx="33">
                  <c:v>988.93</c:v>
                </c:pt>
                <c:pt idx="34">
                  <c:v>978.75</c:v>
                </c:pt>
                <c:pt idx="35">
                  <c:v>976.52</c:v>
                </c:pt>
                <c:pt idx="36">
                  <c:v>980.5</c:v>
                </c:pt>
                <c:pt idx="37">
                  <c:v>977.16</c:v>
                </c:pt>
                <c:pt idx="38">
                  <c:v>989.35</c:v>
                </c:pt>
                <c:pt idx="39">
                  <c:v>987.05</c:v>
                </c:pt>
                <c:pt idx="40">
                  <c:v>997.5</c:v>
                </c:pt>
                <c:pt idx="41">
                  <c:v>984.5</c:v>
                </c:pt>
                <c:pt idx="42">
                  <c:v>987.46</c:v>
                </c:pt>
                <c:pt idx="43">
                  <c:v>956.5</c:v>
                </c:pt>
                <c:pt idx="44">
                  <c:v>920.2</c:v>
                </c:pt>
                <c:pt idx="45">
                  <c:v>918</c:v>
                </c:pt>
                <c:pt idx="46">
                  <c:v>925</c:v>
                </c:pt>
                <c:pt idx="47">
                  <c:v>941.25</c:v>
                </c:pt>
                <c:pt idx="48">
                  <c:v>942</c:v>
                </c:pt>
                <c:pt idx="49">
                  <c:v>947.15</c:v>
                </c:pt>
                <c:pt idx="50">
                  <c:v>956.5</c:v>
                </c:pt>
                <c:pt idx="51">
                  <c:v>963.04</c:v>
                </c:pt>
                <c:pt idx="52">
                  <c:v>972</c:v>
                </c:pt>
                <c:pt idx="53">
                  <c:v>972.81</c:v>
                </c:pt>
                <c:pt idx="54">
                  <c:v>972.81</c:v>
                </c:pt>
                <c:pt idx="55">
                  <c:v>966.25</c:v>
                </c:pt>
                <c:pt idx="56">
                  <c:v>963.51</c:v>
                </c:pt>
                <c:pt idx="57">
                  <c:v>977.5</c:v>
                </c:pt>
                <c:pt idx="58">
                  <c:v>975.51</c:v>
                </c:pt>
                <c:pt idx="59">
                  <c:v>975.05</c:v>
                </c:pt>
                <c:pt idx="60">
                  <c:v>991</c:v>
                </c:pt>
                <c:pt idx="61">
                  <c:v>981.5</c:v>
                </c:pt>
                <c:pt idx="62">
                  <c:v>971.5</c:v>
                </c:pt>
                <c:pt idx="63">
                  <c:v>963</c:v>
                </c:pt>
                <c:pt idx="64">
                  <c:v>963.8</c:v>
                </c:pt>
                <c:pt idx="65">
                  <c:v>964.04</c:v>
                </c:pt>
                <c:pt idx="66">
                  <c:v>988.45</c:v>
                </c:pt>
                <c:pt idx="67">
                  <c:v>978.89</c:v>
                </c:pt>
                <c:pt idx="68">
                  <c:v>980.5</c:v>
                </c:pt>
                <c:pt idx="69">
                  <c:v>998.1</c:v>
                </c:pt>
                <c:pt idx="70">
                  <c:v>979.5</c:v>
                </c:pt>
                <c:pt idx="71">
                  <c:v>993</c:v>
                </c:pt>
                <c:pt idx="72">
                  <c:v>981</c:v>
                </c:pt>
                <c:pt idx="73">
                  <c:v>994.5</c:v>
                </c:pt>
                <c:pt idx="74">
                  <c:v>991.15</c:v>
                </c:pt>
                <c:pt idx="75">
                  <c:v>1002.5</c:v>
                </c:pt>
                <c:pt idx="76">
                  <c:v>1058.49</c:v>
                </c:pt>
                <c:pt idx="77">
                  <c:v>1081.5</c:v>
                </c:pt>
                <c:pt idx="78">
                  <c:v>1083.0899999999999</c:v>
                </c:pt>
                <c:pt idx="79">
                  <c:v>1098.0999999999999</c:v>
                </c:pt>
                <c:pt idx="80">
                  <c:v>1089.78</c:v>
                </c:pt>
                <c:pt idx="81">
                  <c:v>1084.5</c:v>
                </c:pt>
                <c:pt idx="82">
                  <c:v>1079.5</c:v>
                </c:pt>
                <c:pt idx="83">
                  <c:v>1087</c:v>
                </c:pt>
                <c:pt idx="84">
                  <c:v>1059.5999999999999</c:v>
                </c:pt>
                <c:pt idx="85">
                  <c:v>1068</c:v>
                </c:pt>
                <c:pt idx="86">
                  <c:v>1078.3399999999999</c:v>
                </c:pt>
                <c:pt idx="87">
                  <c:v>1089.26</c:v>
                </c:pt>
                <c:pt idx="88">
                  <c:v>1135.01</c:v>
                </c:pt>
                <c:pt idx="89">
                  <c:v>1172.8499999999999</c:v>
                </c:pt>
                <c:pt idx="90">
                  <c:v>1223.71</c:v>
                </c:pt>
                <c:pt idx="91">
                  <c:v>1226.26</c:v>
                </c:pt>
                <c:pt idx="92">
                  <c:v>1259.56</c:v>
                </c:pt>
                <c:pt idx="93">
                  <c:v>1298.95</c:v>
                </c:pt>
                <c:pt idx="94">
                  <c:v>1231.01</c:v>
                </c:pt>
                <c:pt idx="95">
                  <c:v>1250.3</c:v>
                </c:pt>
                <c:pt idx="96">
                  <c:v>1250.3</c:v>
                </c:pt>
                <c:pt idx="97">
                  <c:v>1324.91</c:v>
                </c:pt>
                <c:pt idx="98">
                  <c:v>1310.05</c:v>
                </c:pt>
                <c:pt idx="99">
                  <c:v>1268.45</c:v>
                </c:pt>
                <c:pt idx="100">
                  <c:v>1298.68</c:v>
                </c:pt>
                <c:pt idx="101">
                  <c:v>1320.43</c:v>
                </c:pt>
                <c:pt idx="102">
                  <c:v>1359.26</c:v>
                </c:pt>
                <c:pt idx="103">
                  <c:v>1421.41</c:v>
                </c:pt>
                <c:pt idx="104">
                  <c:v>1342.51</c:v>
                </c:pt>
                <c:pt idx="105">
                  <c:v>1357.03</c:v>
                </c:pt>
                <c:pt idx="106">
                  <c:v>1355</c:v>
                </c:pt>
                <c:pt idx="107">
                  <c:v>1423.51</c:v>
                </c:pt>
                <c:pt idx="108">
                  <c:v>1372</c:v>
                </c:pt>
                <c:pt idx="109">
                  <c:v>1396.12</c:v>
                </c:pt>
                <c:pt idx="110">
                  <c:v>1375</c:v>
                </c:pt>
                <c:pt idx="111">
                  <c:v>1362</c:v>
                </c:pt>
                <c:pt idx="112">
                  <c:v>1352.11</c:v>
                </c:pt>
                <c:pt idx="113">
                  <c:v>1365.49</c:v>
                </c:pt>
                <c:pt idx="114">
                  <c:v>1403.03</c:v>
                </c:pt>
                <c:pt idx="115">
                  <c:v>1367.6</c:v>
                </c:pt>
                <c:pt idx="116">
                  <c:v>1376</c:v>
                </c:pt>
                <c:pt idx="117">
                  <c:v>1420.3</c:v>
                </c:pt>
                <c:pt idx="118">
                  <c:v>1462.5</c:v>
                </c:pt>
                <c:pt idx="119">
                  <c:v>1425.29</c:v>
                </c:pt>
                <c:pt idx="120">
                  <c:v>1443.16</c:v>
                </c:pt>
                <c:pt idx="121">
                  <c:v>1446.79</c:v>
                </c:pt>
                <c:pt idx="122">
                  <c:v>1416.02</c:v>
                </c:pt>
                <c:pt idx="123">
                  <c:v>1412.29</c:v>
                </c:pt>
                <c:pt idx="124">
                  <c:v>1406</c:v>
                </c:pt>
                <c:pt idx="125">
                  <c:v>1394</c:v>
                </c:pt>
                <c:pt idx="126">
                  <c:v>1399</c:v>
                </c:pt>
                <c:pt idx="127">
                  <c:v>1317</c:v>
                </c:pt>
                <c:pt idx="128">
                  <c:v>1293</c:v>
                </c:pt>
                <c:pt idx="129">
                  <c:v>1318.5</c:v>
                </c:pt>
                <c:pt idx="130">
                  <c:v>1333</c:v>
                </c:pt>
                <c:pt idx="131">
                  <c:v>1324.5</c:v>
                </c:pt>
                <c:pt idx="132">
                  <c:v>1337.85</c:v>
                </c:pt>
                <c:pt idx="133">
                  <c:v>1338</c:v>
                </c:pt>
                <c:pt idx="134">
                  <c:v>1335.5</c:v>
                </c:pt>
                <c:pt idx="135">
                  <c:v>1331.44</c:v>
                </c:pt>
                <c:pt idx="136">
                  <c:v>1340.79</c:v>
                </c:pt>
                <c:pt idx="137">
                  <c:v>1343</c:v>
                </c:pt>
                <c:pt idx="138">
                  <c:v>1361.05</c:v>
                </c:pt>
                <c:pt idx="139">
                  <c:v>1339</c:v>
                </c:pt>
                <c:pt idx="140">
                  <c:v>1327</c:v>
                </c:pt>
                <c:pt idx="141">
                  <c:v>1310</c:v>
                </c:pt>
                <c:pt idx="142">
                  <c:v>1343.5</c:v>
                </c:pt>
                <c:pt idx="143">
                  <c:v>1357.5</c:v>
                </c:pt>
                <c:pt idx="144">
                  <c:v>1364.78</c:v>
                </c:pt>
                <c:pt idx="145">
                  <c:v>1346</c:v>
                </c:pt>
                <c:pt idx="146">
                  <c:v>1352.5</c:v>
                </c:pt>
                <c:pt idx="147">
                  <c:v>1351</c:v>
                </c:pt>
                <c:pt idx="148">
                  <c:v>1363.44</c:v>
                </c:pt>
                <c:pt idx="149">
                  <c:v>1367.91</c:v>
                </c:pt>
                <c:pt idx="150">
                  <c:v>1404</c:v>
                </c:pt>
                <c:pt idx="151">
                  <c:v>1407</c:v>
                </c:pt>
                <c:pt idx="152">
                  <c:v>1425</c:v>
                </c:pt>
                <c:pt idx="153">
                  <c:v>1371.5</c:v>
                </c:pt>
                <c:pt idx="154">
                  <c:v>1376.35</c:v>
                </c:pt>
                <c:pt idx="155">
                  <c:v>1387.19</c:v>
                </c:pt>
                <c:pt idx="156">
                  <c:v>1372</c:v>
                </c:pt>
                <c:pt idx="157">
                  <c:v>1390</c:v>
                </c:pt>
                <c:pt idx="158">
                  <c:v>1382.6</c:v>
                </c:pt>
                <c:pt idx="159">
                  <c:v>1394.55</c:v>
                </c:pt>
                <c:pt idx="160">
                  <c:v>1405</c:v>
                </c:pt>
                <c:pt idx="161">
                  <c:v>1394.5</c:v>
                </c:pt>
                <c:pt idx="162">
                  <c:v>1367.28</c:v>
                </c:pt>
                <c:pt idx="163">
                  <c:v>1388</c:v>
                </c:pt>
                <c:pt idx="164">
                  <c:v>1408.09</c:v>
                </c:pt>
                <c:pt idx="165">
                  <c:v>1420.91</c:v>
                </c:pt>
                <c:pt idx="166">
                  <c:v>1482.11</c:v>
                </c:pt>
                <c:pt idx="167">
                  <c:v>1476</c:v>
                </c:pt>
                <c:pt idx="168">
                  <c:v>1533.51</c:v>
                </c:pt>
                <c:pt idx="169">
                  <c:v>1571.55</c:v>
                </c:pt>
                <c:pt idx="170">
                  <c:v>1605.17</c:v>
                </c:pt>
                <c:pt idx="171">
                  <c:v>1577.77</c:v>
                </c:pt>
                <c:pt idx="172">
                  <c:v>1560.5</c:v>
                </c:pt>
                <c:pt idx="173">
                  <c:v>1573.13</c:v>
                </c:pt>
                <c:pt idx="174">
                  <c:v>1608.6</c:v>
                </c:pt>
                <c:pt idx="175">
                  <c:v>1629.5</c:v>
                </c:pt>
                <c:pt idx="176">
                  <c:v>1622</c:v>
                </c:pt>
                <c:pt idx="177">
                  <c:v>1666.7</c:v>
                </c:pt>
                <c:pt idx="178">
                  <c:v>1622.5</c:v>
                </c:pt>
                <c:pt idx="179">
                  <c:v>1590.95</c:v>
                </c:pt>
                <c:pt idx="180">
                  <c:v>1649.51</c:v>
                </c:pt>
                <c:pt idx="181">
                  <c:v>1641.81</c:v>
                </c:pt>
                <c:pt idx="182">
                  <c:v>1658</c:v>
                </c:pt>
                <c:pt idx="183">
                  <c:v>1717.5</c:v>
                </c:pt>
                <c:pt idx="184">
                  <c:v>1613.6</c:v>
                </c:pt>
                <c:pt idx="185">
                  <c:v>1642.4</c:v>
                </c:pt>
                <c:pt idx="186">
                  <c:v>1556</c:v>
                </c:pt>
                <c:pt idx="187">
                  <c:v>1627.85</c:v>
                </c:pt>
                <c:pt idx="188">
                  <c:v>1629.5</c:v>
                </c:pt>
                <c:pt idx="189">
                  <c:v>1609.8</c:v>
                </c:pt>
                <c:pt idx="190">
                  <c:v>1594.5</c:v>
                </c:pt>
                <c:pt idx="191">
                  <c:v>1590</c:v>
                </c:pt>
                <c:pt idx="192">
                  <c:v>1589</c:v>
                </c:pt>
                <c:pt idx="193">
                  <c:v>1614.5</c:v>
                </c:pt>
                <c:pt idx="194">
                  <c:v>1572.1</c:v>
                </c:pt>
                <c:pt idx="195">
                  <c:v>1568.55</c:v>
                </c:pt>
                <c:pt idx="196">
                  <c:v>1538.55</c:v>
                </c:pt>
                <c:pt idx="197">
                  <c:v>1567.05</c:v>
                </c:pt>
                <c:pt idx="198">
                  <c:v>1544.8</c:v>
                </c:pt>
                <c:pt idx="199">
                  <c:v>1550.4</c:v>
                </c:pt>
                <c:pt idx="200">
                  <c:v>1582.8</c:v>
                </c:pt>
                <c:pt idx="201">
                  <c:v>1589.15</c:v>
                </c:pt>
                <c:pt idx="202">
                  <c:v>1620.35</c:v>
                </c:pt>
                <c:pt idx="203">
                  <c:v>1583.6</c:v>
                </c:pt>
                <c:pt idx="204">
                  <c:v>1546.2</c:v>
                </c:pt>
                <c:pt idx="205">
                  <c:v>1538.9</c:v>
                </c:pt>
                <c:pt idx="206">
                  <c:v>1538.82</c:v>
                </c:pt>
                <c:pt idx="207">
                  <c:v>1551.55</c:v>
                </c:pt>
                <c:pt idx="208">
                  <c:v>1516.8</c:v>
                </c:pt>
                <c:pt idx="209">
                  <c:v>1515.45</c:v>
                </c:pt>
                <c:pt idx="210">
                  <c:v>1547.3</c:v>
                </c:pt>
                <c:pt idx="211">
                  <c:v>1557.35</c:v>
                </c:pt>
                <c:pt idx="212">
                  <c:v>1592.38</c:v>
                </c:pt>
                <c:pt idx="213">
                  <c:v>1610.52</c:v>
                </c:pt>
                <c:pt idx="214">
                  <c:v>1675</c:v>
                </c:pt>
                <c:pt idx="215">
                  <c:v>1660.9</c:v>
                </c:pt>
                <c:pt idx="216">
                  <c:v>1642.1</c:v>
                </c:pt>
                <c:pt idx="217">
                  <c:v>1675.25</c:v>
                </c:pt>
                <c:pt idx="218">
                  <c:v>1651.25</c:v>
                </c:pt>
                <c:pt idx="219">
                  <c:v>1645.33</c:v>
                </c:pt>
                <c:pt idx="220">
                  <c:v>1647.5</c:v>
                </c:pt>
                <c:pt idx="221">
                  <c:v>1695.55</c:v>
                </c:pt>
                <c:pt idx="222">
                  <c:v>1661.25</c:v>
                </c:pt>
                <c:pt idx="223">
                  <c:v>1700.65</c:v>
                </c:pt>
                <c:pt idx="224">
                  <c:v>1750.25</c:v>
                </c:pt>
                <c:pt idx="225">
                  <c:v>1788.15</c:v>
                </c:pt>
                <c:pt idx="226">
                  <c:v>1854.75</c:v>
                </c:pt>
                <c:pt idx="227">
                  <c:v>1903.85</c:v>
                </c:pt>
                <c:pt idx="228">
                  <c:v>1921.05</c:v>
                </c:pt>
                <c:pt idx="229">
                  <c:v>1976.85</c:v>
                </c:pt>
                <c:pt idx="230">
                  <c:v>2125.6</c:v>
                </c:pt>
                <c:pt idx="231">
                  <c:v>2279.5500000000002</c:v>
                </c:pt>
                <c:pt idx="232">
                  <c:v>2224.44</c:v>
                </c:pt>
                <c:pt idx="233">
                  <c:v>2224.44</c:v>
                </c:pt>
                <c:pt idx="234">
                  <c:v>2455.25</c:v>
                </c:pt>
                <c:pt idx="235">
                  <c:v>2114.1799999999998</c:v>
                </c:pt>
                <c:pt idx="236">
                  <c:v>2205.1999999999998</c:v>
                </c:pt>
                <c:pt idx="237">
                  <c:v>2059.85</c:v>
                </c:pt>
                <c:pt idx="238">
                  <c:v>2059.85</c:v>
                </c:pt>
                <c:pt idx="239">
                  <c:v>2148.0500000000002</c:v>
                </c:pt>
                <c:pt idx="240">
                  <c:v>2276.6999999999998</c:v>
                </c:pt>
                <c:pt idx="241">
                  <c:v>2447.62</c:v>
                </c:pt>
                <c:pt idx="242">
                  <c:v>2309.85</c:v>
                </c:pt>
                <c:pt idx="243">
                  <c:v>2271.6</c:v>
                </c:pt>
                <c:pt idx="244">
                  <c:v>2278.35</c:v>
                </c:pt>
                <c:pt idx="245">
                  <c:v>2347.25</c:v>
                </c:pt>
                <c:pt idx="246">
                  <c:v>2329.75</c:v>
                </c:pt>
                <c:pt idx="247">
                  <c:v>2388.8000000000002</c:v>
                </c:pt>
                <c:pt idx="248">
                  <c:v>2415.1</c:v>
                </c:pt>
                <c:pt idx="249">
                  <c:v>2333.35</c:v>
                </c:pt>
                <c:pt idx="250">
                  <c:v>2377.04</c:v>
                </c:pt>
                <c:pt idx="251">
                  <c:v>2466.6</c:v>
                </c:pt>
                <c:pt idx="252">
                  <c:v>2486.9</c:v>
                </c:pt>
                <c:pt idx="253">
                  <c:v>2634.7</c:v>
                </c:pt>
                <c:pt idx="254">
                  <c:v>2772.45</c:v>
                </c:pt>
                <c:pt idx="255">
                  <c:v>2762.5</c:v>
                </c:pt>
                <c:pt idx="256">
                  <c:v>2646</c:v>
                </c:pt>
                <c:pt idx="257">
                  <c:v>2702.25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AB4-4FCB-B8CC-38784EEBEC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3632319"/>
        <c:axId val="213633399"/>
      </c:lineChart>
      <c:dateAx>
        <c:axId val="213632319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633399"/>
        <c:crosses val="autoZero"/>
        <c:auto val="1"/>
        <c:lblOffset val="100"/>
        <c:baseTimeUnit val="days"/>
      </c:dateAx>
      <c:valAx>
        <c:axId val="213633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6323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Palladium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Graphs!$E$1</c:f>
              <c:strCache>
                <c:ptCount val="1"/>
                <c:pt idx="0">
                  <c:v>Palladium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Graphs!$A$2:$A$259</c:f>
              <c:numCache>
                <c:formatCode>m/d/yyyy</c:formatCode>
                <c:ptCount val="258"/>
                <c:pt idx="0">
                  <c:v>45691</c:v>
                </c:pt>
                <c:pt idx="1">
                  <c:v>45692</c:v>
                </c:pt>
                <c:pt idx="2">
                  <c:v>45693</c:v>
                </c:pt>
                <c:pt idx="3">
                  <c:v>45694</c:v>
                </c:pt>
                <c:pt idx="4">
                  <c:v>45695</c:v>
                </c:pt>
                <c:pt idx="5">
                  <c:v>45698</c:v>
                </c:pt>
                <c:pt idx="6">
                  <c:v>45699</c:v>
                </c:pt>
                <c:pt idx="7">
                  <c:v>45700</c:v>
                </c:pt>
                <c:pt idx="8">
                  <c:v>45701</c:v>
                </c:pt>
                <c:pt idx="9">
                  <c:v>45702</c:v>
                </c:pt>
                <c:pt idx="10">
                  <c:v>45705</c:v>
                </c:pt>
                <c:pt idx="11">
                  <c:v>45706</c:v>
                </c:pt>
                <c:pt idx="12">
                  <c:v>45707</c:v>
                </c:pt>
                <c:pt idx="13">
                  <c:v>45708</c:v>
                </c:pt>
                <c:pt idx="14">
                  <c:v>45709</c:v>
                </c:pt>
                <c:pt idx="15">
                  <c:v>45712</c:v>
                </c:pt>
                <c:pt idx="16">
                  <c:v>45713</c:v>
                </c:pt>
                <c:pt idx="17">
                  <c:v>45714</c:v>
                </c:pt>
                <c:pt idx="18">
                  <c:v>45715</c:v>
                </c:pt>
                <c:pt idx="19">
                  <c:v>45716</c:v>
                </c:pt>
                <c:pt idx="20">
                  <c:v>45719</c:v>
                </c:pt>
                <c:pt idx="21">
                  <c:v>45720</c:v>
                </c:pt>
                <c:pt idx="22">
                  <c:v>45721</c:v>
                </c:pt>
                <c:pt idx="23">
                  <c:v>45722</c:v>
                </c:pt>
                <c:pt idx="24">
                  <c:v>45723</c:v>
                </c:pt>
                <c:pt idx="25">
                  <c:v>45726</c:v>
                </c:pt>
                <c:pt idx="26">
                  <c:v>45727</c:v>
                </c:pt>
                <c:pt idx="27">
                  <c:v>45728</c:v>
                </c:pt>
                <c:pt idx="28">
                  <c:v>45729</c:v>
                </c:pt>
                <c:pt idx="29">
                  <c:v>45730</c:v>
                </c:pt>
                <c:pt idx="30">
                  <c:v>45733</c:v>
                </c:pt>
                <c:pt idx="31">
                  <c:v>45734</c:v>
                </c:pt>
                <c:pt idx="32">
                  <c:v>45735</c:v>
                </c:pt>
                <c:pt idx="33">
                  <c:v>45736</c:v>
                </c:pt>
                <c:pt idx="34">
                  <c:v>45737</c:v>
                </c:pt>
                <c:pt idx="35">
                  <c:v>45740</c:v>
                </c:pt>
                <c:pt idx="36">
                  <c:v>45741</c:v>
                </c:pt>
                <c:pt idx="37">
                  <c:v>45742</c:v>
                </c:pt>
                <c:pt idx="38">
                  <c:v>45743</c:v>
                </c:pt>
                <c:pt idx="39">
                  <c:v>45744</c:v>
                </c:pt>
                <c:pt idx="40">
                  <c:v>45747</c:v>
                </c:pt>
                <c:pt idx="41">
                  <c:v>45748</c:v>
                </c:pt>
                <c:pt idx="42">
                  <c:v>45749</c:v>
                </c:pt>
                <c:pt idx="43">
                  <c:v>45750</c:v>
                </c:pt>
                <c:pt idx="44">
                  <c:v>45751</c:v>
                </c:pt>
                <c:pt idx="45">
                  <c:v>45754</c:v>
                </c:pt>
                <c:pt idx="46">
                  <c:v>45755</c:v>
                </c:pt>
                <c:pt idx="47">
                  <c:v>45756</c:v>
                </c:pt>
                <c:pt idx="48">
                  <c:v>45757</c:v>
                </c:pt>
                <c:pt idx="49">
                  <c:v>45758</c:v>
                </c:pt>
                <c:pt idx="50">
                  <c:v>45761</c:v>
                </c:pt>
                <c:pt idx="51">
                  <c:v>45762</c:v>
                </c:pt>
                <c:pt idx="52">
                  <c:v>45763</c:v>
                </c:pt>
                <c:pt idx="53">
                  <c:v>45764</c:v>
                </c:pt>
                <c:pt idx="54">
                  <c:v>45765</c:v>
                </c:pt>
                <c:pt idx="55">
                  <c:v>45768</c:v>
                </c:pt>
                <c:pt idx="56">
                  <c:v>45769</c:v>
                </c:pt>
                <c:pt idx="57">
                  <c:v>45770</c:v>
                </c:pt>
                <c:pt idx="58">
                  <c:v>45771</c:v>
                </c:pt>
                <c:pt idx="59">
                  <c:v>45772</c:v>
                </c:pt>
                <c:pt idx="60">
                  <c:v>45775</c:v>
                </c:pt>
                <c:pt idx="61">
                  <c:v>45776</c:v>
                </c:pt>
                <c:pt idx="62">
                  <c:v>45777</c:v>
                </c:pt>
                <c:pt idx="63">
                  <c:v>45778</c:v>
                </c:pt>
                <c:pt idx="64">
                  <c:v>45779</c:v>
                </c:pt>
                <c:pt idx="65">
                  <c:v>45782</c:v>
                </c:pt>
                <c:pt idx="66">
                  <c:v>45783</c:v>
                </c:pt>
                <c:pt idx="67">
                  <c:v>45784</c:v>
                </c:pt>
                <c:pt idx="68">
                  <c:v>45785</c:v>
                </c:pt>
                <c:pt idx="69">
                  <c:v>45786</c:v>
                </c:pt>
                <c:pt idx="70">
                  <c:v>45789</c:v>
                </c:pt>
                <c:pt idx="71">
                  <c:v>45790</c:v>
                </c:pt>
                <c:pt idx="72">
                  <c:v>45791</c:v>
                </c:pt>
                <c:pt idx="73">
                  <c:v>45792</c:v>
                </c:pt>
                <c:pt idx="74">
                  <c:v>45793</c:v>
                </c:pt>
                <c:pt idx="75">
                  <c:v>45796</c:v>
                </c:pt>
                <c:pt idx="76">
                  <c:v>45797</c:v>
                </c:pt>
                <c:pt idx="77">
                  <c:v>45798</c:v>
                </c:pt>
                <c:pt idx="78">
                  <c:v>45799</c:v>
                </c:pt>
                <c:pt idx="79">
                  <c:v>45800</c:v>
                </c:pt>
                <c:pt idx="80">
                  <c:v>45803</c:v>
                </c:pt>
                <c:pt idx="81">
                  <c:v>45804</c:v>
                </c:pt>
                <c:pt idx="82">
                  <c:v>45805</c:v>
                </c:pt>
                <c:pt idx="83">
                  <c:v>45806</c:v>
                </c:pt>
                <c:pt idx="84">
                  <c:v>45807</c:v>
                </c:pt>
                <c:pt idx="85">
                  <c:v>45810</c:v>
                </c:pt>
                <c:pt idx="86">
                  <c:v>45811</c:v>
                </c:pt>
                <c:pt idx="87">
                  <c:v>45812</c:v>
                </c:pt>
                <c:pt idx="88">
                  <c:v>45813</c:v>
                </c:pt>
                <c:pt idx="89">
                  <c:v>45814</c:v>
                </c:pt>
                <c:pt idx="90">
                  <c:v>45817</c:v>
                </c:pt>
                <c:pt idx="91">
                  <c:v>45818</c:v>
                </c:pt>
                <c:pt idx="92">
                  <c:v>45819</c:v>
                </c:pt>
                <c:pt idx="93">
                  <c:v>45820</c:v>
                </c:pt>
                <c:pt idx="94">
                  <c:v>45821</c:v>
                </c:pt>
                <c:pt idx="95">
                  <c:v>45824</c:v>
                </c:pt>
                <c:pt idx="96">
                  <c:v>45825</c:v>
                </c:pt>
                <c:pt idx="97">
                  <c:v>45826</c:v>
                </c:pt>
                <c:pt idx="98">
                  <c:v>45827</c:v>
                </c:pt>
                <c:pt idx="99">
                  <c:v>45828</c:v>
                </c:pt>
                <c:pt idx="100">
                  <c:v>45831</c:v>
                </c:pt>
                <c:pt idx="101">
                  <c:v>45832</c:v>
                </c:pt>
                <c:pt idx="102">
                  <c:v>45833</c:v>
                </c:pt>
                <c:pt idx="103">
                  <c:v>45834</c:v>
                </c:pt>
                <c:pt idx="104">
                  <c:v>45835</c:v>
                </c:pt>
                <c:pt idx="105">
                  <c:v>45838</c:v>
                </c:pt>
                <c:pt idx="106">
                  <c:v>45839</c:v>
                </c:pt>
                <c:pt idx="107">
                  <c:v>45840</c:v>
                </c:pt>
                <c:pt idx="108">
                  <c:v>45841</c:v>
                </c:pt>
                <c:pt idx="109">
                  <c:v>45842</c:v>
                </c:pt>
                <c:pt idx="110">
                  <c:v>45845</c:v>
                </c:pt>
                <c:pt idx="111">
                  <c:v>45846</c:v>
                </c:pt>
                <c:pt idx="112">
                  <c:v>45847</c:v>
                </c:pt>
                <c:pt idx="113">
                  <c:v>45848</c:v>
                </c:pt>
                <c:pt idx="114">
                  <c:v>45849</c:v>
                </c:pt>
                <c:pt idx="115">
                  <c:v>45852</c:v>
                </c:pt>
                <c:pt idx="116">
                  <c:v>45853</c:v>
                </c:pt>
                <c:pt idx="117">
                  <c:v>45854</c:v>
                </c:pt>
                <c:pt idx="118">
                  <c:v>45855</c:v>
                </c:pt>
                <c:pt idx="119">
                  <c:v>45856</c:v>
                </c:pt>
                <c:pt idx="120">
                  <c:v>45859</c:v>
                </c:pt>
                <c:pt idx="121">
                  <c:v>45860</c:v>
                </c:pt>
                <c:pt idx="122">
                  <c:v>45861</c:v>
                </c:pt>
                <c:pt idx="123">
                  <c:v>45862</c:v>
                </c:pt>
                <c:pt idx="124">
                  <c:v>45863</c:v>
                </c:pt>
                <c:pt idx="125">
                  <c:v>45866</c:v>
                </c:pt>
                <c:pt idx="126">
                  <c:v>45867</c:v>
                </c:pt>
                <c:pt idx="127">
                  <c:v>45868</c:v>
                </c:pt>
                <c:pt idx="128">
                  <c:v>45869</c:v>
                </c:pt>
                <c:pt idx="129">
                  <c:v>45870</c:v>
                </c:pt>
                <c:pt idx="130">
                  <c:v>45873</c:v>
                </c:pt>
                <c:pt idx="131">
                  <c:v>45874</c:v>
                </c:pt>
                <c:pt idx="132">
                  <c:v>45875</c:v>
                </c:pt>
                <c:pt idx="133">
                  <c:v>45876</c:v>
                </c:pt>
                <c:pt idx="134">
                  <c:v>45877</c:v>
                </c:pt>
                <c:pt idx="135">
                  <c:v>45880</c:v>
                </c:pt>
                <c:pt idx="136">
                  <c:v>45881</c:v>
                </c:pt>
                <c:pt idx="137">
                  <c:v>45882</c:v>
                </c:pt>
                <c:pt idx="138">
                  <c:v>45883</c:v>
                </c:pt>
                <c:pt idx="139">
                  <c:v>45884</c:v>
                </c:pt>
                <c:pt idx="140">
                  <c:v>45887</c:v>
                </c:pt>
                <c:pt idx="141">
                  <c:v>45888</c:v>
                </c:pt>
                <c:pt idx="142">
                  <c:v>45889</c:v>
                </c:pt>
                <c:pt idx="143">
                  <c:v>45890</c:v>
                </c:pt>
                <c:pt idx="144">
                  <c:v>45891</c:v>
                </c:pt>
                <c:pt idx="145">
                  <c:v>45894</c:v>
                </c:pt>
                <c:pt idx="146">
                  <c:v>45895</c:v>
                </c:pt>
                <c:pt idx="147">
                  <c:v>45896</c:v>
                </c:pt>
                <c:pt idx="148">
                  <c:v>45897</c:v>
                </c:pt>
                <c:pt idx="149">
                  <c:v>45898</c:v>
                </c:pt>
                <c:pt idx="150">
                  <c:v>45901</c:v>
                </c:pt>
                <c:pt idx="151">
                  <c:v>45902</c:v>
                </c:pt>
                <c:pt idx="152">
                  <c:v>45903</c:v>
                </c:pt>
                <c:pt idx="153">
                  <c:v>45904</c:v>
                </c:pt>
                <c:pt idx="154">
                  <c:v>45905</c:v>
                </c:pt>
                <c:pt idx="155">
                  <c:v>45908</c:v>
                </c:pt>
                <c:pt idx="156">
                  <c:v>45909</c:v>
                </c:pt>
                <c:pt idx="157">
                  <c:v>45910</c:v>
                </c:pt>
                <c:pt idx="158">
                  <c:v>45911</c:v>
                </c:pt>
                <c:pt idx="159">
                  <c:v>45912</c:v>
                </c:pt>
                <c:pt idx="160">
                  <c:v>45915</c:v>
                </c:pt>
                <c:pt idx="161">
                  <c:v>45916</c:v>
                </c:pt>
                <c:pt idx="162">
                  <c:v>45917</c:v>
                </c:pt>
                <c:pt idx="163">
                  <c:v>45918</c:v>
                </c:pt>
                <c:pt idx="164">
                  <c:v>45919</c:v>
                </c:pt>
                <c:pt idx="165">
                  <c:v>45922</c:v>
                </c:pt>
                <c:pt idx="166">
                  <c:v>45923</c:v>
                </c:pt>
                <c:pt idx="167">
                  <c:v>45924</c:v>
                </c:pt>
                <c:pt idx="168">
                  <c:v>45925</c:v>
                </c:pt>
                <c:pt idx="169">
                  <c:v>45926</c:v>
                </c:pt>
                <c:pt idx="170">
                  <c:v>45929</c:v>
                </c:pt>
                <c:pt idx="171">
                  <c:v>45930</c:v>
                </c:pt>
                <c:pt idx="172">
                  <c:v>45931</c:v>
                </c:pt>
                <c:pt idx="173">
                  <c:v>45932</c:v>
                </c:pt>
                <c:pt idx="174">
                  <c:v>45933</c:v>
                </c:pt>
                <c:pt idx="175">
                  <c:v>45936</c:v>
                </c:pt>
                <c:pt idx="176">
                  <c:v>45937</c:v>
                </c:pt>
                <c:pt idx="177">
                  <c:v>45938</c:v>
                </c:pt>
                <c:pt idx="178">
                  <c:v>45939</c:v>
                </c:pt>
                <c:pt idx="179">
                  <c:v>45940</c:v>
                </c:pt>
                <c:pt idx="180">
                  <c:v>45943</c:v>
                </c:pt>
                <c:pt idx="181">
                  <c:v>45944</c:v>
                </c:pt>
                <c:pt idx="182">
                  <c:v>45945</c:v>
                </c:pt>
                <c:pt idx="183">
                  <c:v>45946</c:v>
                </c:pt>
                <c:pt idx="184">
                  <c:v>45947</c:v>
                </c:pt>
                <c:pt idx="185">
                  <c:v>45950</c:v>
                </c:pt>
                <c:pt idx="186">
                  <c:v>45951</c:v>
                </c:pt>
                <c:pt idx="187">
                  <c:v>45952</c:v>
                </c:pt>
                <c:pt idx="188">
                  <c:v>45953</c:v>
                </c:pt>
                <c:pt idx="189">
                  <c:v>45954</c:v>
                </c:pt>
                <c:pt idx="190">
                  <c:v>45957</c:v>
                </c:pt>
                <c:pt idx="191">
                  <c:v>45958</c:v>
                </c:pt>
                <c:pt idx="192">
                  <c:v>45959</c:v>
                </c:pt>
                <c:pt idx="193">
                  <c:v>45960</c:v>
                </c:pt>
                <c:pt idx="194">
                  <c:v>45961</c:v>
                </c:pt>
                <c:pt idx="195">
                  <c:v>45964</c:v>
                </c:pt>
                <c:pt idx="196">
                  <c:v>45965</c:v>
                </c:pt>
                <c:pt idx="197">
                  <c:v>45966</c:v>
                </c:pt>
                <c:pt idx="198">
                  <c:v>45967</c:v>
                </c:pt>
                <c:pt idx="199">
                  <c:v>45968</c:v>
                </c:pt>
                <c:pt idx="200">
                  <c:v>45971</c:v>
                </c:pt>
                <c:pt idx="201">
                  <c:v>45972</c:v>
                </c:pt>
                <c:pt idx="202">
                  <c:v>45973</c:v>
                </c:pt>
                <c:pt idx="203">
                  <c:v>45974</c:v>
                </c:pt>
                <c:pt idx="204">
                  <c:v>45975</c:v>
                </c:pt>
                <c:pt idx="205">
                  <c:v>45978</c:v>
                </c:pt>
                <c:pt idx="206">
                  <c:v>45979</c:v>
                </c:pt>
                <c:pt idx="207">
                  <c:v>45980</c:v>
                </c:pt>
                <c:pt idx="208">
                  <c:v>45981</c:v>
                </c:pt>
                <c:pt idx="209">
                  <c:v>45982</c:v>
                </c:pt>
                <c:pt idx="210">
                  <c:v>45985</c:v>
                </c:pt>
                <c:pt idx="211">
                  <c:v>45986</c:v>
                </c:pt>
                <c:pt idx="212">
                  <c:v>45987</c:v>
                </c:pt>
                <c:pt idx="213">
                  <c:v>45988</c:v>
                </c:pt>
                <c:pt idx="214">
                  <c:v>45989</c:v>
                </c:pt>
                <c:pt idx="215">
                  <c:v>45992</c:v>
                </c:pt>
                <c:pt idx="216">
                  <c:v>45993</c:v>
                </c:pt>
                <c:pt idx="217">
                  <c:v>45994</c:v>
                </c:pt>
                <c:pt idx="218">
                  <c:v>45995</c:v>
                </c:pt>
                <c:pt idx="219">
                  <c:v>45996</c:v>
                </c:pt>
                <c:pt idx="220">
                  <c:v>45999</c:v>
                </c:pt>
                <c:pt idx="221">
                  <c:v>46000</c:v>
                </c:pt>
                <c:pt idx="222">
                  <c:v>46001</c:v>
                </c:pt>
                <c:pt idx="223">
                  <c:v>46002</c:v>
                </c:pt>
                <c:pt idx="224">
                  <c:v>46003</c:v>
                </c:pt>
                <c:pt idx="225">
                  <c:v>46006</c:v>
                </c:pt>
                <c:pt idx="226">
                  <c:v>46007</c:v>
                </c:pt>
                <c:pt idx="227">
                  <c:v>46008</c:v>
                </c:pt>
                <c:pt idx="228">
                  <c:v>46009</c:v>
                </c:pt>
                <c:pt idx="229">
                  <c:v>46010</c:v>
                </c:pt>
                <c:pt idx="230">
                  <c:v>46013</c:v>
                </c:pt>
                <c:pt idx="231">
                  <c:v>46014</c:v>
                </c:pt>
                <c:pt idx="232">
                  <c:v>46015</c:v>
                </c:pt>
                <c:pt idx="233">
                  <c:v>46016</c:v>
                </c:pt>
                <c:pt idx="234">
                  <c:v>46017</c:v>
                </c:pt>
                <c:pt idx="235">
                  <c:v>46020</c:v>
                </c:pt>
                <c:pt idx="236">
                  <c:v>46021</c:v>
                </c:pt>
                <c:pt idx="237">
                  <c:v>46022</c:v>
                </c:pt>
                <c:pt idx="238">
                  <c:v>46023</c:v>
                </c:pt>
                <c:pt idx="239">
                  <c:v>46024</c:v>
                </c:pt>
                <c:pt idx="240">
                  <c:v>46027</c:v>
                </c:pt>
                <c:pt idx="241">
                  <c:v>46028</c:v>
                </c:pt>
                <c:pt idx="242">
                  <c:v>46029</c:v>
                </c:pt>
                <c:pt idx="243">
                  <c:v>46030</c:v>
                </c:pt>
                <c:pt idx="244">
                  <c:v>46031</c:v>
                </c:pt>
                <c:pt idx="245">
                  <c:v>46034</c:v>
                </c:pt>
                <c:pt idx="246">
                  <c:v>46035</c:v>
                </c:pt>
                <c:pt idx="247">
                  <c:v>46036</c:v>
                </c:pt>
                <c:pt idx="248">
                  <c:v>46037</c:v>
                </c:pt>
                <c:pt idx="249">
                  <c:v>46038</c:v>
                </c:pt>
                <c:pt idx="250">
                  <c:v>46041</c:v>
                </c:pt>
                <c:pt idx="251">
                  <c:v>46042</c:v>
                </c:pt>
                <c:pt idx="252">
                  <c:v>46043</c:v>
                </c:pt>
                <c:pt idx="253">
                  <c:v>46044</c:v>
                </c:pt>
                <c:pt idx="254">
                  <c:v>46045</c:v>
                </c:pt>
                <c:pt idx="255">
                  <c:v>46048</c:v>
                </c:pt>
                <c:pt idx="256">
                  <c:v>46049</c:v>
                </c:pt>
                <c:pt idx="257">
                  <c:v>46050</c:v>
                </c:pt>
              </c:numCache>
            </c:numRef>
          </c:cat>
          <c:val>
            <c:numRef>
              <c:f>Graphs!$E$2:$E$259</c:f>
              <c:numCache>
                <c:formatCode>_("$"* #,##0_);_("$"* \(#,##0\);_("$"* "-"??_);_(@_)</c:formatCode>
                <c:ptCount val="258"/>
                <c:pt idx="0">
                  <c:v>1015.5</c:v>
                </c:pt>
                <c:pt idx="1">
                  <c:v>996.75</c:v>
                </c:pt>
                <c:pt idx="2">
                  <c:v>995.5</c:v>
                </c:pt>
                <c:pt idx="3">
                  <c:v>982.51</c:v>
                </c:pt>
                <c:pt idx="4">
                  <c:v>972.25</c:v>
                </c:pt>
                <c:pt idx="5">
                  <c:v>985.75</c:v>
                </c:pt>
                <c:pt idx="6">
                  <c:v>979.75</c:v>
                </c:pt>
                <c:pt idx="7">
                  <c:v>977.41</c:v>
                </c:pt>
                <c:pt idx="8">
                  <c:v>999.25</c:v>
                </c:pt>
                <c:pt idx="9">
                  <c:v>968.75</c:v>
                </c:pt>
                <c:pt idx="10">
                  <c:v>970</c:v>
                </c:pt>
                <c:pt idx="11">
                  <c:v>989.5</c:v>
                </c:pt>
                <c:pt idx="12">
                  <c:v>971.88</c:v>
                </c:pt>
                <c:pt idx="13">
                  <c:v>981.26</c:v>
                </c:pt>
                <c:pt idx="14">
                  <c:v>972.09</c:v>
                </c:pt>
                <c:pt idx="15">
                  <c:v>944.21</c:v>
                </c:pt>
                <c:pt idx="16">
                  <c:v>931.72</c:v>
                </c:pt>
                <c:pt idx="17">
                  <c:v>930.31</c:v>
                </c:pt>
                <c:pt idx="18">
                  <c:v>923.28</c:v>
                </c:pt>
                <c:pt idx="19">
                  <c:v>923.03</c:v>
                </c:pt>
                <c:pt idx="20">
                  <c:v>941.72</c:v>
                </c:pt>
                <c:pt idx="21">
                  <c:v>947</c:v>
                </c:pt>
                <c:pt idx="22">
                  <c:v>947.5</c:v>
                </c:pt>
                <c:pt idx="23">
                  <c:v>946.3</c:v>
                </c:pt>
                <c:pt idx="24">
                  <c:v>952.25</c:v>
                </c:pt>
                <c:pt idx="25">
                  <c:v>946.93</c:v>
                </c:pt>
                <c:pt idx="26">
                  <c:v>949.03</c:v>
                </c:pt>
                <c:pt idx="27">
                  <c:v>952.01</c:v>
                </c:pt>
                <c:pt idx="28">
                  <c:v>961.04</c:v>
                </c:pt>
                <c:pt idx="29">
                  <c:v>969.04</c:v>
                </c:pt>
                <c:pt idx="30">
                  <c:v>968.77</c:v>
                </c:pt>
                <c:pt idx="31">
                  <c:v>971.09</c:v>
                </c:pt>
                <c:pt idx="32">
                  <c:v>962.02</c:v>
                </c:pt>
                <c:pt idx="33">
                  <c:v>955.41</c:v>
                </c:pt>
                <c:pt idx="34">
                  <c:v>962.01</c:v>
                </c:pt>
                <c:pt idx="35">
                  <c:v>954.02</c:v>
                </c:pt>
                <c:pt idx="36">
                  <c:v>959.52</c:v>
                </c:pt>
                <c:pt idx="37">
                  <c:v>971.57</c:v>
                </c:pt>
                <c:pt idx="38">
                  <c:v>978.02</c:v>
                </c:pt>
                <c:pt idx="39">
                  <c:v>975.5</c:v>
                </c:pt>
                <c:pt idx="40">
                  <c:v>985.54</c:v>
                </c:pt>
                <c:pt idx="41">
                  <c:v>987</c:v>
                </c:pt>
                <c:pt idx="42">
                  <c:v>972.56</c:v>
                </c:pt>
                <c:pt idx="43">
                  <c:v>932.16</c:v>
                </c:pt>
                <c:pt idx="44">
                  <c:v>915.51</c:v>
                </c:pt>
                <c:pt idx="45">
                  <c:v>922.63</c:v>
                </c:pt>
                <c:pt idx="46">
                  <c:v>909.51</c:v>
                </c:pt>
                <c:pt idx="47">
                  <c:v>935</c:v>
                </c:pt>
                <c:pt idx="48">
                  <c:v>912.07</c:v>
                </c:pt>
                <c:pt idx="49">
                  <c:v>919.4</c:v>
                </c:pt>
                <c:pt idx="50">
                  <c:v>959.55</c:v>
                </c:pt>
                <c:pt idx="51">
                  <c:v>975.02</c:v>
                </c:pt>
                <c:pt idx="52">
                  <c:v>974.52</c:v>
                </c:pt>
                <c:pt idx="53">
                  <c:v>965.03</c:v>
                </c:pt>
                <c:pt idx="54">
                  <c:v>965.03</c:v>
                </c:pt>
                <c:pt idx="55">
                  <c:v>930.02</c:v>
                </c:pt>
                <c:pt idx="56">
                  <c:v>939.73</c:v>
                </c:pt>
                <c:pt idx="57">
                  <c:v>946.55</c:v>
                </c:pt>
                <c:pt idx="58">
                  <c:v>956.5</c:v>
                </c:pt>
                <c:pt idx="59">
                  <c:v>952.54</c:v>
                </c:pt>
                <c:pt idx="60">
                  <c:v>952.55</c:v>
                </c:pt>
                <c:pt idx="61">
                  <c:v>938.47</c:v>
                </c:pt>
                <c:pt idx="62">
                  <c:v>940.52</c:v>
                </c:pt>
                <c:pt idx="63">
                  <c:v>943.02</c:v>
                </c:pt>
                <c:pt idx="64">
                  <c:v>956.5</c:v>
                </c:pt>
                <c:pt idx="65">
                  <c:v>943.51</c:v>
                </c:pt>
                <c:pt idx="66">
                  <c:v>978.03</c:v>
                </c:pt>
                <c:pt idx="67">
                  <c:v>975.04</c:v>
                </c:pt>
                <c:pt idx="68">
                  <c:v>978.54</c:v>
                </c:pt>
                <c:pt idx="69">
                  <c:v>979.68</c:v>
                </c:pt>
                <c:pt idx="70">
                  <c:v>949.24</c:v>
                </c:pt>
                <c:pt idx="71">
                  <c:v>959.52</c:v>
                </c:pt>
                <c:pt idx="72">
                  <c:v>953.53</c:v>
                </c:pt>
                <c:pt idx="73">
                  <c:v>971.06</c:v>
                </c:pt>
                <c:pt idx="74">
                  <c:v>964.66</c:v>
                </c:pt>
                <c:pt idx="75">
                  <c:v>977.52</c:v>
                </c:pt>
                <c:pt idx="76">
                  <c:v>1016.01</c:v>
                </c:pt>
                <c:pt idx="77">
                  <c:v>1040</c:v>
                </c:pt>
                <c:pt idx="78">
                  <c:v>1017.52</c:v>
                </c:pt>
                <c:pt idx="79">
                  <c:v>996.76</c:v>
                </c:pt>
                <c:pt idx="80">
                  <c:v>990</c:v>
                </c:pt>
                <c:pt idx="81">
                  <c:v>981.02</c:v>
                </c:pt>
                <c:pt idx="82">
                  <c:v>966.19</c:v>
                </c:pt>
                <c:pt idx="83">
                  <c:v>976.56</c:v>
                </c:pt>
                <c:pt idx="84">
                  <c:v>974.67</c:v>
                </c:pt>
                <c:pt idx="85">
                  <c:v>991.53</c:v>
                </c:pt>
                <c:pt idx="86">
                  <c:v>1013.02</c:v>
                </c:pt>
                <c:pt idx="87">
                  <c:v>1003.53</c:v>
                </c:pt>
                <c:pt idx="88">
                  <c:v>1009.8</c:v>
                </c:pt>
                <c:pt idx="89">
                  <c:v>1050.97</c:v>
                </c:pt>
                <c:pt idx="90">
                  <c:v>1077.03</c:v>
                </c:pt>
                <c:pt idx="91">
                  <c:v>1064.0999999999999</c:v>
                </c:pt>
                <c:pt idx="92">
                  <c:v>1083.57</c:v>
                </c:pt>
                <c:pt idx="93">
                  <c:v>1059.03</c:v>
                </c:pt>
                <c:pt idx="94">
                  <c:v>1031.71</c:v>
                </c:pt>
                <c:pt idx="95">
                  <c:v>1033.04</c:v>
                </c:pt>
                <c:pt idx="96">
                  <c:v>1033.04</c:v>
                </c:pt>
                <c:pt idx="97">
                  <c:v>1033.04</c:v>
                </c:pt>
                <c:pt idx="98">
                  <c:v>1053.32</c:v>
                </c:pt>
                <c:pt idx="99">
                  <c:v>1048.07</c:v>
                </c:pt>
                <c:pt idx="100">
                  <c:v>1079.55</c:v>
                </c:pt>
                <c:pt idx="101">
                  <c:v>1069</c:v>
                </c:pt>
                <c:pt idx="102">
                  <c:v>1060.58</c:v>
                </c:pt>
                <c:pt idx="103">
                  <c:v>1060.58</c:v>
                </c:pt>
                <c:pt idx="104">
                  <c:v>1137.5999999999999</c:v>
                </c:pt>
                <c:pt idx="105">
                  <c:v>1100.05</c:v>
                </c:pt>
                <c:pt idx="106">
                  <c:v>1103.1099999999999</c:v>
                </c:pt>
                <c:pt idx="107">
                  <c:v>1157.55</c:v>
                </c:pt>
                <c:pt idx="108">
                  <c:v>1139.55</c:v>
                </c:pt>
                <c:pt idx="109">
                  <c:v>1138.03</c:v>
                </c:pt>
                <c:pt idx="110">
                  <c:v>1114.0899999999999</c:v>
                </c:pt>
                <c:pt idx="111">
                  <c:v>1113.55</c:v>
                </c:pt>
                <c:pt idx="112">
                  <c:v>1107.56</c:v>
                </c:pt>
                <c:pt idx="113">
                  <c:v>1144.57</c:v>
                </c:pt>
                <c:pt idx="114">
                  <c:v>1220</c:v>
                </c:pt>
                <c:pt idx="115">
                  <c:v>1197.02</c:v>
                </c:pt>
                <c:pt idx="116">
                  <c:v>1210</c:v>
                </c:pt>
                <c:pt idx="117">
                  <c:v>1233.55</c:v>
                </c:pt>
                <c:pt idx="118">
                  <c:v>1283.92</c:v>
                </c:pt>
                <c:pt idx="119">
                  <c:v>1244.5</c:v>
                </c:pt>
                <c:pt idx="120">
                  <c:v>1267.58</c:v>
                </c:pt>
                <c:pt idx="121">
                  <c:v>1277.54</c:v>
                </c:pt>
                <c:pt idx="122">
                  <c:v>1281.57</c:v>
                </c:pt>
                <c:pt idx="123">
                  <c:v>1231.52</c:v>
                </c:pt>
                <c:pt idx="124">
                  <c:v>1222.76</c:v>
                </c:pt>
                <c:pt idx="125">
                  <c:v>1249.52</c:v>
                </c:pt>
                <c:pt idx="126">
                  <c:v>1262</c:v>
                </c:pt>
                <c:pt idx="127">
                  <c:v>1209.04</c:v>
                </c:pt>
                <c:pt idx="128">
                  <c:v>1194.52</c:v>
                </c:pt>
                <c:pt idx="129">
                  <c:v>1212.1400000000001</c:v>
                </c:pt>
                <c:pt idx="130">
                  <c:v>1210</c:v>
                </c:pt>
                <c:pt idx="131">
                  <c:v>1178.6400000000001</c:v>
                </c:pt>
                <c:pt idx="132">
                  <c:v>1135.53</c:v>
                </c:pt>
                <c:pt idx="133">
                  <c:v>1155</c:v>
                </c:pt>
                <c:pt idx="134">
                  <c:v>1130</c:v>
                </c:pt>
                <c:pt idx="135">
                  <c:v>1139.54</c:v>
                </c:pt>
                <c:pt idx="136">
                  <c:v>1133.51</c:v>
                </c:pt>
                <c:pt idx="137">
                  <c:v>1126.55</c:v>
                </c:pt>
                <c:pt idx="138">
                  <c:v>1149.5899999999999</c:v>
                </c:pt>
                <c:pt idx="139">
                  <c:v>1117</c:v>
                </c:pt>
                <c:pt idx="140">
                  <c:v>1126.51</c:v>
                </c:pt>
                <c:pt idx="141">
                  <c:v>1119.06</c:v>
                </c:pt>
                <c:pt idx="142">
                  <c:v>1118.5</c:v>
                </c:pt>
                <c:pt idx="143">
                  <c:v>1114.53</c:v>
                </c:pt>
                <c:pt idx="144">
                  <c:v>1130.01</c:v>
                </c:pt>
                <c:pt idx="145">
                  <c:v>1090.06</c:v>
                </c:pt>
                <c:pt idx="146">
                  <c:v>1098.5</c:v>
                </c:pt>
                <c:pt idx="147">
                  <c:v>1096</c:v>
                </c:pt>
                <c:pt idx="148">
                  <c:v>1106.51</c:v>
                </c:pt>
                <c:pt idx="149">
                  <c:v>1114.0999999999999</c:v>
                </c:pt>
                <c:pt idx="150">
                  <c:v>1140.03</c:v>
                </c:pt>
                <c:pt idx="151">
                  <c:v>1138.54</c:v>
                </c:pt>
                <c:pt idx="152">
                  <c:v>1151.54</c:v>
                </c:pt>
                <c:pt idx="153">
                  <c:v>1131.56</c:v>
                </c:pt>
                <c:pt idx="154">
                  <c:v>1113.8</c:v>
                </c:pt>
                <c:pt idx="155">
                  <c:v>1137.54</c:v>
                </c:pt>
                <c:pt idx="156">
                  <c:v>1152.04</c:v>
                </c:pt>
                <c:pt idx="157">
                  <c:v>1177.02</c:v>
                </c:pt>
                <c:pt idx="158">
                  <c:v>1191.99</c:v>
                </c:pt>
                <c:pt idx="159">
                  <c:v>1201.0999999999999</c:v>
                </c:pt>
                <c:pt idx="160">
                  <c:v>1187.6600000000001</c:v>
                </c:pt>
                <c:pt idx="161">
                  <c:v>1179.52</c:v>
                </c:pt>
                <c:pt idx="162">
                  <c:v>1157.53</c:v>
                </c:pt>
                <c:pt idx="163">
                  <c:v>1154.3499999999999</c:v>
                </c:pt>
                <c:pt idx="164">
                  <c:v>1153.02</c:v>
                </c:pt>
                <c:pt idx="165">
                  <c:v>1182.52</c:v>
                </c:pt>
                <c:pt idx="166">
                  <c:v>1223.04</c:v>
                </c:pt>
                <c:pt idx="167">
                  <c:v>1213.52</c:v>
                </c:pt>
                <c:pt idx="168">
                  <c:v>1253.52</c:v>
                </c:pt>
                <c:pt idx="169">
                  <c:v>1274.01</c:v>
                </c:pt>
                <c:pt idx="170">
                  <c:v>1271.1600000000001</c:v>
                </c:pt>
                <c:pt idx="171">
                  <c:v>1260.51</c:v>
                </c:pt>
                <c:pt idx="172">
                  <c:v>1248.51</c:v>
                </c:pt>
                <c:pt idx="173">
                  <c:v>1244.52</c:v>
                </c:pt>
                <c:pt idx="174">
                  <c:v>1264.75</c:v>
                </c:pt>
                <c:pt idx="175">
                  <c:v>1323</c:v>
                </c:pt>
                <c:pt idx="176">
                  <c:v>1341.5</c:v>
                </c:pt>
                <c:pt idx="177">
                  <c:v>1453.03</c:v>
                </c:pt>
                <c:pt idx="178">
                  <c:v>1415.04</c:v>
                </c:pt>
                <c:pt idx="179">
                  <c:v>1409.01</c:v>
                </c:pt>
                <c:pt idx="180">
                  <c:v>1478.02</c:v>
                </c:pt>
                <c:pt idx="181">
                  <c:v>1529.01</c:v>
                </c:pt>
                <c:pt idx="182">
                  <c:v>1540.04</c:v>
                </c:pt>
                <c:pt idx="183">
                  <c:v>1616.76</c:v>
                </c:pt>
                <c:pt idx="184">
                  <c:v>1481.5</c:v>
                </c:pt>
                <c:pt idx="185">
                  <c:v>1499.51</c:v>
                </c:pt>
                <c:pt idx="186">
                  <c:v>1411.54</c:v>
                </c:pt>
                <c:pt idx="187">
                  <c:v>1462.55</c:v>
                </c:pt>
                <c:pt idx="188">
                  <c:v>1460.58</c:v>
                </c:pt>
                <c:pt idx="189">
                  <c:v>1432.58</c:v>
                </c:pt>
                <c:pt idx="190">
                  <c:v>1406.52</c:v>
                </c:pt>
                <c:pt idx="191">
                  <c:v>1397.51</c:v>
                </c:pt>
                <c:pt idx="192">
                  <c:v>1404.93</c:v>
                </c:pt>
                <c:pt idx="193">
                  <c:v>1449.06</c:v>
                </c:pt>
                <c:pt idx="194">
                  <c:v>1440</c:v>
                </c:pt>
                <c:pt idx="195">
                  <c:v>1448.44</c:v>
                </c:pt>
                <c:pt idx="196">
                  <c:v>1395.08</c:v>
                </c:pt>
                <c:pt idx="197">
                  <c:v>1423.12</c:v>
                </c:pt>
                <c:pt idx="198">
                  <c:v>1378.21</c:v>
                </c:pt>
                <c:pt idx="199">
                  <c:v>1383.56</c:v>
                </c:pt>
                <c:pt idx="200">
                  <c:v>1425</c:v>
                </c:pt>
                <c:pt idx="201">
                  <c:v>1447.74</c:v>
                </c:pt>
                <c:pt idx="202">
                  <c:v>1477.38</c:v>
                </c:pt>
                <c:pt idx="203">
                  <c:v>1429.93</c:v>
                </c:pt>
                <c:pt idx="204">
                  <c:v>1394.75</c:v>
                </c:pt>
                <c:pt idx="205">
                  <c:v>1396.51</c:v>
                </c:pt>
                <c:pt idx="206">
                  <c:v>1404.5</c:v>
                </c:pt>
                <c:pt idx="207">
                  <c:v>1384.14</c:v>
                </c:pt>
                <c:pt idx="208">
                  <c:v>1384</c:v>
                </c:pt>
                <c:pt idx="209">
                  <c:v>1382.25</c:v>
                </c:pt>
                <c:pt idx="210">
                  <c:v>1398.93</c:v>
                </c:pt>
                <c:pt idx="211">
                  <c:v>1400.77</c:v>
                </c:pt>
                <c:pt idx="212">
                  <c:v>1426.73</c:v>
                </c:pt>
                <c:pt idx="213">
                  <c:v>1442.48</c:v>
                </c:pt>
                <c:pt idx="214">
                  <c:v>1454.35</c:v>
                </c:pt>
                <c:pt idx="215">
                  <c:v>1428.34</c:v>
                </c:pt>
                <c:pt idx="216">
                  <c:v>1466.18</c:v>
                </c:pt>
                <c:pt idx="217">
                  <c:v>1464.53</c:v>
                </c:pt>
                <c:pt idx="218">
                  <c:v>1452.43</c:v>
                </c:pt>
                <c:pt idx="219">
                  <c:v>1461.25</c:v>
                </c:pt>
                <c:pt idx="220">
                  <c:v>1475.25</c:v>
                </c:pt>
                <c:pt idx="221">
                  <c:v>1510.01</c:v>
                </c:pt>
                <c:pt idx="222">
                  <c:v>1479.68</c:v>
                </c:pt>
                <c:pt idx="223">
                  <c:v>1494</c:v>
                </c:pt>
                <c:pt idx="224">
                  <c:v>1497.5</c:v>
                </c:pt>
                <c:pt idx="225">
                  <c:v>1577.25</c:v>
                </c:pt>
                <c:pt idx="226">
                  <c:v>1607.21</c:v>
                </c:pt>
                <c:pt idx="227">
                  <c:v>1658</c:v>
                </c:pt>
                <c:pt idx="228">
                  <c:v>1699.41</c:v>
                </c:pt>
                <c:pt idx="229">
                  <c:v>1717.46</c:v>
                </c:pt>
                <c:pt idx="230">
                  <c:v>1771.75</c:v>
                </c:pt>
                <c:pt idx="231">
                  <c:v>1873</c:v>
                </c:pt>
                <c:pt idx="232">
                  <c:v>1689.67</c:v>
                </c:pt>
                <c:pt idx="233">
                  <c:v>1689.67</c:v>
                </c:pt>
                <c:pt idx="234">
                  <c:v>1927.31</c:v>
                </c:pt>
                <c:pt idx="235">
                  <c:v>1634</c:v>
                </c:pt>
                <c:pt idx="236">
                  <c:v>1615.33</c:v>
                </c:pt>
                <c:pt idx="237">
                  <c:v>1610.25</c:v>
                </c:pt>
                <c:pt idx="238">
                  <c:v>1610.25</c:v>
                </c:pt>
                <c:pt idx="239">
                  <c:v>1643.52</c:v>
                </c:pt>
                <c:pt idx="240">
                  <c:v>1712.69</c:v>
                </c:pt>
                <c:pt idx="241">
                  <c:v>1835</c:v>
                </c:pt>
                <c:pt idx="242">
                  <c:v>1768.27</c:v>
                </c:pt>
                <c:pt idx="243">
                  <c:v>1789.76</c:v>
                </c:pt>
                <c:pt idx="244">
                  <c:v>1819.5</c:v>
                </c:pt>
                <c:pt idx="245">
                  <c:v>1855</c:v>
                </c:pt>
                <c:pt idx="246">
                  <c:v>1843.24</c:v>
                </c:pt>
                <c:pt idx="247">
                  <c:v>1832</c:v>
                </c:pt>
                <c:pt idx="248">
                  <c:v>1816.25</c:v>
                </c:pt>
                <c:pt idx="249">
                  <c:v>1812.25</c:v>
                </c:pt>
                <c:pt idx="250">
                  <c:v>1844.38</c:v>
                </c:pt>
                <c:pt idx="251">
                  <c:v>1878</c:v>
                </c:pt>
                <c:pt idx="252">
                  <c:v>1852</c:v>
                </c:pt>
                <c:pt idx="253">
                  <c:v>1923.5</c:v>
                </c:pt>
                <c:pt idx="254">
                  <c:v>2014</c:v>
                </c:pt>
                <c:pt idx="255">
                  <c:v>1994.5</c:v>
                </c:pt>
                <c:pt idx="256">
                  <c:v>1939.03</c:v>
                </c:pt>
                <c:pt idx="257">
                  <c:v>2086.5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EFF-4DA3-A3BA-CD6ECB67D8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3632319"/>
        <c:axId val="213633399"/>
      </c:lineChart>
      <c:dateAx>
        <c:axId val="213632319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633399"/>
        <c:crosses val="autoZero"/>
        <c:auto val="1"/>
        <c:lblOffset val="100"/>
        <c:baseTimeUnit val="days"/>
      </c:dateAx>
      <c:valAx>
        <c:axId val="213633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6323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Buy and Hold Return since Feb 2025 till Jan 2026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Graphs!$AE$2</c:f>
              <c:strCache>
                <c:ptCount val="1"/>
                <c:pt idx="0">
                  <c:v>Buy and Hold Return since Feb 2025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Graphs!$AF$1:$AI$1</c:f>
              <c:strCache>
                <c:ptCount val="4"/>
                <c:pt idx="0">
                  <c:v>Gold</c:v>
                </c:pt>
                <c:pt idx="1">
                  <c:v>Silver</c:v>
                </c:pt>
                <c:pt idx="2">
                  <c:v>Platium</c:v>
                </c:pt>
                <c:pt idx="3">
                  <c:v>Palladium</c:v>
                </c:pt>
              </c:strCache>
            </c:strRef>
          </c:cat>
          <c:val>
            <c:numRef>
              <c:f>Graphs!$AF$2:$AI$2</c:f>
              <c:numCache>
                <c:formatCode>0%</c:formatCode>
                <c:ptCount val="4"/>
                <c:pt idx="0">
                  <c:v>0.9188287150296075</c:v>
                </c:pt>
                <c:pt idx="1">
                  <c:v>2.6938562174319336</c:v>
                </c:pt>
                <c:pt idx="2">
                  <c:v>1.7865429234338746</c:v>
                </c:pt>
                <c:pt idx="3">
                  <c:v>1.0546528803545052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B9-4351-ABEC-C4656E9363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7067159"/>
        <c:axId val="97061759"/>
      </c:barChart>
      <c:catAx>
        <c:axId val="970671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061759"/>
        <c:crosses val="autoZero"/>
        <c:auto val="1"/>
        <c:lblAlgn val="ctr"/>
        <c:lblOffset val="100"/>
        <c:noMultiLvlLbl val="0"/>
      </c:catAx>
      <c:valAx>
        <c:axId val="97061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0671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Cumulative Net Buying of</a:t>
            </a:r>
            <a:r>
              <a:rPr lang="en-AU" baseline="0"/>
              <a:t> Retail Investors</a:t>
            </a:r>
            <a:endParaRPr lang="en-A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Graphs!$AW$20:$BA$20</c:f>
              <c:strCache>
                <c:ptCount val="5"/>
                <c:pt idx="0">
                  <c:v>Gold</c:v>
                </c:pt>
                <c:pt idx="1">
                  <c:v>Silver</c:v>
                </c:pt>
                <c:pt idx="2">
                  <c:v>Platium</c:v>
                </c:pt>
                <c:pt idx="3">
                  <c:v>Palladium</c:v>
                </c:pt>
                <c:pt idx="4">
                  <c:v>Composite</c:v>
                </c:pt>
              </c:strCache>
            </c:strRef>
          </c:cat>
          <c:val>
            <c:numRef>
              <c:f>Graphs!$AW$33:$BA$33</c:f>
              <c:numCache>
                <c:formatCode>_("$"* #,##0_);_("$"* \(#,##0\);_("$"* "-"??_);_(@_)</c:formatCode>
                <c:ptCount val="5"/>
                <c:pt idx="0">
                  <c:v>157822851.07999995</c:v>
                </c:pt>
                <c:pt idx="1">
                  <c:v>103879767.55999988</c:v>
                </c:pt>
                <c:pt idx="2">
                  <c:v>10376386.73</c:v>
                </c:pt>
                <c:pt idx="3">
                  <c:v>1483820.4700000011</c:v>
                </c:pt>
                <c:pt idx="4">
                  <c:v>5212054.3800000008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09-498F-837A-615EEE4135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631807"/>
        <c:axId val="19628207"/>
      </c:barChart>
      <c:catAx>
        <c:axId val="196318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28207"/>
        <c:crosses val="autoZero"/>
        <c:auto val="1"/>
        <c:lblAlgn val="ctr"/>
        <c:lblOffset val="100"/>
        <c:noMultiLvlLbl val="0"/>
      </c:catAx>
      <c:valAx>
        <c:axId val="19628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318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590550</xdr:colOff>
      <xdr:row>1</xdr:row>
      <xdr:rowOff>0</xdr:rowOff>
    </xdr:from>
    <xdr:to>
      <xdr:col>20</xdr:col>
      <xdr:colOff>190500</xdr:colOff>
      <xdr:row>20</xdr:row>
      <xdr:rowOff>90487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379F52F-C587-2781-32AE-5A9428B642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209550</xdr:colOff>
      <xdr:row>0</xdr:row>
      <xdr:rowOff>161925</xdr:rowOff>
    </xdr:from>
    <xdr:to>
      <xdr:col>29</xdr:col>
      <xdr:colOff>581025</xdr:colOff>
      <xdr:row>20</xdr:row>
      <xdr:rowOff>61912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DBB9C55-FD33-4177-B5FD-162D0BC3F6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66675</xdr:colOff>
      <xdr:row>21</xdr:row>
      <xdr:rowOff>19050</xdr:rowOff>
    </xdr:from>
    <xdr:to>
      <xdr:col>20</xdr:col>
      <xdr:colOff>257175</xdr:colOff>
      <xdr:row>40</xdr:row>
      <xdr:rowOff>109537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3B97C26-80A9-42B6-B45C-752E564681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20</xdr:col>
      <xdr:colOff>352425</xdr:colOff>
      <xdr:row>20</xdr:row>
      <xdr:rowOff>180975</xdr:rowOff>
    </xdr:from>
    <xdr:to>
      <xdr:col>30</xdr:col>
      <xdr:colOff>114300</xdr:colOff>
      <xdr:row>40</xdr:row>
      <xdr:rowOff>80962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6A81254-D1E9-4FA7-97C9-0757FB7223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266700</xdr:colOff>
      <xdr:row>3</xdr:row>
      <xdr:rowOff>176212</xdr:rowOff>
    </xdr:from>
    <xdr:to>
      <xdr:col>38</xdr:col>
      <xdr:colOff>400050</xdr:colOff>
      <xdr:row>22</xdr:row>
      <xdr:rowOff>19050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8F85432-3B5C-6B57-35BA-B38255D60A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46</xdr:col>
      <xdr:colOff>352425</xdr:colOff>
      <xdr:row>34</xdr:row>
      <xdr:rowOff>166687</xdr:rowOff>
    </xdr:from>
    <xdr:to>
      <xdr:col>51</xdr:col>
      <xdr:colOff>1762125</xdr:colOff>
      <xdr:row>62</xdr:row>
      <xdr:rowOff>180975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F824D71-BA0B-31CE-36C1-EF2DCE2B05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50525CE-84FA-4616-811E-A6E2ED0874D3}">
  <we:reference id="wa200003692" version="1.0.0.1" store="en-US" storeType="OMEX"/>
  <we:alternateReferences>
    <we:reference id="WA200003692" version="1.0.0.1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customProperty" Target="../customProperty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customProperty" Target="../customProperty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customProperty" Target="../customProperty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customProperty" Target="../customProperty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C29AA-AF47-43BC-9102-7CE6FF8C064D}">
  <dimension ref="A1:BA259"/>
  <sheetViews>
    <sheetView topLeftCell="AC1" zoomScaleNormal="100" workbookViewId="0">
      <selection activeCell="BA39" sqref="BA39"/>
    </sheetView>
  </sheetViews>
  <sheetFormatPr defaultRowHeight="15" x14ac:dyDescent="0.25"/>
  <cols>
    <col min="1" max="1" width="15" customWidth="1"/>
    <col min="2" max="2" width="10.5703125" bestFit="1" customWidth="1"/>
    <col min="3" max="3" width="9.28515625" bestFit="1" customWidth="1"/>
    <col min="4" max="5" width="10.5703125" bestFit="1" customWidth="1"/>
    <col min="31" max="31" width="32.5703125" bestFit="1" customWidth="1"/>
    <col min="48" max="48" width="18.7109375" customWidth="1"/>
    <col min="49" max="49" width="31" bestFit="1" customWidth="1"/>
    <col min="50" max="50" width="31.5703125" bestFit="1" customWidth="1"/>
    <col min="51" max="51" width="35" bestFit="1" customWidth="1"/>
    <col min="52" max="52" width="36.140625" bestFit="1" customWidth="1"/>
    <col min="53" max="53" width="39.5703125" bestFit="1" customWidth="1"/>
  </cols>
  <sheetData>
    <row r="1" spans="1:53" x14ac:dyDescent="0.25">
      <c r="A1" t="s">
        <v>201</v>
      </c>
      <c r="B1" t="s">
        <v>195</v>
      </c>
      <c r="C1" t="s">
        <v>196</v>
      </c>
      <c r="D1" t="s">
        <v>197</v>
      </c>
      <c r="E1" t="s">
        <v>198</v>
      </c>
      <c r="F1" t="s">
        <v>195</v>
      </c>
      <c r="G1" t="s">
        <v>196</v>
      </c>
      <c r="H1" t="s">
        <v>197</v>
      </c>
      <c r="I1" t="s">
        <v>198</v>
      </c>
      <c r="AF1" t="s">
        <v>195</v>
      </c>
      <c r="AG1" t="s">
        <v>196</v>
      </c>
      <c r="AH1" t="s">
        <v>197</v>
      </c>
      <c r="AI1" t="s">
        <v>198</v>
      </c>
      <c r="AV1" t="s">
        <v>203</v>
      </c>
      <c r="AW1" t="s">
        <v>20</v>
      </c>
      <c r="AX1" t="s">
        <v>25</v>
      </c>
      <c r="AY1" t="s">
        <v>58</v>
      </c>
      <c r="AZ1" t="s">
        <v>61</v>
      </c>
      <c r="BA1" t="s">
        <v>54</v>
      </c>
    </row>
    <row r="2" spans="1:53" x14ac:dyDescent="0.25">
      <c r="A2" s="2">
        <v>45691</v>
      </c>
      <c r="B2" s="8">
        <v>2814.3449999999998</v>
      </c>
      <c r="C2" s="8">
        <v>31.5685</v>
      </c>
      <c r="D2" s="8">
        <v>969.75</v>
      </c>
      <c r="E2" s="8">
        <v>1015.5</v>
      </c>
      <c r="AE2" t="s">
        <v>200</v>
      </c>
      <c r="AF2" s="7">
        <f>B259/B2-1</f>
        <v>0.9188287150296075</v>
      </c>
      <c r="AG2" s="7">
        <f t="shared" ref="AG2:AI2" si="0">C259/C2-1</f>
        <v>2.6938562174319336</v>
      </c>
      <c r="AH2" s="7">
        <f t="shared" si="0"/>
        <v>1.7865429234338746</v>
      </c>
      <c r="AI2" s="7">
        <f t="shared" si="0"/>
        <v>1.0546528803545052</v>
      </c>
      <c r="AU2" t="s">
        <v>64</v>
      </c>
      <c r="AV2" t="s">
        <v>66</v>
      </c>
      <c r="AW2" t="s">
        <v>195</v>
      </c>
      <c r="AX2" t="s">
        <v>196</v>
      </c>
      <c r="AY2" t="s">
        <v>197</v>
      </c>
      <c r="AZ2" t="s">
        <v>198</v>
      </c>
      <c r="BA2" t="s">
        <v>202</v>
      </c>
    </row>
    <row r="3" spans="1:53" x14ac:dyDescent="0.25">
      <c r="A3" s="2">
        <v>45692</v>
      </c>
      <c r="B3" s="8">
        <v>2842.0749999999998</v>
      </c>
      <c r="C3" s="8">
        <v>32.097700000000003</v>
      </c>
      <c r="D3" s="8">
        <v>968.15</v>
      </c>
      <c r="E3" s="8">
        <v>996.75</v>
      </c>
      <c r="F3" s="9">
        <f>LN(B3/B2)</f>
        <v>9.8048667364014352E-3</v>
      </c>
      <c r="G3" s="9">
        <f t="shared" ref="G3:I3" si="1">LN(C3/C2)</f>
        <v>1.6624588499613291E-2</v>
      </c>
      <c r="H3" s="9">
        <f t="shared" si="1"/>
        <v>-1.651272370669357E-3</v>
      </c>
      <c r="I3" s="9">
        <f t="shared" si="1"/>
        <v>-1.8636394758974932E-2</v>
      </c>
      <c r="AE3" t="s">
        <v>199</v>
      </c>
      <c r="AF3" s="10">
        <f>_xlfn.STDEV.S(F3:F259)*SQRT(252)</f>
        <v>0.20040303579500887</v>
      </c>
      <c r="AG3" s="10">
        <f t="shared" ref="AG3:AI3" si="2">_xlfn.STDEV.S(G3:G259)*SQRT(252)</f>
        <v>0.36400239284006836</v>
      </c>
      <c r="AH3" s="10">
        <f t="shared" si="2"/>
        <v>0.39647956170372306</v>
      </c>
      <c r="AI3" s="10">
        <f t="shared" si="2"/>
        <v>0.42411995399523872</v>
      </c>
      <c r="AU3">
        <v>2</v>
      </c>
      <c r="AV3">
        <v>2025</v>
      </c>
      <c r="AW3" s="8">
        <v>33523239.16</v>
      </c>
      <c r="AX3" s="8">
        <v>6226028.9400000004</v>
      </c>
      <c r="AY3" s="8">
        <v>375668.35</v>
      </c>
      <c r="AZ3" s="8">
        <v>215735.53</v>
      </c>
      <c r="BA3" s="8">
        <v>118802.11</v>
      </c>
    </row>
    <row r="4" spans="1:53" x14ac:dyDescent="0.25">
      <c r="A4" s="2">
        <v>45693</v>
      </c>
      <c r="B4" s="8">
        <v>2865.25</v>
      </c>
      <c r="C4" s="8">
        <v>32.316400000000002</v>
      </c>
      <c r="D4" s="8">
        <v>983.95</v>
      </c>
      <c r="E4" s="8">
        <v>995.5</v>
      </c>
      <c r="F4" s="9">
        <f t="shared" ref="F4:F67" si="3">LN(B4/B3)</f>
        <v>8.1211872016776973E-3</v>
      </c>
      <c r="G4" s="9">
        <f t="shared" ref="G4:G67" si="4">LN(C4/C3)</f>
        <v>6.7904648318186491E-3</v>
      </c>
      <c r="H4" s="9">
        <f t="shared" ref="H4:H67" si="5">LN(D4/D3)</f>
        <v>1.618804880369153E-2</v>
      </c>
      <c r="I4" s="9">
        <f t="shared" ref="I4:I67" si="6">LN(E4/E3)</f>
        <v>-1.2548627572134389E-3</v>
      </c>
      <c r="AU4">
        <v>3</v>
      </c>
      <c r="AV4">
        <v>2025</v>
      </c>
      <c r="AW4" s="8">
        <v>33535122</v>
      </c>
      <c r="AX4" s="8">
        <v>9232264.3000000007</v>
      </c>
      <c r="AY4" s="8">
        <v>441459.67</v>
      </c>
      <c r="AZ4" s="8">
        <v>158495.64000000001</v>
      </c>
      <c r="BA4" s="8">
        <v>79879.820000000007</v>
      </c>
    </row>
    <row r="5" spans="1:53" x14ac:dyDescent="0.25">
      <c r="A5" s="2">
        <v>45694</v>
      </c>
      <c r="B5" s="8">
        <v>2856.6350000000002</v>
      </c>
      <c r="C5" s="8">
        <v>32.226300000000002</v>
      </c>
      <c r="D5" s="8">
        <v>989.52</v>
      </c>
      <c r="E5" s="8">
        <v>982.51</v>
      </c>
      <c r="F5" s="9">
        <f t="shared" si="3"/>
        <v>-3.0112476953972401E-3</v>
      </c>
      <c r="G5" s="9">
        <f t="shared" si="4"/>
        <v>-2.791951948939787E-3</v>
      </c>
      <c r="H5" s="9">
        <f t="shared" si="5"/>
        <v>5.6448943136555418E-3</v>
      </c>
      <c r="I5" s="9">
        <f t="shared" si="6"/>
        <v>-1.3134601695583064E-2</v>
      </c>
      <c r="AU5">
        <v>4</v>
      </c>
      <c r="AV5">
        <v>2025</v>
      </c>
      <c r="AW5" s="8">
        <v>95139413.640000001</v>
      </c>
      <c r="AX5" s="8">
        <v>27220276.850000001</v>
      </c>
      <c r="AY5" s="8">
        <v>688165.4</v>
      </c>
      <c r="AZ5" s="8">
        <v>144195.65</v>
      </c>
      <c r="BA5" s="8">
        <v>238972.29</v>
      </c>
    </row>
    <row r="6" spans="1:53" x14ac:dyDescent="0.25">
      <c r="A6" s="2">
        <v>45695</v>
      </c>
      <c r="B6" s="8">
        <v>2861.0949999999998</v>
      </c>
      <c r="C6" s="8">
        <v>31.825800000000001</v>
      </c>
      <c r="D6" s="8">
        <v>980.85</v>
      </c>
      <c r="E6" s="8">
        <v>972.25</v>
      </c>
      <c r="F6" s="9">
        <f t="shared" si="3"/>
        <v>1.5600599904358138E-3</v>
      </c>
      <c r="G6" s="9">
        <f t="shared" si="4"/>
        <v>-1.2505607763373019E-2</v>
      </c>
      <c r="H6" s="9">
        <f t="shared" si="5"/>
        <v>-8.8004343913595604E-3</v>
      </c>
      <c r="I6" s="9">
        <f t="shared" si="6"/>
        <v>-1.0497548772811234E-2</v>
      </c>
      <c r="AU6">
        <v>5</v>
      </c>
      <c r="AV6">
        <v>2025</v>
      </c>
      <c r="AW6" s="8">
        <v>65292277.119999997</v>
      </c>
      <c r="AX6" s="8">
        <v>14527704.970000001</v>
      </c>
      <c r="AY6" s="8">
        <v>2315341.62</v>
      </c>
      <c r="AZ6" s="8">
        <v>213207.3</v>
      </c>
      <c r="BA6" s="8">
        <v>420831.79</v>
      </c>
    </row>
    <row r="7" spans="1:53" x14ac:dyDescent="0.25">
      <c r="A7" s="2">
        <v>45698</v>
      </c>
      <c r="B7" s="8">
        <v>2907.4749999999999</v>
      </c>
      <c r="C7" s="8">
        <v>32.066000000000003</v>
      </c>
      <c r="D7" s="8">
        <v>994.45</v>
      </c>
      <c r="E7" s="8">
        <v>985.75</v>
      </c>
      <c r="F7" s="9">
        <f t="shared" si="3"/>
        <v>1.6080588231726919E-2</v>
      </c>
      <c r="G7" s="9">
        <f t="shared" si="4"/>
        <v>7.5189971685742331E-3</v>
      </c>
      <c r="H7" s="9">
        <f t="shared" si="5"/>
        <v>1.3770277833860844E-2</v>
      </c>
      <c r="I7" s="9">
        <f t="shared" si="6"/>
        <v>1.3789799721879976E-2</v>
      </c>
      <c r="AU7">
        <v>6</v>
      </c>
      <c r="AV7">
        <v>2025</v>
      </c>
      <c r="AW7" s="8">
        <v>44013763.189999998</v>
      </c>
      <c r="AX7" s="8">
        <v>28816004.559999999</v>
      </c>
      <c r="AY7" s="8">
        <v>3244578.72</v>
      </c>
      <c r="AZ7" s="8">
        <v>567172.43000000005</v>
      </c>
      <c r="BA7" s="8">
        <v>430952.02</v>
      </c>
    </row>
    <row r="8" spans="1:53" x14ac:dyDescent="0.25">
      <c r="A8" s="2">
        <v>45699</v>
      </c>
      <c r="B8" s="8">
        <v>2898.8539999999998</v>
      </c>
      <c r="C8" s="8">
        <v>31.8278</v>
      </c>
      <c r="D8" s="8">
        <v>986.96</v>
      </c>
      <c r="E8" s="8">
        <v>979.75</v>
      </c>
      <c r="F8" s="9">
        <f t="shared" si="3"/>
        <v>-2.9695204439963477E-3</v>
      </c>
      <c r="G8" s="9">
        <f t="shared" si="4"/>
        <v>-7.4561570463924556E-3</v>
      </c>
      <c r="H8" s="9">
        <f t="shared" si="5"/>
        <v>-7.5603087460463531E-3</v>
      </c>
      <c r="I8" s="9">
        <f t="shared" si="6"/>
        <v>-6.1053356779956864E-3</v>
      </c>
      <c r="AU8">
        <v>7</v>
      </c>
      <c r="AV8">
        <v>2025</v>
      </c>
      <c r="AW8" s="8">
        <v>17805398.719999999</v>
      </c>
      <c r="AX8" s="8">
        <v>13627552.41</v>
      </c>
      <c r="AY8" s="8">
        <v>1093306.06</v>
      </c>
      <c r="AZ8" s="8">
        <v>190382.81</v>
      </c>
      <c r="BA8" s="8">
        <v>790051.57</v>
      </c>
    </row>
    <row r="9" spans="1:53" x14ac:dyDescent="0.25">
      <c r="A9" s="2">
        <v>45700</v>
      </c>
      <c r="B9" s="8">
        <v>2903.8150000000001</v>
      </c>
      <c r="C9" s="8">
        <v>32.222000000000001</v>
      </c>
      <c r="D9" s="8">
        <v>995.94</v>
      </c>
      <c r="E9" s="8">
        <v>977.41</v>
      </c>
      <c r="F9" s="9">
        <f t="shared" si="3"/>
        <v>1.7099032216847448E-3</v>
      </c>
      <c r="G9" s="9">
        <f t="shared" si="4"/>
        <v>1.2309327348541652E-2</v>
      </c>
      <c r="H9" s="9">
        <f t="shared" si="5"/>
        <v>9.0575030429738673E-3</v>
      </c>
      <c r="I9" s="9">
        <f t="shared" si="6"/>
        <v>-2.3912210703242336E-3</v>
      </c>
      <c r="AU9">
        <v>8</v>
      </c>
      <c r="AV9">
        <v>2025</v>
      </c>
      <c r="AW9" s="8">
        <v>17821861.98</v>
      </c>
      <c r="AX9" s="8">
        <v>9581267.4199999999</v>
      </c>
      <c r="AY9" s="8">
        <v>481942.39</v>
      </c>
      <c r="AZ9" s="8">
        <v>237639.9</v>
      </c>
      <c r="BA9" s="8">
        <v>145981.66</v>
      </c>
    </row>
    <row r="10" spans="1:53" x14ac:dyDescent="0.25">
      <c r="A10" s="2">
        <v>45701</v>
      </c>
      <c r="B10" s="8">
        <v>2929.1750000000002</v>
      </c>
      <c r="C10" s="8">
        <v>32.363599999999998</v>
      </c>
      <c r="D10" s="8">
        <v>999.65</v>
      </c>
      <c r="E10" s="8">
        <v>999.25</v>
      </c>
      <c r="F10" s="9">
        <f t="shared" si="3"/>
        <v>8.6954237157147989E-3</v>
      </c>
      <c r="G10" s="9">
        <f t="shared" si="4"/>
        <v>4.3848853887281857E-3</v>
      </c>
      <c r="H10" s="9">
        <f t="shared" si="5"/>
        <v>3.718202911658463E-3</v>
      </c>
      <c r="I10" s="9">
        <f t="shared" si="6"/>
        <v>2.2098781582016364E-2</v>
      </c>
      <c r="AU10">
        <v>9</v>
      </c>
      <c r="AV10">
        <v>2025</v>
      </c>
      <c r="AW10" s="8">
        <v>48669165.859999999</v>
      </c>
      <c r="AX10" s="8">
        <v>26408290.170000002</v>
      </c>
      <c r="AY10" s="8">
        <v>2052688.71</v>
      </c>
      <c r="AZ10" s="8">
        <v>959400.36</v>
      </c>
      <c r="BA10" s="8">
        <v>681684.29</v>
      </c>
    </row>
    <row r="11" spans="1:53" x14ac:dyDescent="0.25">
      <c r="A11" s="2">
        <v>45702</v>
      </c>
      <c r="B11" s="8">
        <v>2883.5549999999998</v>
      </c>
      <c r="C11" s="8">
        <v>32.152999999999999</v>
      </c>
      <c r="D11" s="8">
        <v>981.8</v>
      </c>
      <c r="E11" s="8">
        <v>968.75</v>
      </c>
      <c r="F11" s="9">
        <f t="shared" si="3"/>
        <v>-1.5696905481454314E-2</v>
      </c>
      <c r="G11" s="9">
        <f t="shared" si="4"/>
        <v>-6.528575530043614E-3</v>
      </c>
      <c r="H11" s="9">
        <f t="shared" si="5"/>
        <v>-1.8017596093889563E-2</v>
      </c>
      <c r="I11" s="9">
        <f t="shared" si="6"/>
        <v>-3.0998416923876154E-2</v>
      </c>
      <c r="AU11">
        <v>10</v>
      </c>
      <c r="AV11">
        <v>2025</v>
      </c>
      <c r="AW11" s="8">
        <v>103203792.47</v>
      </c>
      <c r="AX11" s="8">
        <v>48688437.530000001</v>
      </c>
      <c r="AY11" s="8">
        <v>2631782.21</v>
      </c>
      <c r="AZ11" s="8">
        <v>1700118.8</v>
      </c>
      <c r="BA11" s="8">
        <v>2022072.81</v>
      </c>
    </row>
    <row r="12" spans="1:53" x14ac:dyDescent="0.25">
      <c r="A12" s="2">
        <v>45705</v>
      </c>
      <c r="B12" s="8">
        <v>2897.93</v>
      </c>
      <c r="C12" s="8">
        <v>32.814999999999998</v>
      </c>
      <c r="D12" s="8">
        <v>980</v>
      </c>
      <c r="E12" s="8">
        <v>970</v>
      </c>
      <c r="F12" s="9">
        <f t="shared" si="3"/>
        <v>4.9727810840058378E-3</v>
      </c>
      <c r="G12" s="9">
        <f t="shared" si="4"/>
        <v>2.0379968998206582E-2</v>
      </c>
      <c r="H12" s="9">
        <f t="shared" si="5"/>
        <v>-1.835049959334449E-3</v>
      </c>
      <c r="I12" s="9">
        <f t="shared" si="6"/>
        <v>1.2894908298716921E-3</v>
      </c>
      <c r="AU12">
        <v>11</v>
      </c>
      <c r="AV12">
        <v>2025</v>
      </c>
      <c r="AW12" s="8">
        <v>28656087.309999999</v>
      </c>
      <c r="AX12" s="8">
        <v>18351426.960000001</v>
      </c>
      <c r="AY12" s="8">
        <v>915752</v>
      </c>
      <c r="AZ12" s="8">
        <v>324693.65999999997</v>
      </c>
      <c r="BA12" s="8">
        <v>783392.48</v>
      </c>
    </row>
    <row r="13" spans="1:53" x14ac:dyDescent="0.25">
      <c r="A13" s="2">
        <v>45706</v>
      </c>
      <c r="B13" s="8">
        <v>2935.72</v>
      </c>
      <c r="C13" s="8">
        <v>32.872300000000003</v>
      </c>
      <c r="D13" s="8">
        <v>988.2</v>
      </c>
      <c r="E13" s="8">
        <v>989.5</v>
      </c>
      <c r="F13" s="9">
        <f t="shared" si="3"/>
        <v>1.2956049339663506E-2</v>
      </c>
      <c r="G13" s="9">
        <f t="shared" si="4"/>
        <v>1.7446299218823156E-3</v>
      </c>
      <c r="H13" s="9">
        <f t="shared" si="5"/>
        <v>8.3325347470320256E-3</v>
      </c>
      <c r="I13" s="9">
        <f t="shared" si="6"/>
        <v>1.9903693545191843E-2</v>
      </c>
      <c r="AU13">
        <v>12</v>
      </c>
      <c r="AV13">
        <v>2025</v>
      </c>
      <c r="AW13" s="8">
        <v>30559723.170000002</v>
      </c>
      <c r="AX13" s="8">
        <v>70035642.900000006</v>
      </c>
      <c r="AY13" s="8">
        <v>3851438.49</v>
      </c>
      <c r="AZ13" s="8">
        <v>1695174.49</v>
      </c>
      <c r="BA13" s="8">
        <v>1538130.18</v>
      </c>
    </row>
    <row r="14" spans="1:53" x14ac:dyDescent="0.25">
      <c r="A14" s="2">
        <v>45707</v>
      </c>
      <c r="B14" s="8">
        <v>2932.7950000000001</v>
      </c>
      <c r="C14" s="8">
        <v>32.722299999999997</v>
      </c>
      <c r="D14" s="8">
        <v>975.5</v>
      </c>
      <c r="E14" s="8">
        <v>971.88</v>
      </c>
      <c r="F14" s="9">
        <f t="shared" si="3"/>
        <v>-9.9684511063327479E-4</v>
      </c>
      <c r="G14" s="9">
        <f t="shared" si="4"/>
        <v>-4.5735551849543322E-3</v>
      </c>
      <c r="H14" s="9">
        <f t="shared" si="5"/>
        <v>-1.293494634848376E-2</v>
      </c>
      <c r="I14" s="9">
        <f t="shared" si="6"/>
        <v>-1.7967424993721653E-2</v>
      </c>
      <c r="AU14">
        <v>1</v>
      </c>
      <c r="AV14">
        <v>2026</v>
      </c>
      <c r="AW14" s="8">
        <v>60981756.210000001</v>
      </c>
      <c r="AX14" s="8">
        <v>107655877.22</v>
      </c>
      <c r="AY14" s="8">
        <v>5228554.3499999996</v>
      </c>
      <c r="AZ14" s="8">
        <v>950040.29</v>
      </c>
      <c r="BA14" s="8">
        <v>2811471.42</v>
      </c>
    </row>
    <row r="15" spans="1:53" x14ac:dyDescent="0.25">
      <c r="A15" s="2">
        <v>45708</v>
      </c>
      <c r="B15" s="8">
        <v>2939</v>
      </c>
      <c r="C15" s="8">
        <v>32.933300000000003</v>
      </c>
      <c r="D15" s="8">
        <v>981.35</v>
      </c>
      <c r="E15" s="8">
        <v>981.26</v>
      </c>
      <c r="F15" s="9">
        <f t="shared" si="3"/>
        <v>2.1134941903582188E-3</v>
      </c>
      <c r="G15" s="9">
        <f t="shared" si="4"/>
        <v>6.4275012768372376E-3</v>
      </c>
      <c r="H15" s="9">
        <f t="shared" si="5"/>
        <v>5.9790146689222166E-3</v>
      </c>
      <c r="I15" s="9">
        <f t="shared" si="6"/>
        <v>9.6051200785932812E-3</v>
      </c>
    </row>
    <row r="16" spans="1:53" x14ac:dyDescent="0.25">
      <c r="A16" s="2">
        <v>45709</v>
      </c>
      <c r="B16" s="8">
        <v>2936.4050000000002</v>
      </c>
      <c r="C16" s="8">
        <v>32.554000000000002</v>
      </c>
      <c r="D16" s="8">
        <v>972.65</v>
      </c>
      <c r="E16" s="8">
        <v>972.09</v>
      </c>
      <c r="F16" s="9">
        <f t="shared" si="3"/>
        <v>-8.8334341844991955E-4</v>
      </c>
      <c r="G16" s="9">
        <f t="shared" si="4"/>
        <v>-1.1584054970144782E-2</v>
      </c>
      <c r="H16" s="9">
        <f t="shared" si="5"/>
        <v>-8.90486948826201E-3</v>
      </c>
      <c r="I16" s="9">
        <f t="shared" si="6"/>
        <v>-9.3890673608897947E-3</v>
      </c>
    </row>
    <row r="17" spans="1:53" x14ac:dyDescent="0.25">
      <c r="A17" s="2">
        <v>45712</v>
      </c>
      <c r="B17" s="8">
        <v>2951.9450000000002</v>
      </c>
      <c r="C17" s="8">
        <v>32.350999999999999</v>
      </c>
      <c r="D17" s="8">
        <v>970.08</v>
      </c>
      <c r="E17" s="8">
        <v>944.21</v>
      </c>
      <c r="F17" s="9">
        <f t="shared" si="3"/>
        <v>5.2782311100138934E-3</v>
      </c>
      <c r="G17" s="9">
        <f t="shared" si="4"/>
        <v>-6.2553165990780427E-3</v>
      </c>
      <c r="H17" s="9">
        <f t="shared" si="5"/>
        <v>-2.6457629204053828E-3</v>
      </c>
      <c r="I17" s="9">
        <f t="shared" si="6"/>
        <v>-2.9099793734011722E-2</v>
      </c>
    </row>
    <row r="18" spans="1:53" x14ac:dyDescent="0.25">
      <c r="A18" s="2">
        <v>45713</v>
      </c>
      <c r="B18" s="8">
        <v>2915.42</v>
      </c>
      <c r="C18" s="8">
        <v>31.752500000000001</v>
      </c>
      <c r="D18" s="8">
        <v>970.25</v>
      </c>
      <c r="E18" s="8">
        <v>931.72</v>
      </c>
      <c r="F18" s="9">
        <f t="shared" si="3"/>
        <v>-1.2450383371989504E-2</v>
      </c>
      <c r="G18" s="9">
        <f t="shared" si="4"/>
        <v>-1.8673469973890976E-2</v>
      </c>
      <c r="H18" s="9">
        <f t="shared" si="5"/>
        <v>1.7522792559511796E-4</v>
      </c>
      <c r="I18" s="9">
        <f t="shared" si="6"/>
        <v>-1.3316258669436767E-2</v>
      </c>
    </row>
    <row r="19" spans="1:53" x14ac:dyDescent="0.25">
      <c r="A19" s="2">
        <v>45714</v>
      </c>
      <c r="B19" s="8">
        <v>2916.8449999999998</v>
      </c>
      <c r="C19" s="8">
        <v>31.864699999999999</v>
      </c>
      <c r="D19" s="8">
        <v>968.75</v>
      </c>
      <c r="E19" s="8">
        <v>930.31</v>
      </c>
      <c r="F19" s="9">
        <f t="shared" si="3"/>
        <v>4.8866093305288368E-4</v>
      </c>
      <c r="G19" s="9">
        <f t="shared" si="4"/>
        <v>3.5273516072581957E-3</v>
      </c>
      <c r="H19" s="9">
        <f t="shared" si="5"/>
        <v>-1.5471895814589526E-3</v>
      </c>
      <c r="I19" s="9">
        <f t="shared" si="6"/>
        <v>-1.5144764257317112E-3</v>
      </c>
      <c r="AV19" t="s">
        <v>204</v>
      </c>
      <c r="AW19" t="s">
        <v>20</v>
      </c>
      <c r="AX19" t="s">
        <v>25</v>
      </c>
      <c r="AY19" t="s">
        <v>58</v>
      </c>
      <c r="AZ19" t="s">
        <v>61</v>
      </c>
      <c r="BA19" t="s">
        <v>54</v>
      </c>
    </row>
    <row r="20" spans="1:53" x14ac:dyDescent="0.25">
      <c r="A20" s="2">
        <v>45715</v>
      </c>
      <c r="B20" s="8">
        <v>2877.2449999999999</v>
      </c>
      <c r="C20" s="8">
        <v>31.275099999999998</v>
      </c>
      <c r="D20" s="8">
        <v>951.7</v>
      </c>
      <c r="E20" s="8">
        <v>923.28</v>
      </c>
      <c r="F20" s="9">
        <f t="shared" si="3"/>
        <v>-1.3669313594894967E-2</v>
      </c>
      <c r="G20" s="9">
        <f t="shared" si="4"/>
        <v>-1.867656021368632E-2</v>
      </c>
      <c r="H20" s="9">
        <f t="shared" si="5"/>
        <v>-1.7756721589258985E-2</v>
      </c>
      <c r="I20" s="9">
        <f t="shared" si="6"/>
        <v>-7.5853168252726384E-3</v>
      </c>
      <c r="AU20" t="s">
        <v>64</v>
      </c>
      <c r="AV20" t="s">
        <v>66</v>
      </c>
      <c r="AW20" t="s">
        <v>195</v>
      </c>
      <c r="AX20" t="s">
        <v>196</v>
      </c>
      <c r="AY20" t="s">
        <v>197</v>
      </c>
      <c r="AZ20" t="s">
        <v>198</v>
      </c>
      <c r="BA20" t="s">
        <v>202</v>
      </c>
    </row>
    <row r="21" spans="1:53" x14ac:dyDescent="0.25">
      <c r="A21" s="2">
        <v>45716</v>
      </c>
      <c r="B21" s="8">
        <v>2858.77</v>
      </c>
      <c r="C21" s="8">
        <v>31.156099999999999</v>
      </c>
      <c r="D21" s="8">
        <v>950.65</v>
      </c>
      <c r="E21" s="8">
        <v>923.03</v>
      </c>
      <c r="F21" s="9">
        <f t="shared" si="3"/>
        <v>-6.441776699417796E-3</v>
      </c>
      <c r="G21" s="9">
        <f t="shared" si="4"/>
        <v>-3.8122010827170831E-3</v>
      </c>
      <c r="H21" s="9">
        <f t="shared" si="5"/>
        <v>-1.1038979227026733E-3</v>
      </c>
      <c r="I21" s="9">
        <f t="shared" si="6"/>
        <v>-2.7081042893977613E-4</v>
      </c>
      <c r="AU21">
        <v>2</v>
      </c>
      <c r="AV21">
        <v>2025</v>
      </c>
      <c r="AW21" s="8">
        <v>17213067.780000001</v>
      </c>
      <c r="AX21" s="8">
        <v>1626508.69</v>
      </c>
      <c r="AY21" s="8">
        <v>18470.91</v>
      </c>
      <c r="AZ21" s="8">
        <v>80684.67</v>
      </c>
      <c r="BA21" s="8">
        <v>-61594.9</v>
      </c>
    </row>
    <row r="22" spans="1:53" x14ac:dyDescent="0.25">
      <c r="A22" s="2">
        <v>45719</v>
      </c>
      <c r="B22" s="8">
        <v>2893.895</v>
      </c>
      <c r="C22" s="8">
        <v>31.689699999999998</v>
      </c>
      <c r="D22" s="8">
        <v>956.35</v>
      </c>
      <c r="E22" s="8">
        <v>941.72</v>
      </c>
      <c r="F22" s="9">
        <f t="shared" si="3"/>
        <v>1.2211883193309363E-2</v>
      </c>
      <c r="G22" s="9">
        <f t="shared" si="4"/>
        <v>1.6981654242086607E-2</v>
      </c>
      <c r="H22" s="9">
        <f t="shared" si="5"/>
        <v>5.9779936809480861E-3</v>
      </c>
      <c r="I22" s="9">
        <f t="shared" si="6"/>
        <v>2.0046253793539782E-2</v>
      </c>
      <c r="AU22">
        <v>3</v>
      </c>
      <c r="AV22">
        <v>2025</v>
      </c>
      <c r="AW22" s="8">
        <v>14775406.609999999</v>
      </c>
      <c r="AX22" s="8">
        <v>2559874.31</v>
      </c>
      <c r="AY22" s="8">
        <v>-129095.64</v>
      </c>
      <c r="AZ22" s="8">
        <v>-117590.49</v>
      </c>
      <c r="BA22" s="8">
        <v>62756.44</v>
      </c>
    </row>
    <row r="23" spans="1:53" x14ac:dyDescent="0.25">
      <c r="A23" s="2">
        <v>45720</v>
      </c>
      <c r="B23" s="8">
        <v>2917.66</v>
      </c>
      <c r="C23" s="8">
        <v>31.9849</v>
      </c>
      <c r="D23" s="8">
        <v>963.7</v>
      </c>
      <c r="E23" s="8">
        <v>947</v>
      </c>
      <c r="F23" s="9">
        <f t="shared" si="3"/>
        <v>8.1785795602954629E-3</v>
      </c>
      <c r="G23" s="9">
        <f t="shared" si="4"/>
        <v>9.2722094824039068E-3</v>
      </c>
      <c r="H23" s="9">
        <f t="shared" si="5"/>
        <v>7.6560880206987432E-3</v>
      </c>
      <c r="I23" s="9">
        <f t="shared" si="6"/>
        <v>5.5911027093287578E-3</v>
      </c>
      <c r="AU23">
        <v>4</v>
      </c>
      <c r="AV23">
        <v>2025</v>
      </c>
      <c r="AW23" s="8">
        <v>29887918.859999999</v>
      </c>
      <c r="AX23" s="8">
        <v>6648423.2099999897</v>
      </c>
      <c r="AY23" s="8">
        <v>396166.34</v>
      </c>
      <c r="AZ23" s="8">
        <v>19929.189999999999</v>
      </c>
      <c r="BA23" s="8">
        <v>223162.19</v>
      </c>
    </row>
    <row r="24" spans="1:53" x14ac:dyDescent="0.25">
      <c r="A24" s="2">
        <v>45721</v>
      </c>
      <c r="B24" s="8">
        <v>2918.9949999999999</v>
      </c>
      <c r="C24" s="8">
        <v>32.627600000000001</v>
      </c>
      <c r="D24" s="8">
        <v>968.55</v>
      </c>
      <c r="E24" s="8">
        <v>947.5</v>
      </c>
      <c r="F24" s="9">
        <f t="shared" si="3"/>
        <v>4.5745380642868162E-4</v>
      </c>
      <c r="G24" s="9">
        <f t="shared" si="4"/>
        <v>1.9894639522407487E-2</v>
      </c>
      <c r="H24" s="9">
        <f t="shared" si="5"/>
        <v>5.0200648833438142E-3</v>
      </c>
      <c r="I24" s="9">
        <f t="shared" si="6"/>
        <v>5.2784377050312241E-4</v>
      </c>
      <c r="AU24">
        <v>5</v>
      </c>
      <c r="AV24">
        <v>2025</v>
      </c>
      <c r="AW24" s="8">
        <v>-4598259.5400000401</v>
      </c>
      <c r="AX24" s="8">
        <v>1135967.4099999999</v>
      </c>
      <c r="AY24" s="8">
        <v>1688843.26</v>
      </c>
      <c r="AZ24" s="8">
        <v>-245100.92</v>
      </c>
      <c r="BA24" s="8">
        <v>296886.26</v>
      </c>
    </row>
    <row r="25" spans="1:53" x14ac:dyDescent="0.25">
      <c r="A25" s="2">
        <v>45722</v>
      </c>
      <c r="B25" s="8">
        <v>2910.645</v>
      </c>
      <c r="C25" s="8">
        <v>32.627499999999998</v>
      </c>
      <c r="D25" s="8">
        <v>970.51</v>
      </c>
      <c r="E25" s="8">
        <v>946.3</v>
      </c>
      <c r="F25" s="9">
        <f t="shared" si="3"/>
        <v>-2.8646728478092871E-3</v>
      </c>
      <c r="G25" s="9">
        <f t="shared" si="4"/>
        <v>-3.0648945446991293E-6</v>
      </c>
      <c r="H25" s="9">
        <f t="shared" si="5"/>
        <v>2.0215987824210315E-3</v>
      </c>
      <c r="I25" s="9">
        <f t="shared" si="6"/>
        <v>-1.2672934423945035E-3</v>
      </c>
      <c r="AU25">
        <v>6</v>
      </c>
      <c r="AV25">
        <v>2025</v>
      </c>
      <c r="AW25" s="8">
        <v>3747555.1799999899</v>
      </c>
      <c r="AX25" s="8">
        <v>10257837.189999999</v>
      </c>
      <c r="AY25" s="8">
        <v>1711230.87</v>
      </c>
      <c r="AZ25" s="8">
        <v>202552.18</v>
      </c>
      <c r="BA25" s="8">
        <v>222081.07</v>
      </c>
    </row>
    <row r="26" spans="1:53" x14ac:dyDescent="0.25">
      <c r="A26" s="2">
        <v>45723</v>
      </c>
      <c r="B26" s="8">
        <v>2911.4450000000002</v>
      </c>
      <c r="C26" s="8">
        <v>32.537199999999999</v>
      </c>
      <c r="D26" s="8">
        <v>965.95</v>
      </c>
      <c r="E26" s="8">
        <v>952.25</v>
      </c>
      <c r="F26" s="9">
        <f t="shared" si="3"/>
        <v>2.7481540307183733E-4</v>
      </c>
      <c r="G26" s="9">
        <f t="shared" si="4"/>
        <v>-2.7714409119860557E-3</v>
      </c>
      <c r="H26" s="9">
        <f t="shared" si="5"/>
        <v>-4.7096334844436288E-3</v>
      </c>
      <c r="I26" s="9">
        <f t="shared" si="6"/>
        <v>6.2679618445264408E-3</v>
      </c>
      <c r="AU26">
        <v>7</v>
      </c>
      <c r="AV26">
        <v>2025</v>
      </c>
      <c r="AW26" s="8">
        <v>5236606.6100000003</v>
      </c>
      <c r="AX26" s="8">
        <v>4445498.9400000004</v>
      </c>
      <c r="AY26" s="8">
        <v>-57407.5199999998</v>
      </c>
      <c r="AZ26" s="8">
        <v>16656.849999999999</v>
      </c>
      <c r="BA26" s="8">
        <v>656926.66</v>
      </c>
    </row>
    <row r="27" spans="1:53" x14ac:dyDescent="0.25">
      <c r="A27" s="2">
        <v>45726</v>
      </c>
      <c r="B27" s="8">
        <v>2889.933</v>
      </c>
      <c r="C27" s="8">
        <v>32.134999999999998</v>
      </c>
      <c r="D27" s="8">
        <v>962.13</v>
      </c>
      <c r="E27" s="8">
        <v>946.93</v>
      </c>
      <c r="F27" s="9">
        <f t="shared" si="3"/>
        <v>-7.4162030457928536E-3</v>
      </c>
      <c r="G27" s="9">
        <f t="shared" si="4"/>
        <v>-1.2438271324310106E-2</v>
      </c>
      <c r="H27" s="9">
        <f t="shared" si="5"/>
        <v>-3.9624963676513515E-3</v>
      </c>
      <c r="I27" s="9">
        <f t="shared" si="6"/>
        <v>-5.6024325393138896E-3</v>
      </c>
      <c r="AU27">
        <v>8</v>
      </c>
      <c r="AV27">
        <v>2025</v>
      </c>
      <c r="AW27" s="8">
        <v>-1293355.79</v>
      </c>
      <c r="AX27" s="8">
        <v>2945054.52</v>
      </c>
      <c r="AY27" s="8">
        <v>-77833.91</v>
      </c>
      <c r="AZ27" s="8">
        <v>113190.59</v>
      </c>
      <c r="BA27" s="8">
        <v>36873.53</v>
      </c>
    </row>
    <row r="28" spans="1:53" x14ac:dyDescent="0.25">
      <c r="A28" s="2">
        <v>45727</v>
      </c>
      <c r="B28" s="8">
        <v>2916.57</v>
      </c>
      <c r="C28" s="8">
        <v>32.954999999999998</v>
      </c>
      <c r="D28" s="8">
        <v>979.5</v>
      </c>
      <c r="E28" s="8">
        <v>949.03</v>
      </c>
      <c r="F28" s="9">
        <f t="shared" si="3"/>
        <v>9.1749498304355935E-3</v>
      </c>
      <c r="G28" s="9">
        <f t="shared" si="4"/>
        <v>2.5197215681433797E-2</v>
      </c>
      <c r="H28" s="9">
        <f t="shared" si="5"/>
        <v>1.7892660713683711E-2</v>
      </c>
      <c r="I28" s="9">
        <f t="shared" si="6"/>
        <v>2.2152375142656076E-3</v>
      </c>
      <c r="AU28">
        <v>9</v>
      </c>
      <c r="AV28">
        <v>2025</v>
      </c>
      <c r="AW28" s="8">
        <v>23314834.079999998</v>
      </c>
      <c r="AX28" s="8">
        <v>16480886.119999999</v>
      </c>
      <c r="AY28" s="8">
        <v>1379832.01</v>
      </c>
      <c r="AZ28" s="8">
        <v>620300.53</v>
      </c>
      <c r="BA28" s="8">
        <v>598418.27</v>
      </c>
    </row>
    <row r="29" spans="1:53" x14ac:dyDescent="0.25">
      <c r="A29" s="2">
        <v>45728</v>
      </c>
      <c r="B29" s="8">
        <v>2932.6610000000001</v>
      </c>
      <c r="C29" s="8">
        <v>33.255000000000003</v>
      </c>
      <c r="D29" s="8">
        <v>989</v>
      </c>
      <c r="E29" s="8">
        <v>952.01</v>
      </c>
      <c r="F29" s="9">
        <f t="shared" si="3"/>
        <v>5.5019337041863035E-3</v>
      </c>
      <c r="G29" s="9">
        <f t="shared" si="4"/>
        <v>9.0621372317014389E-3</v>
      </c>
      <c r="H29" s="9">
        <f t="shared" si="5"/>
        <v>9.6520942381166826E-3</v>
      </c>
      <c r="I29" s="9">
        <f t="shared" si="6"/>
        <v>3.1351286042121005E-3</v>
      </c>
      <c r="AU29">
        <v>10</v>
      </c>
      <c r="AV29">
        <v>2025</v>
      </c>
      <c r="AW29" s="8">
        <v>21770923.789999999</v>
      </c>
      <c r="AX29" s="8">
        <v>11623423.98</v>
      </c>
      <c r="AY29" s="8">
        <v>901355.68</v>
      </c>
      <c r="AZ29" s="8">
        <v>229690.81000000099</v>
      </c>
      <c r="BA29" s="8">
        <v>135532.41</v>
      </c>
    </row>
    <row r="30" spans="1:53" x14ac:dyDescent="0.25">
      <c r="A30" s="2">
        <v>45729</v>
      </c>
      <c r="B30" s="8">
        <v>2988.375</v>
      </c>
      <c r="C30" s="8">
        <v>33.825000000000003</v>
      </c>
      <c r="D30" s="8">
        <v>999</v>
      </c>
      <c r="E30" s="8">
        <v>961.04</v>
      </c>
      <c r="F30" s="9">
        <f t="shared" si="3"/>
        <v>1.8819559404664433E-2</v>
      </c>
      <c r="G30" s="9">
        <f t="shared" si="4"/>
        <v>1.6995042320467297E-2</v>
      </c>
      <c r="H30" s="9">
        <f t="shared" si="5"/>
        <v>1.006044702584148E-2</v>
      </c>
      <c r="I30" s="9">
        <f t="shared" si="6"/>
        <v>9.4404924752424443E-3</v>
      </c>
      <c r="AU30">
        <v>11</v>
      </c>
      <c r="AV30">
        <v>2025</v>
      </c>
      <c r="AW30" s="8">
        <v>7977545.1799999997</v>
      </c>
      <c r="AX30" s="8">
        <v>2476250.29</v>
      </c>
      <c r="AY30" s="8">
        <v>-180244.27</v>
      </c>
      <c r="AZ30" s="8">
        <v>-111403.89</v>
      </c>
      <c r="BA30" s="8">
        <v>233046.95</v>
      </c>
    </row>
    <row r="31" spans="1:53" x14ac:dyDescent="0.25">
      <c r="A31" s="2">
        <v>45730</v>
      </c>
      <c r="B31" s="8">
        <v>2984.7280000000001</v>
      </c>
      <c r="C31" s="8">
        <v>33.805</v>
      </c>
      <c r="D31" s="8">
        <v>996.75</v>
      </c>
      <c r="E31" s="8">
        <v>969.04</v>
      </c>
      <c r="F31" s="9">
        <f t="shared" si="3"/>
        <v>-1.2211409892634131E-3</v>
      </c>
      <c r="G31" s="9">
        <f t="shared" si="4"/>
        <v>-5.9145351421064924E-4</v>
      </c>
      <c r="H31" s="9">
        <f t="shared" si="5"/>
        <v>-2.2547923870890937E-3</v>
      </c>
      <c r="I31" s="9">
        <f t="shared" si="6"/>
        <v>8.2898592954270701E-3</v>
      </c>
      <c r="AU31">
        <v>12</v>
      </c>
      <c r="AV31">
        <v>2025</v>
      </c>
      <c r="AW31" s="8">
        <v>10247680.48</v>
      </c>
      <c r="AX31" s="8">
        <v>25313536.920000002</v>
      </c>
      <c r="AY31" s="8">
        <v>2194787.37</v>
      </c>
      <c r="AZ31" s="8">
        <v>539999.32999999996</v>
      </c>
      <c r="BA31" s="8">
        <v>682510.75</v>
      </c>
    </row>
    <row r="32" spans="1:53" x14ac:dyDescent="0.25">
      <c r="A32" s="2">
        <v>45733</v>
      </c>
      <c r="B32" s="8">
        <v>3001.77</v>
      </c>
      <c r="C32" s="8">
        <v>33.865000000000002</v>
      </c>
      <c r="D32" s="8">
        <v>1004.55</v>
      </c>
      <c r="E32" s="8">
        <v>968.77</v>
      </c>
      <c r="F32" s="9">
        <f t="shared" si="3"/>
        <v>5.69349427191754E-3</v>
      </c>
      <c r="G32" s="9">
        <f t="shared" si="4"/>
        <v>1.7733121242259247E-3</v>
      </c>
      <c r="H32" s="9">
        <f t="shared" si="5"/>
        <v>7.7949727627045036E-3</v>
      </c>
      <c r="I32" s="9">
        <f t="shared" si="6"/>
        <v>-2.7866509280806043E-4</v>
      </c>
      <c r="AU32">
        <v>1</v>
      </c>
      <c r="AV32">
        <v>2026</v>
      </c>
      <c r="AW32" s="8">
        <v>29542927.84</v>
      </c>
      <c r="AX32" s="8">
        <v>18366505.9799999</v>
      </c>
      <c r="AY32" s="8">
        <v>2530281.63</v>
      </c>
      <c r="AZ32" s="8">
        <v>134911.62</v>
      </c>
      <c r="BA32" s="8">
        <v>2125454.75</v>
      </c>
    </row>
    <row r="33" spans="1:53" x14ac:dyDescent="0.25">
      <c r="A33" s="2">
        <v>45734</v>
      </c>
      <c r="B33" s="8">
        <v>3034.2150000000001</v>
      </c>
      <c r="C33" s="8">
        <v>34.049999999999997</v>
      </c>
      <c r="D33" s="8">
        <v>1002.01</v>
      </c>
      <c r="E33" s="8">
        <v>971.09</v>
      </c>
      <c r="F33" s="9">
        <f t="shared" si="3"/>
        <v>1.075062727557234E-2</v>
      </c>
      <c r="G33" s="9">
        <f t="shared" si="4"/>
        <v>5.4479999286542579E-3</v>
      </c>
      <c r="H33" s="9">
        <f t="shared" si="5"/>
        <v>-2.5316973892388146E-3</v>
      </c>
      <c r="I33" s="9">
        <f t="shared" si="6"/>
        <v>2.3919263308900015E-3</v>
      </c>
      <c r="AV33" t="s">
        <v>205</v>
      </c>
      <c r="AW33" s="11">
        <f>SUM(AW21:AW32)</f>
        <v>157822851.07999995</v>
      </c>
      <c r="AX33" s="11">
        <f t="shared" ref="AX33:BA33" si="7">SUM(AX21:AX32)</f>
        <v>103879767.55999988</v>
      </c>
      <c r="AY33" s="11">
        <f t="shared" si="7"/>
        <v>10376386.73</v>
      </c>
      <c r="AZ33" s="11">
        <f t="shared" si="7"/>
        <v>1483820.4700000011</v>
      </c>
      <c r="BA33" s="11">
        <f t="shared" si="7"/>
        <v>5212054.3800000008</v>
      </c>
    </row>
    <row r="34" spans="1:53" x14ac:dyDescent="0.25">
      <c r="A34" s="2">
        <v>45735</v>
      </c>
      <c r="B34" s="8">
        <v>3047.49</v>
      </c>
      <c r="C34" s="8">
        <v>33.83</v>
      </c>
      <c r="D34" s="8">
        <v>996.6</v>
      </c>
      <c r="E34" s="8">
        <v>962.02</v>
      </c>
      <c r="F34" s="9">
        <f t="shared" si="3"/>
        <v>4.3655590276155364E-3</v>
      </c>
      <c r="G34" s="9">
        <f t="shared" si="4"/>
        <v>-6.4820498029042268E-3</v>
      </c>
      <c r="H34" s="9">
        <f t="shared" si="5"/>
        <v>-5.4137757876258213E-3</v>
      </c>
      <c r="I34" s="9">
        <f t="shared" si="6"/>
        <v>-9.3839114762417093E-3</v>
      </c>
    </row>
    <row r="35" spans="1:53" x14ac:dyDescent="0.25">
      <c r="A35" s="2">
        <v>45736</v>
      </c>
      <c r="B35" s="8">
        <v>3044.7330000000002</v>
      </c>
      <c r="C35" s="8">
        <v>33.575000000000003</v>
      </c>
      <c r="D35" s="8">
        <v>988.93</v>
      </c>
      <c r="E35" s="8">
        <v>955.41</v>
      </c>
      <c r="F35" s="9">
        <f t="shared" si="3"/>
        <v>-9.0508840146116929E-4</v>
      </c>
      <c r="G35" s="9">
        <f t="shared" si="4"/>
        <v>-7.5662403833157013E-3</v>
      </c>
      <c r="H35" s="9">
        <f t="shared" si="5"/>
        <v>-7.725935293719237E-3</v>
      </c>
      <c r="I35" s="9">
        <f t="shared" si="6"/>
        <v>-6.8946727491223068E-3</v>
      </c>
    </row>
    <row r="36" spans="1:53" x14ac:dyDescent="0.25">
      <c r="A36" s="2">
        <v>45737</v>
      </c>
      <c r="B36" s="8">
        <v>3023.9580000000001</v>
      </c>
      <c r="C36" s="8">
        <v>33.06</v>
      </c>
      <c r="D36" s="8">
        <v>978.75</v>
      </c>
      <c r="E36" s="8">
        <v>962.01</v>
      </c>
      <c r="F36" s="9">
        <f t="shared" si="3"/>
        <v>-6.8466432563195779E-3</v>
      </c>
      <c r="G36" s="9">
        <f t="shared" si="4"/>
        <v>-1.5457650016423215E-2</v>
      </c>
      <c r="H36" s="9">
        <f t="shared" si="5"/>
        <v>-1.0347303248572208E-2</v>
      </c>
      <c r="I36" s="9">
        <f t="shared" si="6"/>
        <v>6.8842779008089607E-3</v>
      </c>
    </row>
    <row r="37" spans="1:53" x14ac:dyDescent="0.25">
      <c r="A37" s="2">
        <v>45740</v>
      </c>
      <c r="B37" s="8">
        <v>3012.64</v>
      </c>
      <c r="C37" s="8">
        <v>33.012500000000003</v>
      </c>
      <c r="D37" s="8">
        <v>976.52</v>
      </c>
      <c r="E37" s="8">
        <v>954.02</v>
      </c>
      <c r="F37" s="9">
        <f t="shared" si="3"/>
        <v>-3.7497985659649771E-3</v>
      </c>
      <c r="G37" s="9">
        <f t="shared" si="4"/>
        <v>-1.4378147696274715E-3</v>
      </c>
      <c r="H37" s="9">
        <f t="shared" si="5"/>
        <v>-2.2810158872145652E-3</v>
      </c>
      <c r="I37" s="9">
        <f t="shared" si="6"/>
        <v>-8.3402100329493366E-3</v>
      </c>
    </row>
    <row r="38" spans="1:53" x14ac:dyDescent="0.25">
      <c r="A38" s="2">
        <v>45741</v>
      </c>
      <c r="B38" s="8">
        <v>3020.2350000000001</v>
      </c>
      <c r="C38" s="8">
        <v>33.770000000000003</v>
      </c>
      <c r="D38" s="8">
        <v>980.5</v>
      </c>
      <c r="E38" s="8">
        <v>959.52</v>
      </c>
      <c r="F38" s="9">
        <f t="shared" si="3"/>
        <v>2.5178721629369127E-3</v>
      </c>
      <c r="G38" s="9">
        <f t="shared" si="4"/>
        <v>2.2686556774225743E-2</v>
      </c>
      <c r="H38" s="9">
        <f t="shared" si="5"/>
        <v>4.0674142186025554E-3</v>
      </c>
      <c r="I38" s="9">
        <f t="shared" si="6"/>
        <v>5.7485238310751516E-3</v>
      </c>
    </row>
    <row r="39" spans="1:53" x14ac:dyDescent="0.25">
      <c r="A39" s="2">
        <v>45742</v>
      </c>
      <c r="B39" s="8">
        <v>3019.56</v>
      </c>
      <c r="C39" s="8">
        <v>33.734999999999999</v>
      </c>
      <c r="D39" s="8">
        <v>977.16</v>
      </c>
      <c r="E39" s="8">
        <v>971.57</v>
      </c>
      <c r="F39" s="9">
        <f t="shared" si="3"/>
        <v>-2.2351752097889054E-4</v>
      </c>
      <c r="G39" s="9">
        <f t="shared" si="4"/>
        <v>-1.0369603180877241E-3</v>
      </c>
      <c r="H39" s="9">
        <f t="shared" si="5"/>
        <v>-3.4122403693607399E-3</v>
      </c>
      <c r="I39" s="9">
        <f t="shared" si="6"/>
        <v>1.248016032704065E-2</v>
      </c>
    </row>
    <row r="40" spans="1:53" x14ac:dyDescent="0.25">
      <c r="A40" s="2">
        <v>45743</v>
      </c>
      <c r="B40" s="8">
        <v>3056.355</v>
      </c>
      <c r="C40" s="8">
        <v>34.43</v>
      </c>
      <c r="D40" s="8">
        <v>989.35</v>
      </c>
      <c r="E40" s="8">
        <v>978.02</v>
      </c>
      <c r="F40" s="9">
        <f t="shared" si="3"/>
        <v>1.2111904071178792E-2</v>
      </c>
      <c r="G40" s="9">
        <f t="shared" si="4"/>
        <v>2.0392403271043764E-2</v>
      </c>
      <c r="H40" s="9">
        <f t="shared" si="5"/>
        <v>1.2397756571408814E-2</v>
      </c>
      <c r="I40" s="9">
        <f t="shared" si="6"/>
        <v>6.6167999762312517E-3</v>
      </c>
    </row>
    <row r="41" spans="1:53" x14ac:dyDescent="0.25">
      <c r="A41" s="2">
        <v>45744</v>
      </c>
      <c r="B41" s="8">
        <v>3085.2779999999998</v>
      </c>
      <c r="C41" s="8">
        <v>34.134999999999998</v>
      </c>
      <c r="D41" s="8">
        <v>987.05</v>
      </c>
      <c r="E41" s="8">
        <v>975.5</v>
      </c>
      <c r="F41" s="9">
        <f t="shared" si="3"/>
        <v>9.4187372704478758E-3</v>
      </c>
      <c r="G41" s="9">
        <f t="shared" si="4"/>
        <v>-8.6050264801887603E-3</v>
      </c>
      <c r="H41" s="9">
        <f t="shared" si="5"/>
        <v>-2.3274651267721951E-3</v>
      </c>
      <c r="I41" s="9">
        <f t="shared" si="6"/>
        <v>-2.5799596603055777E-3</v>
      </c>
    </row>
    <row r="42" spans="1:53" x14ac:dyDescent="0.25">
      <c r="A42" s="2">
        <v>45747</v>
      </c>
      <c r="B42" s="8">
        <v>3123.355</v>
      </c>
      <c r="C42" s="8">
        <v>34.094999999999999</v>
      </c>
      <c r="D42" s="8">
        <v>997.5</v>
      </c>
      <c r="E42" s="8">
        <v>985.54</v>
      </c>
      <c r="F42" s="9">
        <f t="shared" si="3"/>
        <v>1.2265977841678535E-2</v>
      </c>
      <c r="G42" s="9">
        <f t="shared" si="4"/>
        <v>-1.1725048976273325E-3</v>
      </c>
      <c r="H42" s="9">
        <f t="shared" si="5"/>
        <v>1.0531452052341734E-2</v>
      </c>
      <c r="I42" s="9">
        <f t="shared" si="6"/>
        <v>1.0239554239656007E-2</v>
      </c>
    </row>
    <row r="43" spans="1:53" x14ac:dyDescent="0.25">
      <c r="A43" s="2">
        <v>45748</v>
      </c>
      <c r="B43" s="8">
        <v>3111</v>
      </c>
      <c r="C43" s="8">
        <v>33.76</v>
      </c>
      <c r="D43" s="8">
        <v>984.5</v>
      </c>
      <c r="E43" s="8">
        <v>987</v>
      </c>
      <c r="F43" s="9">
        <f t="shared" si="3"/>
        <v>-3.9635266757443461E-3</v>
      </c>
      <c r="G43" s="9">
        <f t="shared" si="4"/>
        <v>-9.8740762448598814E-3</v>
      </c>
      <c r="H43" s="9">
        <f t="shared" si="5"/>
        <v>-1.3118250684838267E-2</v>
      </c>
      <c r="I43" s="9">
        <f t="shared" si="6"/>
        <v>1.4803251306597649E-3</v>
      </c>
    </row>
    <row r="44" spans="1:53" x14ac:dyDescent="0.25">
      <c r="A44" s="2">
        <v>45749</v>
      </c>
      <c r="B44" s="8">
        <v>3134.16</v>
      </c>
      <c r="C44" s="8">
        <v>34.055</v>
      </c>
      <c r="D44" s="8">
        <v>987.46</v>
      </c>
      <c r="E44" s="8">
        <v>972.56</v>
      </c>
      <c r="F44" s="9">
        <f t="shared" si="3"/>
        <v>7.416977682624319E-3</v>
      </c>
      <c r="G44" s="9">
        <f t="shared" si="4"/>
        <v>8.7001949655254526E-3</v>
      </c>
      <c r="H44" s="9">
        <f t="shared" si="5"/>
        <v>3.0020915465794173E-3</v>
      </c>
      <c r="I44" s="9">
        <f t="shared" si="6"/>
        <v>-1.4738269185943089E-2</v>
      </c>
    </row>
    <row r="45" spans="1:53" x14ac:dyDescent="0.25">
      <c r="A45" s="2">
        <v>45750</v>
      </c>
      <c r="B45" s="8">
        <v>3113.1550000000002</v>
      </c>
      <c r="C45" s="8">
        <v>31.895</v>
      </c>
      <c r="D45" s="8">
        <v>956.5</v>
      </c>
      <c r="E45" s="8">
        <v>932.16</v>
      </c>
      <c r="F45" s="9">
        <f t="shared" si="3"/>
        <v>-6.7245141799926397E-3</v>
      </c>
      <c r="G45" s="9">
        <f t="shared" si="4"/>
        <v>-6.5527606999363025E-2</v>
      </c>
      <c r="H45" s="9">
        <f t="shared" si="5"/>
        <v>-3.1855200745451985E-2</v>
      </c>
      <c r="I45" s="9">
        <f t="shared" si="6"/>
        <v>-4.242729647646875E-2</v>
      </c>
    </row>
    <row r="46" spans="1:53" x14ac:dyDescent="0.25">
      <c r="A46" s="2">
        <v>45751</v>
      </c>
      <c r="B46" s="8">
        <v>3038.02</v>
      </c>
      <c r="C46" s="8">
        <v>29.58</v>
      </c>
      <c r="D46" s="8">
        <v>920.2</v>
      </c>
      <c r="E46" s="8">
        <v>915.51</v>
      </c>
      <c r="F46" s="9">
        <f t="shared" si="3"/>
        <v>-2.443069398774764E-2</v>
      </c>
      <c r="G46" s="9">
        <f t="shared" si="4"/>
        <v>-7.5350800411264948E-2</v>
      </c>
      <c r="H46" s="9">
        <f t="shared" si="5"/>
        <v>-3.8689751158939294E-2</v>
      </c>
      <c r="I46" s="9">
        <f t="shared" si="6"/>
        <v>-1.8023186723259702E-2</v>
      </c>
    </row>
    <row r="47" spans="1:53" x14ac:dyDescent="0.25">
      <c r="A47" s="2">
        <v>45754</v>
      </c>
      <c r="B47" s="8">
        <v>2983.39</v>
      </c>
      <c r="C47" s="8">
        <v>30.145</v>
      </c>
      <c r="D47" s="8">
        <v>918</v>
      </c>
      <c r="E47" s="8">
        <v>922.63</v>
      </c>
      <c r="F47" s="9">
        <f t="shared" si="3"/>
        <v>-1.8145749578713653E-2</v>
      </c>
      <c r="G47" s="9">
        <f t="shared" si="4"/>
        <v>1.8920614658715171E-2</v>
      </c>
      <c r="H47" s="9">
        <f t="shared" si="5"/>
        <v>-2.3936471008777949E-3</v>
      </c>
      <c r="I47" s="9">
        <f t="shared" si="6"/>
        <v>7.7470003475972786E-3</v>
      </c>
    </row>
    <row r="48" spans="1:53" x14ac:dyDescent="0.25">
      <c r="A48" s="2">
        <v>45755</v>
      </c>
      <c r="B48" s="8">
        <v>2984.08</v>
      </c>
      <c r="C48" s="8">
        <v>29.864999999999998</v>
      </c>
      <c r="D48" s="8">
        <v>925</v>
      </c>
      <c r="E48" s="8">
        <v>909.51</v>
      </c>
      <c r="F48" s="9">
        <f t="shared" si="3"/>
        <v>2.3125378194610699E-4</v>
      </c>
      <c r="G48" s="9">
        <f t="shared" si="4"/>
        <v>-9.33184575709964E-3</v>
      </c>
      <c r="H48" s="9">
        <f t="shared" si="5"/>
        <v>7.5963468919347764E-3</v>
      </c>
      <c r="I48" s="9">
        <f t="shared" si="6"/>
        <v>-1.432229444544905E-2</v>
      </c>
    </row>
    <row r="49" spans="1:9" x14ac:dyDescent="0.25">
      <c r="A49" s="2">
        <v>45756</v>
      </c>
      <c r="B49" s="8">
        <v>3082.9029999999998</v>
      </c>
      <c r="C49" s="8">
        <v>31.055</v>
      </c>
      <c r="D49" s="8">
        <v>941.25</v>
      </c>
      <c r="E49" s="8">
        <v>935</v>
      </c>
      <c r="F49" s="9">
        <f t="shared" si="3"/>
        <v>3.2580193914580662E-2</v>
      </c>
      <c r="G49" s="9">
        <f t="shared" si="4"/>
        <v>3.9072599826997075E-2</v>
      </c>
      <c r="H49" s="9">
        <f t="shared" si="5"/>
        <v>1.7415041601678071E-2</v>
      </c>
      <c r="I49" s="9">
        <f t="shared" si="6"/>
        <v>2.7640536338728736E-2</v>
      </c>
    </row>
    <row r="50" spans="1:9" x14ac:dyDescent="0.25">
      <c r="A50" s="2">
        <v>45757</v>
      </c>
      <c r="B50" s="8">
        <v>3174.1849999999999</v>
      </c>
      <c r="C50" s="8">
        <v>31.221</v>
      </c>
      <c r="D50" s="8">
        <v>942</v>
      </c>
      <c r="E50" s="8">
        <v>912.07</v>
      </c>
      <c r="F50" s="9">
        <f t="shared" si="3"/>
        <v>2.9179220931807002E-2</v>
      </c>
      <c r="G50" s="9">
        <f t="shared" si="4"/>
        <v>5.3311193125658339E-3</v>
      </c>
      <c r="H50" s="9">
        <f t="shared" si="5"/>
        <v>7.9649546225963545E-4</v>
      </c>
      <c r="I50" s="9">
        <f t="shared" si="6"/>
        <v>-2.4829787773857828E-2</v>
      </c>
    </row>
    <row r="51" spans="1:9" x14ac:dyDescent="0.25">
      <c r="A51" s="2">
        <v>45758</v>
      </c>
      <c r="B51" s="8">
        <v>3237.35</v>
      </c>
      <c r="C51" s="8">
        <v>32.279000000000003</v>
      </c>
      <c r="D51" s="8">
        <v>947.15</v>
      </c>
      <c r="E51" s="8">
        <v>919.4</v>
      </c>
      <c r="F51" s="9">
        <f t="shared" si="3"/>
        <v>1.9704187425957361E-2</v>
      </c>
      <c r="G51" s="9">
        <f t="shared" si="4"/>
        <v>3.332591866373439E-2</v>
      </c>
      <c r="H51" s="9">
        <f t="shared" si="5"/>
        <v>5.4522009979246543E-3</v>
      </c>
      <c r="I51" s="9">
        <f t="shared" si="6"/>
        <v>8.0045418572983872E-3</v>
      </c>
    </row>
    <row r="52" spans="1:9" x14ac:dyDescent="0.25">
      <c r="A52" s="2">
        <v>45761</v>
      </c>
      <c r="B52" s="8">
        <v>3209.54</v>
      </c>
      <c r="C52" s="8">
        <v>32.369999999999997</v>
      </c>
      <c r="D52" s="8">
        <v>956.5</v>
      </c>
      <c r="E52" s="8">
        <v>959.55</v>
      </c>
      <c r="F52" s="9">
        <f t="shared" si="3"/>
        <v>-8.6274692134610774E-3</v>
      </c>
      <c r="G52" s="9">
        <f t="shared" si="4"/>
        <v>2.8152039505865778E-3</v>
      </c>
      <c r="H52" s="9">
        <f t="shared" si="5"/>
        <v>9.8233133060197653E-3</v>
      </c>
      <c r="I52" s="9">
        <f t="shared" si="6"/>
        <v>4.2743141192128652E-2</v>
      </c>
    </row>
    <row r="53" spans="1:9" x14ac:dyDescent="0.25">
      <c r="A53" s="2">
        <v>45762</v>
      </c>
      <c r="B53" s="8">
        <v>3228.38</v>
      </c>
      <c r="C53" s="8">
        <v>32.325000000000003</v>
      </c>
      <c r="D53" s="8">
        <v>963.04</v>
      </c>
      <c r="E53" s="8">
        <v>975.02</v>
      </c>
      <c r="F53" s="9">
        <f t="shared" si="3"/>
        <v>5.8528387371858037E-3</v>
      </c>
      <c r="G53" s="9">
        <f t="shared" si="4"/>
        <v>-1.3911432802316101E-3</v>
      </c>
      <c r="H53" s="9">
        <f t="shared" si="5"/>
        <v>6.8141589191529706E-3</v>
      </c>
      <c r="I53" s="9">
        <f t="shared" si="6"/>
        <v>1.599355904371862E-2</v>
      </c>
    </row>
    <row r="54" spans="1:9" x14ac:dyDescent="0.25">
      <c r="A54" s="2">
        <v>45763</v>
      </c>
      <c r="B54" s="8">
        <v>3344.41</v>
      </c>
      <c r="C54" s="8">
        <v>32.761400000000002</v>
      </c>
      <c r="D54" s="8">
        <v>972</v>
      </c>
      <c r="E54" s="8">
        <v>974.52</v>
      </c>
      <c r="F54" s="9">
        <f t="shared" si="3"/>
        <v>3.5309831932566822E-2</v>
      </c>
      <c r="G54" s="9">
        <f t="shared" si="4"/>
        <v>1.3410068456566594E-2</v>
      </c>
      <c r="H54" s="9">
        <f t="shared" si="5"/>
        <v>9.2608566609783654E-3</v>
      </c>
      <c r="I54" s="9">
        <f t="shared" si="6"/>
        <v>-5.1294152565511551E-4</v>
      </c>
    </row>
    <row r="55" spans="1:9" x14ac:dyDescent="0.25">
      <c r="A55" s="2">
        <v>45764</v>
      </c>
      <c r="B55" s="8">
        <v>3327.7950000000001</v>
      </c>
      <c r="C55" s="8">
        <v>32.615000000000002</v>
      </c>
      <c r="D55" s="8">
        <v>972.81</v>
      </c>
      <c r="E55" s="8">
        <v>965.03</v>
      </c>
      <c r="F55" s="9">
        <f t="shared" si="3"/>
        <v>-4.980372858252459E-3</v>
      </c>
      <c r="G55" s="9">
        <f t="shared" si="4"/>
        <v>-4.4786878664284172E-3</v>
      </c>
      <c r="H55" s="9">
        <f t="shared" si="5"/>
        <v>8.3298630389177098E-4</v>
      </c>
      <c r="I55" s="9">
        <f t="shared" si="6"/>
        <v>-9.7858531436567468E-3</v>
      </c>
    </row>
    <row r="56" spans="1:9" x14ac:dyDescent="0.25">
      <c r="A56" s="2">
        <v>45765</v>
      </c>
      <c r="B56" s="8">
        <v>3327.7950000000001</v>
      </c>
      <c r="C56" s="8">
        <v>32.615000000000002</v>
      </c>
      <c r="D56" s="8">
        <v>972.81</v>
      </c>
      <c r="E56" s="8">
        <v>965.03</v>
      </c>
      <c r="F56" s="9">
        <f t="shared" si="3"/>
        <v>0</v>
      </c>
      <c r="G56" s="9">
        <f t="shared" si="4"/>
        <v>0</v>
      </c>
      <c r="H56" s="9">
        <f t="shared" si="5"/>
        <v>0</v>
      </c>
      <c r="I56" s="9">
        <f t="shared" si="6"/>
        <v>0</v>
      </c>
    </row>
    <row r="57" spans="1:9" x14ac:dyDescent="0.25">
      <c r="A57" s="2">
        <v>45768</v>
      </c>
      <c r="B57" s="8">
        <v>3425.43</v>
      </c>
      <c r="C57" s="8">
        <v>32.729999999999997</v>
      </c>
      <c r="D57" s="8">
        <v>966.25</v>
      </c>
      <c r="E57" s="8">
        <v>930.02</v>
      </c>
      <c r="F57" s="9">
        <f t="shared" si="3"/>
        <v>2.8917088775022359E-2</v>
      </c>
      <c r="G57" s="9">
        <f t="shared" si="4"/>
        <v>3.5197832650295802E-3</v>
      </c>
      <c r="H57" s="9">
        <f t="shared" si="5"/>
        <v>-6.7661908626992185E-3</v>
      </c>
      <c r="I57" s="9">
        <f t="shared" si="6"/>
        <v>-3.6953097646254603E-2</v>
      </c>
    </row>
    <row r="58" spans="1:9" x14ac:dyDescent="0.25">
      <c r="A58" s="2">
        <v>45769</v>
      </c>
      <c r="B58" s="8">
        <v>3382.5450000000001</v>
      </c>
      <c r="C58" s="8">
        <v>32.545000000000002</v>
      </c>
      <c r="D58" s="8">
        <v>963.51</v>
      </c>
      <c r="E58" s="8">
        <v>939.73</v>
      </c>
      <c r="F58" s="9">
        <f t="shared" si="3"/>
        <v>-1.2598626535310065E-2</v>
      </c>
      <c r="G58" s="9">
        <f t="shared" si="4"/>
        <v>-5.6683414887383626E-3</v>
      </c>
      <c r="H58" s="9">
        <f t="shared" si="5"/>
        <v>-2.8397332738778181E-3</v>
      </c>
      <c r="I58" s="9">
        <f t="shared" si="6"/>
        <v>1.0386508669489545E-2</v>
      </c>
    </row>
    <row r="59" spans="1:9" x14ac:dyDescent="0.25">
      <c r="A59" s="2">
        <v>45770</v>
      </c>
      <c r="B59" s="8">
        <v>3288.26</v>
      </c>
      <c r="C59" s="8">
        <v>33.568199999999997</v>
      </c>
      <c r="D59" s="8">
        <v>977.5</v>
      </c>
      <c r="E59" s="8">
        <v>946.55</v>
      </c>
      <c r="F59" s="9">
        <f t="shared" si="3"/>
        <v>-2.82698352502854E-2</v>
      </c>
      <c r="G59" s="9">
        <f t="shared" si="4"/>
        <v>3.0955443227077436E-2</v>
      </c>
      <c r="H59" s="9">
        <f t="shared" si="5"/>
        <v>1.4415425231766966E-2</v>
      </c>
      <c r="I59" s="9">
        <f t="shared" si="6"/>
        <v>7.2311954940209883E-3</v>
      </c>
    </row>
    <row r="60" spans="1:9" x14ac:dyDescent="0.25">
      <c r="A60" s="2">
        <v>45771</v>
      </c>
      <c r="B60" s="8">
        <v>3349.1019999999999</v>
      </c>
      <c r="C60" s="8">
        <v>33.582900000000002</v>
      </c>
      <c r="D60" s="8">
        <v>975.51</v>
      </c>
      <c r="E60" s="8">
        <v>956.5</v>
      </c>
      <c r="F60" s="9">
        <f t="shared" si="3"/>
        <v>1.8333700707631191E-2</v>
      </c>
      <c r="G60" s="9">
        <f t="shared" si="4"/>
        <v>4.3781859820072688E-4</v>
      </c>
      <c r="H60" s="9">
        <f t="shared" si="5"/>
        <v>-2.037880695642882E-3</v>
      </c>
      <c r="I60" s="9">
        <f t="shared" si="6"/>
        <v>1.0456993424388732E-2</v>
      </c>
    </row>
    <row r="61" spans="1:9" x14ac:dyDescent="0.25">
      <c r="A61" s="2">
        <v>45772</v>
      </c>
      <c r="B61" s="8">
        <v>3319.45</v>
      </c>
      <c r="C61" s="8">
        <v>33.104999999999997</v>
      </c>
      <c r="D61" s="8">
        <v>975.05</v>
      </c>
      <c r="E61" s="8">
        <v>952.54</v>
      </c>
      <c r="F61" s="9">
        <f t="shared" si="3"/>
        <v>-8.8931436468367309E-3</v>
      </c>
      <c r="G61" s="9">
        <f t="shared" si="4"/>
        <v>-1.4332680472819635E-2</v>
      </c>
      <c r="H61" s="9">
        <f t="shared" si="5"/>
        <v>-4.7165942962815958E-4</v>
      </c>
      <c r="I61" s="9">
        <f t="shared" si="6"/>
        <v>-4.1486880105502631E-3</v>
      </c>
    </row>
    <row r="62" spans="1:9" x14ac:dyDescent="0.25">
      <c r="A62" s="2">
        <v>45775</v>
      </c>
      <c r="B62" s="8">
        <v>3341.665</v>
      </c>
      <c r="C62" s="8">
        <v>33.195</v>
      </c>
      <c r="D62" s="8">
        <v>991</v>
      </c>
      <c r="E62" s="8">
        <v>952.55</v>
      </c>
      <c r="F62" s="9">
        <f t="shared" si="3"/>
        <v>6.6700792170595602E-3</v>
      </c>
      <c r="G62" s="9">
        <f t="shared" si="4"/>
        <v>2.7149337943134242E-3</v>
      </c>
      <c r="H62" s="9">
        <f t="shared" si="5"/>
        <v>1.6225782595738213E-2</v>
      </c>
      <c r="I62" s="9">
        <f t="shared" si="6"/>
        <v>1.049819168657115E-5</v>
      </c>
    </row>
    <row r="63" spans="1:9" x14ac:dyDescent="0.25">
      <c r="A63" s="2">
        <v>45776</v>
      </c>
      <c r="B63" s="8">
        <v>3317.1849999999999</v>
      </c>
      <c r="C63" s="8">
        <v>32.99</v>
      </c>
      <c r="D63" s="8">
        <v>981.5</v>
      </c>
      <c r="E63" s="8">
        <v>938.47</v>
      </c>
      <c r="F63" s="9">
        <f t="shared" si="3"/>
        <v>-7.3526540725216338E-3</v>
      </c>
      <c r="G63" s="9">
        <f t="shared" si="4"/>
        <v>-6.1947769306325466E-3</v>
      </c>
      <c r="H63" s="9">
        <f t="shared" si="5"/>
        <v>-9.632520613472282E-3</v>
      </c>
      <c r="I63" s="9">
        <f t="shared" si="6"/>
        <v>-1.4891709448837441E-2</v>
      </c>
    </row>
    <row r="64" spans="1:9" x14ac:dyDescent="0.25">
      <c r="A64" s="2">
        <v>45777</v>
      </c>
      <c r="B64" s="8">
        <v>3288.5880000000002</v>
      </c>
      <c r="C64" s="8">
        <v>32.619999999999997</v>
      </c>
      <c r="D64" s="8">
        <v>971.5</v>
      </c>
      <c r="E64" s="8">
        <v>940.52</v>
      </c>
      <c r="F64" s="9">
        <f t="shared" si="3"/>
        <v>-8.6582383765949154E-3</v>
      </c>
      <c r="G64" s="9">
        <f t="shared" si="4"/>
        <v>-1.1278888047622414E-2</v>
      </c>
      <c r="H64" s="9">
        <f t="shared" si="5"/>
        <v>-1.0240744899021031E-2</v>
      </c>
      <c r="I64" s="9">
        <f t="shared" si="6"/>
        <v>2.1820241867989789E-3</v>
      </c>
    </row>
    <row r="65" spans="1:9" x14ac:dyDescent="0.25">
      <c r="A65" s="2">
        <v>45778</v>
      </c>
      <c r="B65" s="8">
        <v>3241</v>
      </c>
      <c r="C65" s="8">
        <v>32.43</v>
      </c>
      <c r="D65" s="8">
        <v>963</v>
      </c>
      <c r="E65" s="8">
        <v>943.02</v>
      </c>
      <c r="F65" s="9">
        <f t="shared" si="3"/>
        <v>-1.4576369162754683E-2</v>
      </c>
      <c r="G65" s="9">
        <f t="shared" si="4"/>
        <v>-5.8416768736411374E-3</v>
      </c>
      <c r="H65" s="9">
        <f t="shared" si="5"/>
        <v>-8.7878570193692506E-3</v>
      </c>
      <c r="I65" s="9">
        <f t="shared" si="6"/>
        <v>2.6545775168878008E-3</v>
      </c>
    </row>
    <row r="66" spans="1:9" x14ac:dyDescent="0.25">
      <c r="A66" s="2">
        <v>45779</v>
      </c>
      <c r="B66" s="8">
        <v>3240.875</v>
      </c>
      <c r="C66" s="8">
        <v>32.005000000000003</v>
      </c>
      <c r="D66" s="8">
        <v>963.8</v>
      </c>
      <c r="E66" s="8">
        <v>956.5</v>
      </c>
      <c r="F66" s="9">
        <f t="shared" si="3"/>
        <v>-3.8569086881675393E-5</v>
      </c>
      <c r="G66" s="9">
        <f t="shared" si="4"/>
        <v>-1.3191779725259752E-2</v>
      </c>
      <c r="H66" s="9">
        <f t="shared" si="5"/>
        <v>8.3039240810687143E-4</v>
      </c>
      <c r="I66" s="9">
        <f t="shared" si="6"/>
        <v>1.4193297564014556E-2</v>
      </c>
    </row>
    <row r="67" spans="1:9" x14ac:dyDescent="0.25">
      <c r="A67" s="2">
        <v>45782</v>
      </c>
      <c r="B67" s="8">
        <v>3334.5</v>
      </c>
      <c r="C67" s="8">
        <v>32.524999999999999</v>
      </c>
      <c r="D67" s="8">
        <v>964.04</v>
      </c>
      <c r="E67" s="8">
        <v>943.51</v>
      </c>
      <c r="F67" s="9">
        <f t="shared" si="3"/>
        <v>2.8479388017695194E-2</v>
      </c>
      <c r="G67" s="9">
        <f t="shared" si="4"/>
        <v>1.611688380460205E-2</v>
      </c>
      <c r="H67" s="9">
        <f t="shared" si="5"/>
        <v>2.4898331940400426E-4</v>
      </c>
      <c r="I67" s="9">
        <f t="shared" si="6"/>
        <v>-1.3673825293741724E-2</v>
      </c>
    </row>
    <row r="68" spans="1:9" x14ac:dyDescent="0.25">
      <c r="A68" s="2">
        <v>45783</v>
      </c>
      <c r="B68" s="8">
        <v>3430.21</v>
      </c>
      <c r="C68" s="8">
        <v>33.265000000000001</v>
      </c>
      <c r="D68" s="8">
        <v>988.45</v>
      </c>
      <c r="E68" s="8">
        <v>978.03</v>
      </c>
      <c r="F68" s="9">
        <f t="shared" ref="F68:F131" si="8">LN(B68/B67)</f>
        <v>2.8298740703278005E-2</v>
      </c>
      <c r="G68" s="9">
        <f t="shared" ref="G68:G131" si="9">LN(C68/C67)</f>
        <v>2.2496768795281959E-2</v>
      </c>
      <c r="H68" s="9">
        <f t="shared" ref="H68:H131" si="10">LN(D68/D67)</f>
        <v>2.5005272116310078E-2</v>
      </c>
      <c r="I68" s="9">
        <f t="shared" ref="I68:I131" si="11">LN(E68/E67)</f>
        <v>3.5933380824413684E-2</v>
      </c>
    </row>
    <row r="69" spans="1:9" x14ac:dyDescent="0.25">
      <c r="A69" s="2">
        <v>45784</v>
      </c>
      <c r="B69" s="8">
        <v>3365.2150000000001</v>
      </c>
      <c r="C69" s="8">
        <v>32.494999999999997</v>
      </c>
      <c r="D69" s="8">
        <v>978.89</v>
      </c>
      <c r="E69" s="8">
        <v>975.04</v>
      </c>
      <c r="F69" s="9">
        <f t="shared" si="8"/>
        <v>-1.9129629721537856E-2</v>
      </c>
      <c r="G69" s="9">
        <f t="shared" si="9"/>
        <v>-2.3419561847538743E-2</v>
      </c>
      <c r="H69" s="9">
        <f t="shared" si="10"/>
        <v>-9.7187829748050653E-3</v>
      </c>
      <c r="I69" s="9">
        <f t="shared" si="11"/>
        <v>-3.0618486136353771E-3</v>
      </c>
    </row>
    <row r="70" spans="1:9" x14ac:dyDescent="0.25">
      <c r="A70" s="2">
        <v>45785</v>
      </c>
      <c r="B70" s="8">
        <v>3305.5149999999999</v>
      </c>
      <c r="C70" s="8">
        <v>32.515000000000001</v>
      </c>
      <c r="D70" s="8">
        <v>980.5</v>
      </c>
      <c r="E70" s="8">
        <v>978.54</v>
      </c>
      <c r="F70" s="9">
        <f t="shared" si="8"/>
        <v>-1.7899568399371353E-2</v>
      </c>
      <c r="G70" s="9">
        <f t="shared" si="9"/>
        <v>6.1528997480311397E-4</v>
      </c>
      <c r="H70" s="9">
        <f t="shared" si="10"/>
        <v>1.6433689692595464E-3</v>
      </c>
      <c r="I70" s="9">
        <f t="shared" si="11"/>
        <v>3.5831690995371994E-3</v>
      </c>
    </row>
    <row r="71" spans="1:9" x14ac:dyDescent="0.25">
      <c r="A71" s="2">
        <v>45786</v>
      </c>
      <c r="B71" s="8">
        <v>3324.625</v>
      </c>
      <c r="C71" s="8">
        <v>32.722700000000003</v>
      </c>
      <c r="D71" s="8">
        <v>998.1</v>
      </c>
      <c r="E71" s="8">
        <v>979.68</v>
      </c>
      <c r="F71" s="9">
        <f t="shared" si="8"/>
        <v>5.764600119974617E-3</v>
      </c>
      <c r="G71" s="9">
        <f t="shared" si="9"/>
        <v>6.3675053463888697E-3</v>
      </c>
      <c r="H71" s="9">
        <f t="shared" si="10"/>
        <v>1.7790826056139832E-2</v>
      </c>
      <c r="I71" s="9">
        <f t="shared" si="11"/>
        <v>1.1643228327628545E-3</v>
      </c>
    </row>
    <row r="72" spans="1:9" x14ac:dyDescent="0.25">
      <c r="A72" s="2">
        <v>45789</v>
      </c>
      <c r="B72" s="8">
        <v>3234.7</v>
      </c>
      <c r="C72" s="8">
        <v>32.608699999999999</v>
      </c>
      <c r="D72" s="8">
        <v>979.5</v>
      </c>
      <c r="E72" s="8">
        <v>949.24</v>
      </c>
      <c r="F72" s="9">
        <f t="shared" si="8"/>
        <v>-2.7420697843170434E-2</v>
      </c>
      <c r="G72" s="9">
        <f t="shared" si="9"/>
        <v>-3.4899027329731345E-3</v>
      </c>
      <c r="H72" s="9">
        <f t="shared" si="10"/>
        <v>-1.8811234307945325E-2</v>
      </c>
      <c r="I72" s="9">
        <f t="shared" si="11"/>
        <v>-3.1564323305826925E-2</v>
      </c>
    </row>
    <row r="73" spans="1:9" x14ac:dyDescent="0.25">
      <c r="A73" s="2">
        <v>45790</v>
      </c>
      <c r="B73" s="8">
        <v>3248.4720000000002</v>
      </c>
      <c r="C73" s="8">
        <v>32.914999999999999</v>
      </c>
      <c r="D73" s="8">
        <v>993</v>
      </c>
      <c r="E73" s="8">
        <v>959.52</v>
      </c>
      <c r="F73" s="9">
        <f t="shared" si="8"/>
        <v>4.2485439891221059E-3</v>
      </c>
      <c r="G73" s="9">
        <f t="shared" si="9"/>
        <v>9.3493569853091412E-3</v>
      </c>
      <c r="H73" s="9">
        <f t="shared" si="10"/>
        <v>1.3688426660577107E-2</v>
      </c>
      <c r="I73" s="9">
        <f t="shared" si="11"/>
        <v>1.0771494996382179E-2</v>
      </c>
    </row>
    <row r="74" spans="1:9" x14ac:dyDescent="0.25">
      <c r="A74" s="2">
        <v>45791</v>
      </c>
      <c r="B74" s="8">
        <v>3178.75</v>
      </c>
      <c r="C74" s="8">
        <v>32.234999999999999</v>
      </c>
      <c r="D74" s="8">
        <v>981</v>
      </c>
      <c r="E74" s="8">
        <v>953.53</v>
      </c>
      <c r="F74" s="9">
        <f t="shared" si="8"/>
        <v>-2.1696694184326619E-2</v>
      </c>
      <c r="G74" s="9">
        <f t="shared" si="9"/>
        <v>-2.087566215725651E-2</v>
      </c>
      <c r="H74" s="9">
        <f t="shared" si="10"/>
        <v>-1.2158204479809519E-2</v>
      </c>
      <c r="I74" s="9">
        <f t="shared" si="11"/>
        <v>-6.2622718437380515E-3</v>
      </c>
    </row>
    <row r="75" spans="1:9" x14ac:dyDescent="0.25">
      <c r="A75" s="2">
        <v>45792</v>
      </c>
      <c r="B75" s="8">
        <v>3240.873</v>
      </c>
      <c r="C75" s="8">
        <v>32.700000000000003</v>
      </c>
      <c r="D75" s="8">
        <v>994.5</v>
      </c>
      <c r="E75" s="8">
        <v>971.06</v>
      </c>
      <c r="F75" s="9">
        <f t="shared" si="8"/>
        <v>1.9354700200855026E-2</v>
      </c>
      <c r="G75" s="9">
        <f t="shared" si="9"/>
        <v>1.4322259140624398E-2</v>
      </c>
      <c r="H75" s="9">
        <f t="shared" si="10"/>
        <v>1.3667638728663835E-2</v>
      </c>
      <c r="I75" s="9">
        <f t="shared" si="11"/>
        <v>1.8217370772862528E-2</v>
      </c>
    </row>
    <row r="76" spans="1:9" x14ac:dyDescent="0.25">
      <c r="A76" s="2">
        <v>45793</v>
      </c>
      <c r="B76" s="8">
        <v>3202.7750000000001</v>
      </c>
      <c r="C76" s="8">
        <v>32.284999999999997</v>
      </c>
      <c r="D76" s="8">
        <v>991.15</v>
      </c>
      <c r="E76" s="8">
        <v>964.66</v>
      </c>
      <c r="F76" s="9">
        <f t="shared" si="8"/>
        <v>-1.1825116439208843E-2</v>
      </c>
      <c r="G76" s="9">
        <f t="shared" si="9"/>
        <v>-1.2772351824777567E-2</v>
      </c>
      <c r="H76" s="9">
        <f t="shared" si="10"/>
        <v>-3.3742131578069295E-3</v>
      </c>
      <c r="I76" s="9">
        <f t="shared" si="11"/>
        <v>-6.6125506999193612E-3</v>
      </c>
    </row>
    <row r="77" spans="1:9" x14ac:dyDescent="0.25">
      <c r="A77" s="2">
        <v>45796</v>
      </c>
      <c r="B77" s="8">
        <v>3229.85</v>
      </c>
      <c r="C77" s="8">
        <v>32.372500000000002</v>
      </c>
      <c r="D77" s="8">
        <v>1002.5</v>
      </c>
      <c r="E77" s="8">
        <v>977.52</v>
      </c>
      <c r="F77" s="9">
        <f t="shared" si="8"/>
        <v>8.4180750118907181E-3</v>
      </c>
      <c r="G77" s="9">
        <f t="shared" si="9"/>
        <v>2.7065708824280401E-3</v>
      </c>
      <c r="H77" s="9">
        <f t="shared" si="10"/>
        <v>1.138627404450431E-2</v>
      </c>
      <c r="I77" s="9">
        <f t="shared" si="11"/>
        <v>1.3243044358861939E-2</v>
      </c>
    </row>
    <row r="78" spans="1:9" x14ac:dyDescent="0.25">
      <c r="A78" s="2">
        <v>45797</v>
      </c>
      <c r="B78" s="8">
        <v>3290.123</v>
      </c>
      <c r="C78" s="8">
        <v>33.092599999999997</v>
      </c>
      <c r="D78" s="8">
        <v>1058.49</v>
      </c>
      <c r="E78" s="8">
        <v>1016.01</v>
      </c>
      <c r="F78" s="9">
        <f t="shared" si="8"/>
        <v>1.848925356894858E-2</v>
      </c>
      <c r="G78" s="9">
        <f t="shared" si="9"/>
        <v>2.2000395473106487E-2</v>
      </c>
      <c r="H78" s="9">
        <f t="shared" si="10"/>
        <v>5.4346484018440368E-2</v>
      </c>
      <c r="I78" s="9">
        <f t="shared" si="11"/>
        <v>3.8619718601408233E-2</v>
      </c>
    </row>
    <row r="79" spans="1:9" x14ac:dyDescent="0.25">
      <c r="A79" s="2">
        <v>45798</v>
      </c>
      <c r="B79" s="8">
        <v>3314.9920000000002</v>
      </c>
      <c r="C79" s="8">
        <v>33.402500000000003</v>
      </c>
      <c r="D79" s="8">
        <v>1081.5</v>
      </c>
      <c r="E79" s="8">
        <v>1040</v>
      </c>
      <c r="F79" s="9">
        <f t="shared" si="8"/>
        <v>7.5302602652346697E-3</v>
      </c>
      <c r="G79" s="9">
        <f t="shared" si="9"/>
        <v>9.3210550469476176E-3</v>
      </c>
      <c r="H79" s="9">
        <f t="shared" si="10"/>
        <v>2.1505602193948928E-2</v>
      </c>
      <c r="I79" s="9">
        <f t="shared" si="11"/>
        <v>2.33375215257433E-2</v>
      </c>
    </row>
    <row r="80" spans="1:9" x14ac:dyDescent="0.25">
      <c r="A80" s="2">
        <v>45799</v>
      </c>
      <c r="B80" s="8">
        <v>3295</v>
      </c>
      <c r="C80" s="8">
        <v>33.102499999999999</v>
      </c>
      <c r="D80" s="8">
        <v>1083.0899999999999</v>
      </c>
      <c r="E80" s="8">
        <v>1017.52</v>
      </c>
      <c r="F80" s="9">
        <f t="shared" si="8"/>
        <v>-6.0490424074419302E-3</v>
      </c>
      <c r="G80" s="9">
        <f t="shared" si="9"/>
        <v>-9.0219392491372973E-3</v>
      </c>
      <c r="H80" s="9">
        <f t="shared" si="10"/>
        <v>1.4691006481310936E-3</v>
      </c>
      <c r="I80" s="9">
        <f t="shared" si="11"/>
        <v>-2.1852418992189274E-2</v>
      </c>
    </row>
    <row r="81" spans="1:9" x14ac:dyDescent="0.25">
      <c r="A81" s="2">
        <v>45800</v>
      </c>
      <c r="B81" s="8">
        <v>3357.4250000000002</v>
      </c>
      <c r="C81" s="8">
        <v>33.505000000000003</v>
      </c>
      <c r="D81" s="8">
        <v>1098.0999999999999</v>
      </c>
      <c r="E81" s="8">
        <v>996.76</v>
      </c>
      <c r="F81" s="9">
        <f t="shared" si="8"/>
        <v>1.8768143162143432E-2</v>
      </c>
      <c r="G81" s="9">
        <f t="shared" si="9"/>
        <v>1.2085873193359312E-2</v>
      </c>
      <c r="H81" s="9">
        <f t="shared" si="10"/>
        <v>1.3763346562423137E-2</v>
      </c>
      <c r="I81" s="9">
        <f t="shared" si="11"/>
        <v>-2.0613554326121535E-2</v>
      </c>
    </row>
    <row r="82" spans="1:9" x14ac:dyDescent="0.25">
      <c r="A82" s="2">
        <v>45803</v>
      </c>
      <c r="B82" s="8">
        <v>3342.94</v>
      </c>
      <c r="C82" s="8">
        <v>33.424999999999997</v>
      </c>
      <c r="D82" s="8">
        <v>1089.78</v>
      </c>
      <c r="E82" s="8">
        <v>990</v>
      </c>
      <c r="F82" s="9">
        <f t="shared" si="8"/>
        <v>-4.3236517906610735E-3</v>
      </c>
      <c r="G82" s="9">
        <f t="shared" si="9"/>
        <v>-2.3905584371272997E-3</v>
      </c>
      <c r="H82" s="9">
        <f t="shared" si="10"/>
        <v>-7.6055726142603974E-3</v>
      </c>
      <c r="I82" s="9">
        <f t="shared" si="11"/>
        <v>-6.8050756884719208E-3</v>
      </c>
    </row>
    <row r="83" spans="1:9" x14ac:dyDescent="0.25">
      <c r="A83" s="2">
        <v>45804</v>
      </c>
      <c r="B83" s="8">
        <v>3300.683</v>
      </c>
      <c r="C83" s="8">
        <v>33.325000000000003</v>
      </c>
      <c r="D83" s="8">
        <v>1084.5</v>
      </c>
      <c r="E83" s="8">
        <v>981.02</v>
      </c>
      <c r="F83" s="9">
        <f t="shared" si="8"/>
        <v>-1.272124257182153E-2</v>
      </c>
      <c r="G83" s="9">
        <f t="shared" si="9"/>
        <v>-2.9962569232343051E-3</v>
      </c>
      <c r="H83" s="9">
        <f t="shared" si="10"/>
        <v>-4.8567897224780342E-3</v>
      </c>
      <c r="I83" s="9">
        <f t="shared" si="11"/>
        <v>-9.11209641125507E-3</v>
      </c>
    </row>
    <row r="84" spans="1:9" x14ac:dyDescent="0.25">
      <c r="A84" s="2">
        <v>45805</v>
      </c>
      <c r="B84" s="8">
        <v>3289.76</v>
      </c>
      <c r="C84" s="8">
        <v>33.020000000000003</v>
      </c>
      <c r="D84" s="8">
        <v>1079.5</v>
      </c>
      <c r="E84" s="8">
        <v>966.19</v>
      </c>
      <c r="F84" s="9">
        <f t="shared" si="8"/>
        <v>-3.3148029659769741E-3</v>
      </c>
      <c r="G84" s="9">
        <f t="shared" si="9"/>
        <v>-9.194427572790367E-3</v>
      </c>
      <c r="H84" s="9">
        <f t="shared" si="10"/>
        <v>-4.6210803120670082E-3</v>
      </c>
      <c r="I84" s="9">
        <f t="shared" si="11"/>
        <v>-1.5232344474686974E-2</v>
      </c>
    </row>
    <row r="85" spans="1:9" x14ac:dyDescent="0.25">
      <c r="A85" s="2">
        <v>45806</v>
      </c>
      <c r="B85" s="8">
        <v>3317.0219999999999</v>
      </c>
      <c r="C85" s="8">
        <v>33.372500000000002</v>
      </c>
      <c r="D85" s="8">
        <v>1087</v>
      </c>
      <c r="E85" s="8">
        <v>976.56</v>
      </c>
      <c r="F85" s="9">
        <f t="shared" si="8"/>
        <v>8.2527786540122546E-3</v>
      </c>
      <c r="G85" s="9">
        <f t="shared" si="9"/>
        <v>1.0618769055768331E-2</v>
      </c>
      <c r="H85" s="9">
        <f t="shared" si="10"/>
        <v>6.9236371663474131E-3</v>
      </c>
      <c r="I85" s="9">
        <f t="shared" si="11"/>
        <v>1.0675690118850535E-2</v>
      </c>
    </row>
    <row r="86" spans="1:9" x14ac:dyDescent="0.25">
      <c r="A86" s="2">
        <v>45807</v>
      </c>
      <c r="B86" s="8">
        <v>3289.4050000000002</v>
      </c>
      <c r="C86" s="8">
        <v>32.994999999999997</v>
      </c>
      <c r="D86" s="8">
        <v>1059.5999999999999</v>
      </c>
      <c r="E86" s="8">
        <v>974.67</v>
      </c>
      <c r="F86" s="9">
        <f t="shared" si="8"/>
        <v>-8.360695084241504E-3</v>
      </c>
      <c r="G86" s="9">
        <f t="shared" si="9"/>
        <v>-1.1376172712365533E-2</v>
      </c>
      <c r="H86" s="9">
        <f t="shared" si="10"/>
        <v>-2.5530129723294871E-2</v>
      </c>
      <c r="I86" s="9">
        <f t="shared" si="11"/>
        <v>-1.9372401931926438E-3</v>
      </c>
    </row>
    <row r="87" spans="1:9" x14ac:dyDescent="0.25">
      <c r="A87" s="2">
        <v>45810</v>
      </c>
      <c r="B87" s="8">
        <v>3380.21</v>
      </c>
      <c r="C87" s="8">
        <v>34.814999999999998</v>
      </c>
      <c r="D87" s="8">
        <v>1068</v>
      </c>
      <c r="E87" s="8">
        <v>991.53</v>
      </c>
      <c r="F87" s="9">
        <f t="shared" si="8"/>
        <v>2.7231140384517412E-2</v>
      </c>
      <c r="G87" s="9">
        <f t="shared" si="9"/>
        <v>5.3692293559125109E-2</v>
      </c>
      <c r="H87" s="9">
        <f t="shared" si="10"/>
        <v>7.8962621222255398E-3</v>
      </c>
      <c r="I87" s="9">
        <f t="shared" si="11"/>
        <v>1.7150252519841452E-2</v>
      </c>
    </row>
    <row r="88" spans="1:9" x14ac:dyDescent="0.25">
      <c r="A88" s="2">
        <v>45811</v>
      </c>
      <c r="B88" s="8">
        <v>3352.2449999999999</v>
      </c>
      <c r="C88" s="8">
        <v>34.524999999999999</v>
      </c>
      <c r="D88" s="8">
        <v>1078.3399999999999</v>
      </c>
      <c r="E88" s="8">
        <v>1013.02</v>
      </c>
      <c r="F88" s="9">
        <f t="shared" si="8"/>
        <v>-8.3075671014764402E-3</v>
      </c>
      <c r="G88" s="9">
        <f t="shared" si="9"/>
        <v>-8.3646290991541659E-3</v>
      </c>
      <c r="H88" s="9">
        <f t="shared" si="10"/>
        <v>9.6350811078565E-3</v>
      </c>
      <c r="I88" s="9">
        <f t="shared" si="11"/>
        <v>2.1442042702217268E-2</v>
      </c>
    </row>
    <row r="89" spans="1:9" x14ac:dyDescent="0.25">
      <c r="A89" s="2">
        <v>45812</v>
      </c>
      <c r="B89" s="8">
        <v>3376.5450000000001</v>
      </c>
      <c r="C89" s="8">
        <v>34.984999999999999</v>
      </c>
      <c r="D89" s="8">
        <v>1089.26</v>
      </c>
      <c r="E89" s="8">
        <v>1003.53</v>
      </c>
      <c r="F89" s="9">
        <f t="shared" si="8"/>
        <v>7.222726713024299E-3</v>
      </c>
      <c r="G89" s="9">
        <f t="shared" si="9"/>
        <v>1.3235698902504279E-2</v>
      </c>
      <c r="H89" s="9">
        <f t="shared" si="10"/>
        <v>1.0075744956286147E-2</v>
      </c>
      <c r="I89" s="9">
        <f t="shared" si="11"/>
        <v>-9.4121842346566523E-3</v>
      </c>
    </row>
    <row r="90" spans="1:9" x14ac:dyDescent="0.25">
      <c r="A90" s="2">
        <v>45813</v>
      </c>
      <c r="B90" s="8">
        <v>3354.163</v>
      </c>
      <c r="C90" s="8">
        <v>36.174999999999997</v>
      </c>
      <c r="D90" s="8">
        <v>1135.01</v>
      </c>
      <c r="E90" s="8">
        <v>1009.8</v>
      </c>
      <c r="F90" s="9">
        <f t="shared" si="8"/>
        <v>-6.6507364457176919E-3</v>
      </c>
      <c r="G90" s="9">
        <f t="shared" si="9"/>
        <v>3.3448874319687495E-2</v>
      </c>
      <c r="H90" s="9">
        <f t="shared" si="10"/>
        <v>4.1142894865094592E-2</v>
      </c>
      <c r="I90" s="9">
        <f t="shared" si="11"/>
        <v>6.2285072690617914E-3</v>
      </c>
    </row>
    <row r="91" spans="1:9" x14ac:dyDescent="0.25">
      <c r="A91" s="2">
        <v>45814</v>
      </c>
      <c r="B91" s="8">
        <v>3310.1669999999999</v>
      </c>
      <c r="C91" s="8">
        <v>35.979999999999997</v>
      </c>
      <c r="D91" s="8">
        <v>1172.8499999999999</v>
      </c>
      <c r="E91" s="8">
        <v>1050.97</v>
      </c>
      <c r="F91" s="9">
        <f t="shared" si="8"/>
        <v>-1.3203619619814207E-2</v>
      </c>
      <c r="G91" s="9">
        <f t="shared" si="9"/>
        <v>-5.4050439951605399E-3</v>
      </c>
      <c r="H91" s="9">
        <f t="shared" si="10"/>
        <v>3.2795222789255327E-2</v>
      </c>
      <c r="I91" s="9">
        <f t="shared" si="11"/>
        <v>3.9961255801163706E-2</v>
      </c>
    </row>
    <row r="92" spans="1:9" x14ac:dyDescent="0.25">
      <c r="A92" s="2">
        <v>45817</v>
      </c>
      <c r="B92" s="8">
        <v>3328.33</v>
      </c>
      <c r="C92" s="8">
        <v>36.756399999999999</v>
      </c>
      <c r="D92" s="8">
        <v>1223.71</v>
      </c>
      <c r="E92" s="8">
        <v>1077.03</v>
      </c>
      <c r="F92" s="9">
        <f t="shared" si="8"/>
        <v>5.4720354084555334E-3</v>
      </c>
      <c r="G92" s="9">
        <f t="shared" si="9"/>
        <v>2.1349131634030936E-2</v>
      </c>
      <c r="H92" s="9">
        <f t="shared" si="10"/>
        <v>4.2450543657166155E-2</v>
      </c>
      <c r="I92" s="9">
        <f t="shared" si="11"/>
        <v>2.4493705695665328E-2</v>
      </c>
    </row>
    <row r="93" spans="1:9" x14ac:dyDescent="0.25">
      <c r="A93" s="2">
        <v>45818</v>
      </c>
      <c r="B93" s="8">
        <v>3322.52</v>
      </c>
      <c r="C93" s="8">
        <v>36.585000000000001</v>
      </c>
      <c r="D93" s="8">
        <v>1226.26</v>
      </c>
      <c r="E93" s="8">
        <v>1064.0999999999999</v>
      </c>
      <c r="F93" s="9">
        <f t="shared" si="8"/>
        <v>-1.7471455461864557E-3</v>
      </c>
      <c r="G93" s="9">
        <f t="shared" si="9"/>
        <v>-4.6740398204245656E-3</v>
      </c>
      <c r="H93" s="9">
        <f t="shared" si="10"/>
        <v>2.0816588944573564E-3</v>
      </c>
      <c r="I93" s="9">
        <f t="shared" si="11"/>
        <v>-1.20778814739586E-2</v>
      </c>
    </row>
    <row r="94" spans="1:9" x14ac:dyDescent="0.25">
      <c r="A94" s="2">
        <v>45819</v>
      </c>
      <c r="B94" s="8">
        <v>3353.84</v>
      </c>
      <c r="C94" s="8">
        <v>36.25</v>
      </c>
      <c r="D94" s="8">
        <v>1259.56</v>
      </c>
      <c r="E94" s="8">
        <v>1083.57</v>
      </c>
      <c r="F94" s="9">
        <f t="shared" si="8"/>
        <v>9.3824268786557967E-3</v>
      </c>
      <c r="G94" s="9">
        <f t="shared" si="9"/>
        <v>-9.1989390353095016E-3</v>
      </c>
      <c r="H94" s="9">
        <f t="shared" si="10"/>
        <v>2.6793566819325446E-2</v>
      </c>
      <c r="I94" s="9">
        <f t="shared" si="11"/>
        <v>1.8131773887202156E-2</v>
      </c>
    </row>
    <row r="95" spans="1:9" x14ac:dyDescent="0.25">
      <c r="A95" s="2">
        <v>45820</v>
      </c>
      <c r="B95" s="8">
        <v>3385.2950000000001</v>
      </c>
      <c r="C95" s="8">
        <v>36.4</v>
      </c>
      <c r="D95" s="8">
        <v>1298.95</v>
      </c>
      <c r="E95" s="8">
        <v>1059.03</v>
      </c>
      <c r="F95" s="9">
        <f t="shared" si="8"/>
        <v>9.3350937251776237E-3</v>
      </c>
      <c r="G95" s="9">
        <f t="shared" si="9"/>
        <v>4.1293933420111124E-3</v>
      </c>
      <c r="H95" s="9">
        <f t="shared" si="10"/>
        <v>3.0793792173178423E-2</v>
      </c>
      <c r="I95" s="9">
        <f t="shared" si="11"/>
        <v>-2.2907750522830939E-2</v>
      </c>
    </row>
    <row r="96" spans="1:9" x14ac:dyDescent="0.25">
      <c r="A96" s="2">
        <v>45821</v>
      </c>
      <c r="B96" s="8">
        <v>3432.6370000000002</v>
      </c>
      <c r="C96" s="8">
        <v>36.314999999999998</v>
      </c>
      <c r="D96" s="8">
        <v>1231.01</v>
      </c>
      <c r="E96" s="8">
        <v>1031.71</v>
      </c>
      <c r="F96" s="9">
        <f t="shared" si="8"/>
        <v>1.3887718709087374E-2</v>
      </c>
      <c r="G96" s="9">
        <f t="shared" si="9"/>
        <v>-2.3378955845634649E-3</v>
      </c>
      <c r="H96" s="9">
        <f t="shared" si="10"/>
        <v>-5.3721275154453837E-2</v>
      </c>
      <c r="I96" s="9">
        <f t="shared" si="11"/>
        <v>-2.613577501256336E-2</v>
      </c>
    </row>
    <row r="97" spans="1:9" x14ac:dyDescent="0.25">
      <c r="A97" s="2">
        <v>45824</v>
      </c>
      <c r="B97" s="8">
        <v>3383.2049999999999</v>
      </c>
      <c r="C97" s="8">
        <v>36.354999999999997</v>
      </c>
      <c r="D97" s="8">
        <v>1250.3</v>
      </c>
      <c r="E97" s="8">
        <v>1033.04</v>
      </c>
      <c r="F97" s="9">
        <f t="shared" si="8"/>
        <v>-1.4505285397844216E-2</v>
      </c>
      <c r="G97" s="9">
        <f t="shared" si="9"/>
        <v>1.1008670438887353E-3</v>
      </c>
      <c r="H97" s="9">
        <f t="shared" si="10"/>
        <v>1.5548551872647594E-2</v>
      </c>
      <c r="I97" s="9">
        <f t="shared" si="11"/>
        <v>1.2882917389025589E-3</v>
      </c>
    </row>
    <row r="98" spans="1:9" x14ac:dyDescent="0.25">
      <c r="A98" s="2">
        <v>45825</v>
      </c>
      <c r="B98" s="8">
        <v>3383.2049999999999</v>
      </c>
      <c r="C98" s="8">
        <v>36.354999999999997</v>
      </c>
      <c r="D98" s="8">
        <v>1250.3</v>
      </c>
      <c r="E98" s="8">
        <v>1033.04</v>
      </c>
      <c r="F98" s="9">
        <f t="shared" si="8"/>
        <v>0</v>
      </c>
      <c r="G98" s="9">
        <f t="shared" si="9"/>
        <v>0</v>
      </c>
      <c r="H98" s="9">
        <f t="shared" si="10"/>
        <v>0</v>
      </c>
      <c r="I98" s="9">
        <f t="shared" si="11"/>
        <v>0</v>
      </c>
    </row>
    <row r="99" spans="1:9" x14ac:dyDescent="0.25">
      <c r="A99" s="2">
        <v>45826</v>
      </c>
      <c r="B99" s="8">
        <v>3369.09</v>
      </c>
      <c r="C99" s="8">
        <v>36.756999999999998</v>
      </c>
      <c r="D99" s="8">
        <v>1324.91</v>
      </c>
      <c r="E99" s="8">
        <v>1033.04</v>
      </c>
      <c r="F99" s="9">
        <f t="shared" si="8"/>
        <v>-4.1808068397008883E-3</v>
      </c>
      <c r="G99" s="9">
        <f t="shared" si="9"/>
        <v>1.0996937609015357E-2</v>
      </c>
      <c r="H99" s="9">
        <f t="shared" si="10"/>
        <v>5.7961010084091644E-2</v>
      </c>
      <c r="I99" s="9">
        <f t="shared" si="11"/>
        <v>0</v>
      </c>
    </row>
    <row r="100" spans="1:9" x14ac:dyDescent="0.25">
      <c r="A100" s="2">
        <v>45827</v>
      </c>
      <c r="B100" s="8">
        <v>3370.752</v>
      </c>
      <c r="C100" s="8">
        <v>36.394500000000001</v>
      </c>
      <c r="D100" s="8">
        <v>1310.05</v>
      </c>
      <c r="E100" s="8">
        <v>1053.32</v>
      </c>
      <c r="F100" s="9">
        <f t="shared" si="8"/>
        <v>4.9318664552905605E-4</v>
      </c>
      <c r="G100" s="9">
        <f t="shared" si="9"/>
        <v>-9.9110193860284003E-3</v>
      </c>
      <c r="H100" s="9">
        <f t="shared" si="10"/>
        <v>-1.1279228179294266E-2</v>
      </c>
      <c r="I100" s="9">
        <f t="shared" si="11"/>
        <v>1.9441169066487865E-2</v>
      </c>
    </row>
    <row r="101" spans="1:9" x14ac:dyDescent="0.25">
      <c r="A101" s="2">
        <v>45828</v>
      </c>
      <c r="B101" s="8">
        <v>3368.2350000000001</v>
      </c>
      <c r="C101" s="8">
        <v>36.006999999999998</v>
      </c>
      <c r="D101" s="8">
        <v>1268.45</v>
      </c>
      <c r="E101" s="8">
        <v>1048.07</v>
      </c>
      <c r="F101" s="9">
        <f t="shared" si="8"/>
        <v>-7.4699657887490384E-4</v>
      </c>
      <c r="G101" s="9">
        <f t="shared" si="9"/>
        <v>-1.0704300326323453E-2</v>
      </c>
      <c r="H101" s="9">
        <f t="shared" si="10"/>
        <v>-3.2269621777090071E-2</v>
      </c>
      <c r="I101" s="9">
        <f t="shared" si="11"/>
        <v>-4.9967030613794492E-3</v>
      </c>
    </row>
    <row r="102" spans="1:9" x14ac:dyDescent="0.25">
      <c r="A102" s="2">
        <v>45831</v>
      </c>
      <c r="B102" s="8">
        <v>3368.8820000000001</v>
      </c>
      <c r="C102" s="8">
        <v>36.155000000000001</v>
      </c>
      <c r="D102" s="8">
        <v>1298.68</v>
      </c>
      <c r="E102" s="8">
        <v>1079.55</v>
      </c>
      <c r="F102" s="9">
        <f t="shared" si="8"/>
        <v>1.9207028822236497E-4</v>
      </c>
      <c r="G102" s="9">
        <f t="shared" si="9"/>
        <v>4.1018876282315399E-3</v>
      </c>
      <c r="H102" s="9">
        <f t="shared" si="10"/>
        <v>2.3552681353401845E-2</v>
      </c>
      <c r="I102" s="9">
        <f t="shared" si="11"/>
        <v>2.9593910078418405E-2</v>
      </c>
    </row>
    <row r="103" spans="1:9" x14ac:dyDescent="0.25">
      <c r="A103" s="2">
        <v>45832</v>
      </c>
      <c r="B103" s="8">
        <v>3324.2</v>
      </c>
      <c r="C103" s="8">
        <v>35.923099999999998</v>
      </c>
      <c r="D103" s="8">
        <v>1320.43</v>
      </c>
      <c r="E103" s="8">
        <v>1069</v>
      </c>
      <c r="F103" s="9">
        <f t="shared" si="8"/>
        <v>-1.3351894926106904E-2</v>
      </c>
      <c r="G103" s="9">
        <f t="shared" si="9"/>
        <v>-6.4347090214741162E-3</v>
      </c>
      <c r="H103" s="9">
        <f t="shared" si="10"/>
        <v>1.6609077126632073E-2</v>
      </c>
      <c r="I103" s="9">
        <f t="shared" si="11"/>
        <v>-9.8206555968777115E-3</v>
      </c>
    </row>
    <row r="104" spans="1:9" x14ac:dyDescent="0.25">
      <c r="A104" s="2">
        <v>45833</v>
      </c>
      <c r="B104" s="8">
        <v>3332.4650000000001</v>
      </c>
      <c r="C104" s="8">
        <v>36.325000000000003</v>
      </c>
      <c r="D104" s="8">
        <v>1359.26</v>
      </c>
      <c r="E104" s="8">
        <v>1060.58</v>
      </c>
      <c r="F104" s="9">
        <f t="shared" si="8"/>
        <v>2.4832267350446877E-3</v>
      </c>
      <c r="G104" s="9">
        <f t="shared" si="9"/>
        <v>1.1125666850905647E-2</v>
      </c>
      <c r="H104" s="9">
        <f t="shared" si="10"/>
        <v>2.8982992888616957E-2</v>
      </c>
      <c r="I104" s="9">
        <f t="shared" si="11"/>
        <v>-7.9077037504286917E-3</v>
      </c>
    </row>
    <row r="105" spans="1:9" x14ac:dyDescent="0.25">
      <c r="A105" s="2">
        <v>45834</v>
      </c>
      <c r="B105" s="8">
        <v>3328.0650000000001</v>
      </c>
      <c r="C105" s="8">
        <v>36.645000000000003</v>
      </c>
      <c r="D105" s="8">
        <v>1421.41</v>
      </c>
      <c r="E105" s="8">
        <v>1060.58</v>
      </c>
      <c r="F105" s="9">
        <f t="shared" si="8"/>
        <v>-1.3212163716875606E-3</v>
      </c>
      <c r="G105" s="9">
        <f t="shared" si="9"/>
        <v>8.7707839214668567E-3</v>
      </c>
      <c r="H105" s="9">
        <f t="shared" si="10"/>
        <v>4.4708902688027762E-2</v>
      </c>
      <c r="I105" s="9">
        <f t="shared" si="11"/>
        <v>0</v>
      </c>
    </row>
    <row r="106" spans="1:9" x14ac:dyDescent="0.25">
      <c r="A106" s="2">
        <v>45835</v>
      </c>
      <c r="B106" s="8">
        <v>3274.248</v>
      </c>
      <c r="C106" s="8">
        <v>36.005000000000003</v>
      </c>
      <c r="D106" s="8">
        <v>1342.51</v>
      </c>
      <c r="E106" s="8">
        <v>1137.5999999999999</v>
      </c>
      <c r="F106" s="9">
        <f t="shared" si="8"/>
        <v>-1.6302829617948017E-2</v>
      </c>
      <c r="G106" s="9">
        <f t="shared" si="9"/>
        <v>-1.761917567698339E-2</v>
      </c>
      <c r="H106" s="9">
        <f t="shared" si="10"/>
        <v>-5.7108340540490535E-2</v>
      </c>
      <c r="I106" s="9">
        <f t="shared" si="11"/>
        <v>7.0104851774359933E-2</v>
      </c>
    </row>
    <row r="107" spans="1:9" x14ac:dyDescent="0.25">
      <c r="A107" s="2">
        <v>45838</v>
      </c>
      <c r="B107" s="8">
        <v>3303.69</v>
      </c>
      <c r="C107" s="8">
        <v>36.104999999999997</v>
      </c>
      <c r="D107" s="8">
        <v>1357.03</v>
      </c>
      <c r="E107" s="8">
        <v>1100.05</v>
      </c>
      <c r="F107" s="9">
        <f t="shared" si="8"/>
        <v>8.9518011906870743E-3</v>
      </c>
      <c r="G107" s="9">
        <f t="shared" si="9"/>
        <v>2.7735422023146754E-3</v>
      </c>
      <c r="H107" s="9">
        <f t="shared" si="10"/>
        <v>1.0757492035923275E-2</v>
      </c>
      <c r="I107" s="9">
        <f t="shared" si="11"/>
        <v>-3.3565146750086476E-2</v>
      </c>
    </row>
    <row r="108" spans="1:9" x14ac:dyDescent="0.25">
      <c r="A108" s="2">
        <v>45839</v>
      </c>
      <c r="B108" s="8">
        <v>3339.2060000000001</v>
      </c>
      <c r="C108" s="8">
        <v>36.085000000000001</v>
      </c>
      <c r="D108" s="8">
        <v>1355</v>
      </c>
      <c r="E108" s="8">
        <v>1103.1099999999999</v>
      </c>
      <c r="F108" s="9">
        <f t="shared" si="8"/>
        <v>1.0693028585781883E-2</v>
      </c>
      <c r="G108" s="9">
        <f t="shared" si="9"/>
        <v>-5.5409337890835345E-4</v>
      </c>
      <c r="H108" s="9">
        <f t="shared" si="10"/>
        <v>-1.4970338669712813E-3</v>
      </c>
      <c r="I108" s="9">
        <f t="shared" si="11"/>
        <v>2.7778299966105219E-3</v>
      </c>
    </row>
    <row r="109" spans="1:9" x14ac:dyDescent="0.25">
      <c r="A109" s="2">
        <v>45840</v>
      </c>
      <c r="B109" s="8">
        <v>3357.355</v>
      </c>
      <c r="C109" s="8">
        <v>36.619999999999997</v>
      </c>
      <c r="D109" s="8">
        <v>1423.51</v>
      </c>
      <c r="E109" s="8">
        <v>1157.55</v>
      </c>
      <c r="F109" s="9">
        <f t="shared" si="8"/>
        <v>5.4204074109127903E-3</v>
      </c>
      <c r="G109" s="9">
        <f t="shared" si="9"/>
        <v>1.4717272722127979E-2</v>
      </c>
      <c r="H109" s="9">
        <f t="shared" si="10"/>
        <v>4.9324198318148091E-2</v>
      </c>
      <c r="I109" s="9">
        <f t="shared" si="11"/>
        <v>4.817223927622135E-2</v>
      </c>
    </row>
    <row r="110" spans="1:9" x14ac:dyDescent="0.25">
      <c r="A110" s="2">
        <v>45841</v>
      </c>
      <c r="B110" s="8">
        <v>3326.5650000000001</v>
      </c>
      <c r="C110" s="8">
        <v>36.848199999999999</v>
      </c>
      <c r="D110" s="8">
        <v>1372</v>
      </c>
      <c r="E110" s="8">
        <v>1139.55</v>
      </c>
      <c r="F110" s="9">
        <f t="shared" si="8"/>
        <v>-9.2132215216457966E-3</v>
      </c>
      <c r="G110" s="9">
        <f t="shared" si="9"/>
        <v>6.2122315202310157E-3</v>
      </c>
      <c r="H110" s="9">
        <f t="shared" si="10"/>
        <v>-3.6856123346118749E-2</v>
      </c>
      <c r="I110" s="9">
        <f t="shared" si="11"/>
        <v>-1.5672254954381439E-2</v>
      </c>
    </row>
    <row r="111" spans="1:9" x14ac:dyDescent="0.25">
      <c r="A111" s="2">
        <v>45842</v>
      </c>
      <c r="B111" s="8">
        <v>3336.64</v>
      </c>
      <c r="C111" s="8">
        <v>36.935000000000002</v>
      </c>
      <c r="D111" s="8">
        <v>1396.12</v>
      </c>
      <c r="E111" s="8">
        <v>1138.03</v>
      </c>
      <c r="F111" s="9">
        <f t="shared" si="8"/>
        <v>3.0240725530733814E-3</v>
      </c>
      <c r="G111" s="9">
        <f t="shared" si="9"/>
        <v>2.3528402141055923E-3</v>
      </c>
      <c r="H111" s="9">
        <f t="shared" si="10"/>
        <v>1.7427431227534738E-2</v>
      </c>
      <c r="I111" s="9">
        <f t="shared" si="11"/>
        <v>-1.3347502398721983E-3</v>
      </c>
    </row>
    <row r="112" spans="1:9" x14ac:dyDescent="0.25">
      <c r="A112" s="2">
        <v>45845</v>
      </c>
      <c r="B112" s="8">
        <v>3335.61</v>
      </c>
      <c r="C112" s="8">
        <v>36.763800000000003</v>
      </c>
      <c r="D112" s="8">
        <v>1375</v>
      </c>
      <c r="E112" s="8">
        <v>1114.0899999999999</v>
      </c>
      <c r="F112" s="9">
        <f t="shared" si="8"/>
        <v>-3.0874143150556518E-4</v>
      </c>
      <c r="G112" s="9">
        <f t="shared" si="9"/>
        <v>-4.6459456040854313E-3</v>
      </c>
      <c r="H112" s="9">
        <f t="shared" si="10"/>
        <v>-1.5243229412693607E-2</v>
      </c>
      <c r="I112" s="9">
        <f t="shared" si="11"/>
        <v>-2.1260769207430748E-2</v>
      </c>
    </row>
    <row r="113" spans="1:9" x14ac:dyDescent="0.25">
      <c r="A113" s="2">
        <v>45846</v>
      </c>
      <c r="B113" s="8">
        <v>3300.7</v>
      </c>
      <c r="C113" s="8">
        <v>36.805</v>
      </c>
      <c r="D113" s="8">
        <v>1362</v>
      </c>
      <c r="E113" s="8">
        <v>1113.55</v>
      </c>
      <c r="F113" s="9">
        <f t="shared" si="8"/>
        <v>-1.0521003997553237E-2</v>
      </c>
      <c r="G113" s="9">
        <f t="shared" si="9"/>
        <v>1.1200401340534316E-3</v>
      </c>
      <c r="H113" s="9">
        <f t="shared" si="10"/>
        <v>-9.499523391214031E-3</v>
      </c>
      <c r="I113" s="9">
        <f t="shared" si="11"/>
        <v>-4.8481802317897125E-4</v>
      </c>
    </row>
    <row r="114" spans="1:9" x14ac:dyDescent="0.25">
      <c r="A114" s="2">
        <v>45847</v>
      </c>
      <c r="B114" s="8">
        <v>3313.723</v>
      </c>
      <c r="C114" s="8">
        <v>36.36</v>
      </c>
      <c r="D114" s="8">
        <v>1352.11</v>
      </c>
      <c r="E114" s="8">
        <v>1107.56</v>
      </c>
      <c r="F114" s="9">
        <f t="shared" si="8"/>
        <v>3.9377635291430717E-3</v>
      </c>
      <c r="G114" s="9">
        <f t="shared" si="9"/>
        <v>-1.2164436201391137E-2</v>
      </c>
      <c r="H114" s="9">
        <f t="shared" si="10"/>
        <v>-7.2878724694251515E-3</v>
      </c>
      <c r="I114" s="9">
        <f t="shared" si="11"/>
        <v>-5.3937126228033897E-3</v>
      </c>
    </row>
    <row r="115" spans="1:9" x14ac:dyDescent="0.25">
      <c r="A115" s="2">
        <v>45848</v>
      </c>
      <c r="B115" s="8">
        <v>3323.07</v>
      </c>
      <c r="C115" s="8">
        <v>37.055</v>
      </c>
      <c r="D115" s="8">
        <v>1365.49</v>
      </c>
      <c r="E115" s="8">
        <v>1144.57</v>
      </c>
      <c r="F115" s="9">
        <f t="shared" si="8"/>
        <v>2.8167237338491257E-3</v>
      </c>
      <c r="G115" s="9">
        <f t="shared" si="9"/>
        <v>1.8934026094044112E-2</v>
      </c>
      <c r="H115" s="9">
        <f t="shared" si="10"/>
        <v>9.8470033221219385E-3</v>
      </c>
      <c r="I115" s="9">
        <f t="shared" si="11"/>
        <v>3.2869623077753186E-2</v>
      </c>
    </row>
    <row r="116" spans="1:9" x14ac:dyDescent="0.25">
      <c r="A116" s="2">
        <v>45849</v>
      </c>
      <c r="B116" s="8">
        <v>3355.9050000000002</v>
      </c>
      <c r="C116" s="8">
        <v>38.375</v>
      </c>
      <c r="D116" s="8">
        <v>1403.03</v>
      </c>
      <c r="E116" s="8">
        <v>1220</v>
      </c>
      <c r="F116" s="9">
        <f t="shared" si="8"/>
        <v>9.8324262423310476E-3</v>
      </c>
      <c r="G116" s="9">
        <f t="shared" si="9"/>
        <v>3.5002910504039107E-2</v>
      </c>
      <c r="H116" s="9">
        <f t="shared" si="10"/>
        <v>2.712084506294591E-2</v>
      </c>
      <c r="I116" s="9">
        <f t="shared" si="11"/>
        <v>6.3821838125493829E-2</v>
      </c>
    </row>
    <row r="117" spans="1:9" x14ac:dyDescent="0.25">
      <c r="A117" s="2">
        <v>45852</v>
      </c>
      <c r="B117" s="8">
        <v>3343.8</v>
      </c>
      <c r="C117" s="8">
        <v>38.159999999999997</v>
      </c>
      <c r="D117" s="8">
        <v>1367.6</v>
      </c>
      <c r="E117" s="8">
        <v>1197.02</v>
      </c>
      <c r="F117" s="9">
        <f t="shared" si="8"/>
        <v>-3.6135958739468613E-3</v>
      </c>
      <c r="G117" s="9">
        <f t="shared" si="9"/>
        <v>-5.6183593272755442E-3</v>
      </c>
      <c r="H117" s="9">
        <f t="shared" si="10"/>
        <v>-2.557680485995428E-2</v>
      </c>
      <c r="I117" s="9">
        <f t="shared" si="11"/>
        <v>-1.9015723871152412E-2</v>
      </c>
    </row>
    <row r="118" spans="1:9" x14ac:dyDescent="0.25">
      <c r="A118" s="2">
        <v>45853</v>
      </c>
      <c r="B118" s="8">
        <v>3322.63</v>
      </c>
      <c r="C118" s="8">
        <v>37.74</v>
      </c>
      <c r="D118" s="8">
        <v>1376</v>
      </c>
      <c r="E118" s="8">
        <v>1210</v>
      </c>
      <c r="F118" s="9">
        <f t="shared" si="8"/>
        <v>-6.3512468183120965E-3</v>
      </c>
      <c r="G118" s="9">
        <f t="shared" si="9"/>
        <v>-1.1067306639681449E-2</v>
      </c>
      <c r="H118" s="9">
        <f t="shared" si="10"/>
        <v>6.1233607281427245E-3</v>
      </c>
      <c r="I118" s="9">
        <f t="shared" si="11"/>
        <v>1.078522473463695E-2</v>
      </c>
    </row>
    <row r="119" spans="1:9" x14ac:dyDescent="0.25">
      <c r="A119" s="2">
        <v>45854</v>
      </c>
      <c r="B119" s="8">
        <v>3346.585</v>
      </c>
      <c r="C119" s="8">
        <v>37.965000000000003</v>
      </c>
      <c r="D119" s="8">
        <v>1420.3</v>
      </c>
      <c r="E119" s="8">
        <v>1233.55</v>
      </c>
      <c r="F119" s="9">
        <f t="shared" si="8"/>
        <v>7.1837849041954272E-3</v>
      </c>
      <c r="G119" s="9">
        <f t="shared" si="9"/>
        <v>5.9441427247928945E-3</v>
      </c>
      <c r="H119" s="9">
        <f t="shared" si="10"/>
        <v>3.1687377393793272E-2</v>
      </c>
      <c r="I119" s="9">
        <f t="shared" si="11"/>
        <v>1.9275831619930409E-2</v>
      </c>
    </row>
    <row r="120" spans="1:9" x14ac:dyDescent="0.25">
      <c r="A120" s="2">
        <v>45855</v>
      </c>
      <c r="B120" s="8">
        <v>3338.9520000000002</v>
      </c>
      <c r="C120" s="8">
        <v>38.14</v>
      </c>
      <c r="D120" s="8">
        <v>1462.5</v>
      </c>
      <c r="E120" s="8">
        <v>1283.92</v>
      </c>
      <c r="F120" s="9">
        <f t="shared" si="8"/>
        <v>-2.283437610649231E-3</v>
      </c>
      <c r="G120" s="9">
        <f t="shared" si="9"/>
        <v>4.5989175070759499E-3</v>
      </c>
      <c r="H120" s="9">
        <f t="shared" si="10"/>
        <v>2.9279183218929243E-2</v>
      </c>
      <c r="I120" s="9">
        <f t="shared" si="11"/>
        <v>4.0021706802183643E-2</v>
      </c>
    </row>
    <row r="121" spans="1:9" x14ac:dyDescent="0.25">
      <c r="A121" s="2">
        <v>45856</v>
      </c>
      <c r="B121" s="8">
        <v>3350.395</v>
      </c>
      <c r="C121" s="8">
        <v>38.195</v>
      </c>
      <c r="D121" s="8">
        <v>1425.29</v>
      </c>
      <c r="E121" s="8">
        <v>1244.5</v>
      </c>
      <c r="F121" s="9">
        <f t="shared" si="8"/>
        <v>3.4212640372029706E-3</v>
      </c>
      <c r="G121" s="9">
        <f t="shared" si="9"/>
        <v>1.4410168210499303E-3</v>
      </c>
      <c r="H121" s="9">
        <f t="shared" si="10"/>
        <v>-2.5771998336431939E-2</v>
      </c>
      <c r="I121" s="9">
        <f t="shared" si="11"/>
        <v>-3.1184055205254163E-2</v>
      </c>
    </row>
    <row r="122" spans="1:9" x14ac:dyDescent="0.25">
      <c r="A122" s="2">
        <v>45859</v>
      </c>
      <c r="B122" s="8">
        <v>3395.8</v>
      </c>
      <c r="C122" s="8">
        <v>38.94</v>
      </c>
      <c r="D122" s="8">
        <v>1443.16</v>
      </c>
      <c r="E122" s="8">
        <v>1267.58</v>
      </c>
      <c r="F122" s="9">
        <f t="shared" si="8"/>
        <v>1.346112456592875E-2</v>
      </c>
      <c r="G122" s="9">
        <f t="shared" si="9"/>
        <v>1.931738295073053E-2</v>
      </c>
      <c r="H122" s="9">
        <f t="shared" si="10"/>
        <v>1.2459851968426272E-2</v>
      </c>
      <c r="I122" s="9">
        <f t="shared" si="11"/>
        <v>1.837572803674584E-2</v>
      </c>
    </row>
    <row r="123" spans="1:9" x14ac:dyDescent="0.25">
      <c r="A123" s="2">
        <v>45860</v>
      </c>
      <c r="B123" s="8">
        <v>3431.498</v>
      </c>
      <c r="C123" s="8">
        <v>39.305</v>
      </c>
      <c r="D123" s="8">
        <v>1446.79</v>
      </c>
      <c r="E123" s="8">
        <v>1277.54</v>
      </c>
      <c r="F123" s="9">
        <f t="shared" si="8"/>
        <v>1.0457526631113269E-2</v>
      </c>
      <c r="G123" s="9">
        <f t="shared" si="9"/>
        <v>9.3297373016661429E-3</v>
      </c>
      <c r="H123" s="9">
        <f t="shared" si="10"/>
        <v>2.5121555106868039E-3</v>
      </c>
      <c r="I123" s="9">
        <f t="shared" si="11"/>
        <v>7.8267828978818028E-3</v>
      </c>
    </row>
    <row r="124" spans="1:9" x14ac:dyDescent="0.25">
      <c r="A124" s="2">
        <v>45861</v>
      </c>
      <c r="B124" s="8">
        <v>3387.7849999999999</v>
      </c>
      <c r="C124" s="8">
        <v>39.305</v>
      </c>
      <c r="D124" s="8">
        <v>1416.02</v>
      </c>
      <c r="E124" s="8">
        <v>1281.57</v>
      </c>
      <c r="F124" s="9">
        <f t="shared" si="8"/>
        <v>-1.2820585022709149E-2</v>
      </c>
      <c r="G124" s="9">
        <f t="shared" si="9"/>
        <v>0</v>
      </c>
      <c r="H124" s="9">
        <f t="shared" si="10"/>
        <v>-2.1497189800989237E-2</v>
      </c>
      <c r="I124" s="9">
        <f t="shared" si="11"/>
        <v>3.1495350581429065E-3</v>
      </c>
    </row>
    <row r="125" spans="1:9" x14ac:dyDescent="0.25">
      <c r="A125" s="2">
        <v>45862</v>
      </c>
      <c r="B125" s="8">
        <v>3368.1550000000002</v>
      </c>
      <c r="C125" s="8">
        <v>39.104999999999997</v>
      </c>
      <c r="D125" s="8">
        <v>1412.29</v>
      </c>
      <c r="E125" s="8">
        <v>1231.52</v>
      </c>
      <c r="F125" s="9">
        <f t="shared" si="8"/>
        <v>-5.8111988093772259E-3</v>
      </c>
      <c r="G125" s="9">
        <f t="shared" si="9"/>
        <v>-5.1014011921451238E-3</v>
      </c>
      <c r="H125" s="9">
        <f t="shared" si="10"/>
        <v>-2.6376190463406851E-3</v>
      </c>
      <c r="I125" s="9">
        <f t="shared" si="11"/>
        <v>-3.9836710014409922E-2</v>
      </c>
    </row>
    <row r="126" spans="1:9" x14ac:dyDescent="0.25">
      <c r="A126" s="2">
        <v>45863</v>
      </c>
      <c r="B126" s="8">
        <v>3337.1750000000002</v>
      </c>
      <c r="C126" s="8">
        <v>38.17</v>
      </c>
      <c r="D126" s="8">
        <v>1406</v>
      </c>
      <c r="E126" s="8">
        <v>1222.76</v>
      </c>
      <c r="F126" s="9">
        <f t="shared" si="8"/>
        <v>-9.2404759911593106E-3</v>
      </c>
      <c r="G126" s="9">
        <f t="shared" si="9"/>
        <v>-2.4200469296436228E-2</v>
      </c>
      <c r="H126" s="9">
        <f t="shared" si="10"/>
        <v>-4.4637070307525558E-3</v>
      </c>
      <c r="I126" s="9">
        <f t="shared" si="11"/>
        <v>-7.1385801133337203E-3</v>
      </c>
    </row>
    <row r="127" spans="1:9" x14ac:dyDescent="0.25">
      <c r="A127" s="2">
        <v>45866</v>
      </c>
      <c r="B127" s="8">
        <v>3314.645</v>
      </c>
      <c r="C127" s="8">
        <v>38.19</v>
      </c>
      <c r="D127" s="8">
        <v>1394</v>
      </c>
      <c r="E127" s="8">
        <v>1249.52</v>
      </c>
      <c r="F127" s="9">
        <f t="shared" si="8"/>
        <v>-6.7741117936935408E-3</v>
      </c>
      <c r="G127" s="9">
        <f t="shared" si="9"/>
        <v>5.2383448028644347E-4</v>
      </c>
      <c r="H127" s="9">
        <f t="shared" si="10"/>
        <v>-8.5714810501410568E-3</v>
      </c>
      <c r="I127" s="9">
        <f t="shared" si="11"/>
        <v>2.1648878876793426E-2</v>
      </c>
    </row>
    <row r="128" spans="1:9" x14ac:dyDescent="0.25">
      <c r="A128" s="2">
        <v>45867</v>
      </c>
      <c r="B128" s="8">
        <v>3326.8429999999998</v>
      </c>
      <c r="C128" s="8">
        <v>38.215000000000003</v>
      </c>
      <c r="D128" s="8">
        <v>1399</v>
      </c>
      <c r="E128" s="8">
        <v>1262</v>
      </c>
      <c r="F128" s="9">
        <f t="shared" si="8"/>
        <v>3.6732773485691731E-3</v>
      </c>
      <c r="G128" s="9">
        <f t="shared" si="9"/>
        <v>6.5440745742262655E-4</v>
      </c>
      <c r="H128" s="9">
        <f t="shared" si="10"/>
        <v>3.5803833450120501E-3</v>
      </c>
      <c r="I128" s="9">
        <f t="shared" si="11"/>
        <v>9.938286551691565E-3</v>
      </c>
    </row>
    <row r="129" spans="1:9" x14ac:dyDescent="0.25">
      <c r="A129" s="2">
        <v>45868</v>
      </c>
      <c r="B129" s="8">
        <v>3275.252</v>
      </c>
      <c r="C129" s="8">
        <v>37.15</v>
      </c>
      <c r="D129" s="8">
        <v>1317</v>
      </c>
      <c r="E129" s="8">
        <v>1209.04</v>
      </c>
      <c r="F129" s="9">
        <f t="shared" si="8"/>
        <v>-1.5628993570652224E-2</v>
      </c>
      <c r="G129" s="9">
        <f t="shared" si="9"/>
        <v>-2.8264337531079375E-2</v>
      </c>
      <c r="H129" s="9">
        <f t="shared" si="10"/>
        <v>-6.0401272922200121E-2</v>
      </c>
      <c r="I129" s="9">
        <f t="shared" si="11"/>
        <v>-4.2871107839293293E-2</v>
      </c>
    </row>
    <row r="130" spans="1:9" x14ac:dyDescent="0.25">
      <c r="A130" s="2">
        <v>45869</v>
      </c>
      <c r="B130" s="8">
        <v>3290.3249999999998</v>
      </c>
      <c r="C130" s="8">
        <v>36.765000000000001</v>
      </c>
      <c r="D130" s="8">
        <v>1293</v>
      </c>
      <c r="E130" s="8">
        <v>1194.52</v>
      </c>
      <c r="F130" s="9">
        <f t="shared" si="8"/>
        <v>4.5915314011064088E-3</v>
      </c>
      <c r="G130" s="9">
        <f t="shared" si="9"/>
        <v>-1.0417465515582567E-2</v>
      </c>
      <c r="H130" s="9">
        <f t="shared" si="10"/>
        <v>-1.8391322971423544E-2</v>
      </c>
      <c r="I130" s="9">
        <f t="shared" si="11"/>
        <v>-1.2082225228886865E-2</v>
      </c>
    </row>
    <row r="131" spans="1:9" x14ac:dyDescent="0.25">
      <c r="A131" s="2">
        <v>45870</v>
      </c>
      <c r="B131" s="8">
        <v>3362.8829999999998</v>
      </c>
      <c r="C131" s="8">
        <v>37.045000000000002</v>
      </c>
      <c r="D131" s="8">
        <v>1318.5</v>
      </c>
      <c r="E131" s="8">
        <v>1212.1400000000001</v>
      </c>
      <c r="F131" s="9">
        <f t="shared" si="8"/>
        <v>2.1812297694216682E-2</v>
      </c>
      <c r="G131" s="9">
        <f t="shared" si="9"/>
        <v>7.5870842204347026E-3</v>
      </c>
      <c r="H131" s="9">
        <f t="shared" si="10"/>
        <v>1.9529627021483878E-2</v>
      </c>
      <c r="I131" s="9">
        <f t="shared" si="11"/>
        <v>1.4642961476491186E-2</v>
      </c>
    </row>
    <row r="132" spans="1:9" x14ac:dyDescent="0.25">
      <c r="A132" s="2">
        <v>45873</v>
      </c>
      <c r="B132" s="8">
        <v>3373.375</v>
      </c>
      <c r="C132" s="8">
        <v>37.417299999999997</v>
      </c>
      <c r="D132" s="8">
        <v>1333</v>
      </c>
      <c r="E132" s="8">
        <v>1210</v>
      </c>
      <c r="F132" s="9">
        <f t="shared" ref="F132:F195" si="12">LN(B132/B131)</f>
        <v>3.1150851063944094E-3</v>
      </c>
      <c r="G132" s="9">
        <f t="shared" ref="G132:G195" si="13">LN(C132/C131)</f>
        <v>9.9997744457228383E-3</v>
      </c>
      <c r="H132" s="9">
        <f t="shared" ref="H132:H195" si="14">LN(D132/D131)</f>
        <v>1.0937314385367257E-2</v>
      </c>
      <c r="I132" s="9">
        <f t="shared" ref="I132:I195" si="15">LN(E132/E131)</f>
        <v>-1.7670329186826707E-3</v>
      </c>
    </row>
    <row r="133" spans="1:9" x14ac:dyDescent="0.25">
      <c r="A133" s="2">
        <v>45874</v>
      </c>
      <c r="B133" s="8">
        <v>3381.2649999999999</v>
      </c>
      <c r="C133" s="8">
        <v>37.86</v>
      </c>
      <c r="D133" s="8">
        <v>1324.5</v>
      </c>
      <c r="E133" s="8">
        <v>1178.6400000000001</v>
      </c>
      <c r="F133" s="9">
        <f t="shared" si="12"/>
        <v>2.3361729384363274E-3</v>
      </c>
      <c r="G133" s="9">
        <f t="shared" si="13"/>
        <v>1.1761981466833793E-2</v>
      </c>
      <c r="H133" s="9">
        <f t="shared" si="14"/>
        <v>-6.3970114665842237E-3</v>
      </c>
      <c r="I133" s="9">
        <f t="shared" si="15"/>
        <v>-2.625912819168786E-2</v>
      </c>
    </row>
    <row r="134" spans="1:9" x14ac:dyDescent="0.25">
      <c r="A134" s="2">
        <v>45875</v>
      </c>
      <c r="B134" s="8">
        <v>3369.0419999999999</v>
      </c>
      <c r="C134" s="8">
        <v>37.875</v>
      </c>
      <c r="D134" s="8">
        <v>1337.85</v>
      </c>
      <c r="E134" s="8">
        <v>1135.53</v>
      </c>
      <c r="F134" s="9">
        <f t="shared" si="12"/>
        <v>-3.6214688780095402E-3</v>
      </c>
      <c r="G134" s="9">
        <f t="shared" si="13"/>
        <v>3.9611804835641272E-4</v>
      </c>
      <c r="H134" s="9">
        <f t="shared" si="14"/>
        <v>1.0028818068201644E-2</v>
      </c>
      <c r="I134" s="9">
        <f t="shared" si="15"/>
        <v>-3.7261729123229725E-2</v>
      </c>
    </row>
    <row r="135" spans="1:9" x14ac:dyDescent="0.25">
      <c r="A135" s="2">
        <v>45876</v>
      </c>
      <c r="B135" s="8">
        <v>3397.31</v>
      </c>
      <c r="C135" s="8">
        <v>38.335000000000001</v>
      </c>
      <c r="D135" s="8">
        <v>1338</v>
      </c>
      <c r="E135" s="8">
        <v>1155</v>
      </c>
      <c r="F135" s="9">
        <f t="shared" si="12"/>
        <v>8.3555110522337273E-3</v>
      </c>
      <c r="G135" s="9">
        <f t="shared" si="13"/>
        <v>1.2072053181324621E-2</v>
      </c>
      <c r="H135" s="9">
        <f t="shared" si="14"/>
        <v>1.1211390784785558E-4</v>
      </c>
      <c r="I135" s="9">
        <f t="shared" si="15"/>
        <v>1.7000841680024664E-2</v>
      </c>
    </row>
    <row r="136" spans="1:9" x14ac:dyDescent="0.25">
      <c r="A136" s="2">
        <v>45877</v>
      </c>
      <c r="B136" s="8">
        <v>3398.78</v>
      </c>
      <c r="C136" s="8">
        <v>38.35</v>
      </c>
      <c r="D136" s="8">
        <v>1335.5</v>
      </c>
      <c r="E136" s="8">
        <v>1130</v>
      </c>
      <c r="F136" s="9">
        <f t="shared" si="12"/>
        <v>4.3260169389323726E-4</v>
      </c>
      <c r="G136" s="9">
        <f t="shared" si="13"/>
        <v>3.9121080240753068E-4</v>
      </c>
      <c r="H136" s="9">
        <f t="shared" si="14"/>
        <v>-1.8702081381581871E-3</v>
      </c>
      <c r="I136" s="9">
        <f t="shared" si="15"/>
        <v>-2.1882711249507709E-2</v>
      </c>
    </row>
    <row r="137" spans="1:9" x14ac:dyDescent="0.25">
      <c r="A137" s="2">
        <v>45880</v>
      </c>
      <c r="B137" s="8">
        <v>3344.8330000000001</v>
      </c>
      <c r="C137" s="8">
        <v>37.609099999999998</v>
      </c>
      <c r="D137" s="8">
        <v>1331.44</v>
      </c>
      <c r="E137" s="8">
        <v>1139.54</v>
      </c>
      <c r="F137" s="9">
        <f t="shared" si="12"/>
        <v>-1.5999776627837262E-2</v>
      </c>
      <c r="G137" s="9">
        <f t="shared" si="13"/>
        <v>-1.9508485423245365E-2</v>
      </c>
      <c r="H137" s="9">
        <f t="shared" si="14"/>
        <v>-3.0446902715444545E-3</v>
      </c>
      <c r="I137" s="9">
        <f t="shared" si="15"/>
        <v>8.407039478654137E-3</v>
      </c>
    </row>
    <row r="138" spans="1:9" x14ac:dyDescent="0.25">
      <c r="A138" s="2">
        <v>45881</v>
      </c>
      <c r="B138" s="8">
        <v>3346.2</v>
      </c>
      <c r="C138" s="8">
        <v>37.914999999999999</v>
      </c>
      <c r="D138" s="8">
        <v>1340.79</v>
      </c>
      <c r="E138" s="8">
        <v>1133.51</v>
      </c>
      <c r="F138" s="9">
        <f t="shared" si="12"/>
        <v>4.0860656912597963E-4</v>
      </c>
      <c r="G138" s="9">
        <f t="shared" si="13"/>
        <v>8.1007697628788979E-3</v>
      </c>
      <c r="H138" s="9">
        <f t="shared" si="14"/>
        <v>6.9979291876444156E-3</v>
      </c>
      <c r="I138" s="9">
        <f t="shared" si="15"/>
        <v>-5.3056590443477363E-3</v>
      </c>
    </row>
    <row r="139" spans="1:9" x14ac:dyDescent="0.25">
      <c r="A139" s="2">
        <v>45882</v>
      </c>
      <c r="B139" s="8">
        <v>3354.73</v>
      </c>
      <c r="C139" s="8">
        <v>38.520000000000003</v>
      </c>
      <c r="D139" s="8">
        <v>1343</v>
      </c>
      <c r="E139" s="8">
        <v>1126.55</v>
      </c>
      <c r="F139" s="9">
        <f t="shared" si="12"/>
        <v>2.5459166436307083E-3</v>
      </c>
      <c r="G139" s="9">
        <f t="shared" si="13"/>
        <v>1.5830774777026137E-2</v>
      </c>
      <c r="H139" s="9">
        <f t="shared" si="14"/>
        <v>1.6469250571220901E-3</v>
      </c>
      <c r="I139" s="9">
        <f t="shared" si="15"/>
        <v>-6.1591479892980187E-3</v>
      </c>
    </row>
    <row r="140" spans="1:9" x14ac:dyDescent="0.25">
      <c r="A140" s="2">
        <v>45883</v>
      </c>
      <c r="B140" s="8">
        <v>3336.5</v>
      </c>
      <c r="C140" s="8">
        <v>38.0154</v>
      </c>
      <c r="D140" s="8">
        <v>1361.05</v>
      </c>
      <c r="E140" s="8">
        <v>1149.5899999999999</v>
      </c>
      <c r="F140" s="9">
        <f t="shared" si="12"/>
        <v>-5.4489369235324325E-3</v>
      </c>
      <c r="G140" s="9">
        <f t="shared" si="13"/>
        <v>-1.3186246142578188E-2</v>
      </c>
      <c r="H140" s="9">
        <f t="shared" si="14"/>
        <v>1.3350543146288816E-2</v>
      </c>
      <c r="I140" s="9">
        <f t="shared" si="15"/>
        <v>2.0245491897785774E-2</v>
      </c>
    </row>
    <row r="141" spans="1:9" x14ac:dyDescent="0.25">
      <c r="A141" s="2">
        <v>45884</v>
      </c>
      <c r="B141" s="8">
        <v>3335.39</v>
      </c>
      <c r="C141" s="8">
        <v>38.015000000000001</v>
      </c>
      <c r="D141" s="8">
        <v>1339</v>
      </c>
      <c r="E141" s="8">
        <v>1117</v>
      </c>
      <c r="F141" s="9">
        <f t="shared" si="12"/>
        <v>-3.3273930182943073E-4</v>
      </c>
      <c r="G141" s="9">
        <f t="shared" si="13"/>
        <v>-1.0522106946751893E-5</v>
      </c>
      <c r="H141" s="9">
        <f t="shared" si="14"/>
        <v>-1.6333393978353851E-2</v>
      </c>
      <c r="I141" s="9">
        <f t="shared" si="15"/>
        <v>-2.8758836979979739E-2</v>
      </c>
    </row>
    <row r="142" spans="1:9" x14ac:dyDescent="0.25">
      <c r="A142" s="2">
        <v>45887</v>
      </c>
      <c r="B142" s="8">
        <v>3330.5450000000001</v>
      </c>
      <c r="C142" s="8">
        <v>38.034999999999997</v>
      </c>
      <c r="D142" s="8">
        <v>1327</v>
      </c>
      <c r="E142" s="8">
        <v>1126.51</v>
      </c>
      <c r="F142" s="9">
        <f t="shared" si="12"/>
        <v>-1.4536597951149326E-3</v>
      </c>
      <c r="G142" s="9">
        <f t="shared" si="13"/>
        <v>5.259697688643223E-4</v>
      </c>
      <c r="H142" s="9">
        <f t="shared" si="14"/>
        <v>-9.0023113589649765E-3</v>
      </c>
      <c r="I142" s="9">
        <f t="shared" si="15"/>
        <v>8.4778378165160928E-3</v>
      </c>
    </row>
    <row r="143" spans="1:9" x14ac:dyDescent="0.25">
      <c r="A143" s="2">
        <v>45888</v>
      </c>
      <c r="B143" s="8">
        <v>3315.4650000000001</v>
      </c>
      <c r="C143" s="8">
        <v>37.395000000000003</v>
      </c>
      <c r="D143" s="8">
        <v>1310</v>
      </c>
      <c r="E143" s="8">
        <v>1119.06</v>
      </c>
      <c r="F143" s="9">
        <f t="shared" si="12"/>
        <v>-4.5380689706672776E-3</v>
      </c>
      <c r="G143" s="9">
        <f t="shared" si="13"/>
        <v>-1.6969782805633417E-2</v>
      </c>
      <c r="H143" s="9">
        <f t="shared" si="14"/>
        <v>-1.2893618137010265E-2</v>
      </c>
      <c r="I143" s="9">
        <f t="shared" si="15"/>
        <v>-6.6353107083059332E-3</v>
      </c>
    </row>
    <row r="144" spans="1:9" x14ac:dyDescent="0.25">
      <c r="A144" s="2">
        <v>45889</v>
      </c>
      <c r="B144" s="8">
        <v>3347.105</v>
      </c>
      <c r="C144" s="8">
        <v>37.908700000000003</v>
      </c>
      <c r="D144" s="8">
        <v>1343.5</v>
      </c>
      <c r="E144" s="8">
        <v>1118.5</v>
      </c>
      <c r="F144" s="9">
        <f t="shared" si="12"/>
        <v>9.4979078205585724E-3</v>
      </c>
      <c r="G144" s="9">
        <f t="shared" si="13"/>
        <v>1.3643631553033954E-2</v>
      </c>
      <c r="H144" s="9">
        <f t="shared" si="14"/>
        <v>2.5251011860348734E-2</v>
      </c>
      <c r="I144" s="9">
        <f t="shared" si="15"/>
        <v>-5.0054524722653072E-4</v>
      </c>
    </row>
    <row r="145" spans="1:9" x14ac:dyDescent="0.25">
      <c r="A145" s="2">
        <v>45890</v>
      </c>
      <c r="B145" s="8">
        <v>3338.8150000000001</v>
      </c>
      <c r="C145" s="8">
        <v>38.19</v>
      </c>
      <c r="D145" s="8">
        <v>1357.5</v>
      </c>
      <c r="E145" s="8">
        <v>1114.53</v>
      </c>
      <c r="F145" s="9">
        <f t="shared" si="12"/>
        <v>-2.4798394980349169E-3</v>
      </c>
      <c r="G145" s="9">
        <f t="shared" si="13"/>
        <v>7.3930640407597501E-3</v>
      </c>
      <c r="H145" s="9">
        <f t="shared" si="14"/>
        <v>1.0366623752544544E-2</v>
      </c>
      <c r="I145" s="9">
        <f t="shared" si="15"/>
        <v>-3.5557105661371672E-3</v>
      </c>
    </row>
    <row r="146" spans="1:9" x14ac:dyDescent="0.25">
      <c r="A146" s="2">
        <v>45891</v>
      </c>
      <c r="B146" s="8">
        <v>3372.105</v>
      </c>
      <c r="C146" s="8">
        <v>38.847499999999997</v>
      </c>
      <c r="D146" s="8">
        <v>1364.78</v>
      </c>
      <c r="E146" s="8">
        <v>1130.01</v>
      </c>
      <c r="F146" s="9">
        <f t="shared" si="12"/>
        <v>9.9212248284063498E-3</v>
      </c>
      <c r="G146" s="9">
        <f t="shared" si="13"/>
        <v>1.7070023441327346E-2</v>
      </c>
      <c r="H146" s="9">
        <f t="shared" si="14"/>
        <v>5.3484706601690081E-3</v>
      </c>
      <c r="I146" s="9">
        <f t="shared" si="15"/>
        <v>1.3793690860704066E-2</v>
      </c>
    </row>
    <row r="147" spans="1:9" x14ac:dyDescent="0.25">
      <c r="A147" s="2">
        <v>45894</v>
      </c>
      <c r="B147" s="8">
        <v>3366.79</v>
      </c>
      <c r="C147" s="8">
        <v>38.575000000000003</v>
      </c>
      <c r="D147" s="8">
        <v>1346</v>
      </c>
      <c r="E147" s="8">
        <v>1090.06</v>
      </c>
      <c r="F147" s="9">
        <f t="shared" si="12"/>
        <v>-1.5774102733684195E-3</v>
      </c>
      <c r="G147" s="9">
        <f t="shared" si="13"/>
        <v>-7.0393264295274443E-3</v>
      </c>
      <c r="H147" s="9">
        <f t="shared" si="14"/>
        <v>-1.3856012263586306E-2</v>
      </c>
      <c r="I147" s="9">
        <f t="shared" si="15"/>
        <v>-3.5993741644970705E-2</v>
      </c>
    </row>
    <row r="148" spans="1:9" x14ac:dyDescent="0.25">
      <c r="A148" s="2">
        <v>45895</v>
      </c>
      <c r="B148" s="8">
        <v>3392.875</v>
      </c>
      <c r="C148" s="8">
        <v>38.615000000000002</v>
      </c>
      <c r="D148" s="8">
        <v>1352.5</v>
      </c>
      <c r="E148" s="8">
        <v>1098.5</v>
      </c>
      <c r="F148" s="9">
        <f t="shared" si="12"/>
        <v>7.7178763979072317E-3</v>
      </c>
      <c r="G148" s="9">
        <f t="shared" si="13"/>
        <v>1.0364037720026163E-3</v>
      </c>
      <c r="H148" s="9">
        <f t="shared" si="14"/>
        <v>4.8175005159634557E-3</v>
      </c>
      <c r="I148" s="9">
        <f t="shared" si="15"/>
        <v>7.7128722448844E-3</v>
      </c>
    </row>
    <row r="149" spans="1:9" x14ac:dyDescent="0.25">
      <c r="A149" s="2">
        <v>45896</v>
      </c>
      <c r="B149" s="8">
        <v>3397.4250000000002</v>
      </c>
      <c r="C149" s="8">
        <v>38.638500000000001</v>
      </c>
      <c r="D149" s="8">
        <v>1351</v>
      </c>
      <c r="E149" s="8">
        <v>1096</v>
      </c>
      <c r="F149" s="9">
        <f t="shared" si="12"/>
        <v>1.3401471749352274E-3</v>
      </c>
      <c r="G149" s="9">
        <f t="shared" si="13"/>
        <v>6.083866938026935E-4</v>
      </c>
      <c r="H149" s="9">
        <f t="shared" si="14"/>
        <v>-1.1096727604376772E-3</v>
      </c>
      <c r="I149" s="9">
        <f t="shared" si="15"/>
        <v>-2.2784243167041011E-3</v>
      </c>
    </row>
    <row r="150" spans="1:9" x14ac:dyDescent="0.25">
      <c r="A150" s="2">
        <v>45897</v>
      </c>
      <c r="B150" s="8">
        <v>3417.2</v>
      </c>
      <c r="C150" s="8">
        <v>39.094999999999999</v>
      </c>
      <c r="D150" s="8">
        <v>1363.44</v>
      </c>
      <c r="E150" s="8">
        <v>1106.51</v>
      </c>
      <c r="F150" s="9">
        <f t="shared" si="12"/>
        <v>5.8037105510098672E-3</v>
      </c>
      <c r="G150" s="9">
        <f t="shared" si="13"/>
        <v>1.1745392861447341E-2</v>
      </c>
      <c r="H150" s="9">
        <f t="shared" si="14"/>
        <v>9.1658589567822843E-3</v>
      </c>
      <c r="I150" s="9">
        <f t="shared" si="15"/>
        <v>9.5437294479540271E-3</v>
      </c>
    </row>
    <row r="151" spans="1:9" x14ac:dyDescent="0.25">
      <c r="A151" s="2">
        <v>45898</v>
      </c>
      <c r="B151" s="8">
        <v>3447.9949999999999</v>
      </c>
      <c r="C151" s="8">
        <v>39.695</v>
      </c>
      <c r="D151" s="8">
        <v>1367.91</v>
      </c>
      <c r="E151" s="8">
        <v>1114.0999999999999</v>
      </c>
      <c r="F151" s="9">
        <f t="shared" si="12"/>
        <v>8.9714003890594817E-3</v>
      </c>
      <c r="G151" s="9">
        <f t="shared" si="13"/>
        <v>1.5230653600599388E-2</v>
      </c>
      <c r="H151" s="9">
        <f t="shared" si="14"/>
        <v>3.2731096276080109E-3</v>
      </c>
      <c r="I151" s="9">
        <f t="shared" si="15"/>
        <v>6.8359861093559406E-3</v>
      </c>
    </row>
    <row r="152" spans="1:9" x14ac:dyDescent="0.25">
      <c r="A152" s="2">
        <v>45901</v>
      </c>
      <c r="B152" s="8">
        <v>3476.47</v>
      </c>
      <c r="C152" s="8">
        <v>40.699599999999997</v>
      </c>
      <c r="D152" s="8">
        <v>1404</v>
      </c>
      <c r="E152" s="8">
        <v>1140.03</v>
      </c>
      <c r="F152" s="9">
        <f t="shared" si="12"/>
        <v>8.2245084666984214E-3</v>
      </c>
      <c r="G152" s="9">
        <f t="shared" si="13"/>
        <v>2.4993029213349234E-2</v>
      </c>
      <c r="H152" s="9">
        <f t="shared" si="14"/>
        <v>2.604127804116721E-2</v>
      </c>
      <c r="I152" s="9">
        <f t="shared" si="15"/>
        <v>2.3007673766489687E-2</v>
      </c>
    </row>
    <row r="153" spans="1:9" x14ac:dyDescent="0.25">
      <c r="A153" s="2">
        <v>45902</v>
      </c>
      <c r="B153" s="8">
        <v>3533.7350000000001</v>
      </c>
      <c r="C153" s="8">
        <v>40.914999999999999</v>
      </c>
      <c r="D153" s="8">
        <v>1407</v>
      </c>
      <c r="E153" s="8">
        <v>1138.54</v>
      </c>
      <c r="F153" s="9">
        <f t="shared" si="12"/>
        <v>1.6337974083114676E-2</v>
      </c>
      <c r="G153" s="9">
        <f t="shared" si="13"/>
        <v>5.2784795889190472E-3</v>
      </c>
      <c r="H153" s="9">
        <f t="shared" si="14"/>
        <v>2.1344725286326196E-3</v>
      </c>
      <c r="I153" s="9">
        <f t="shared" si="15"/>
        <v>-1.3078379969714751E-3</v>
      </c>
    </row>
    <row r="154" spans="1:9" x14ac:dyDescent="0.25">
      <c r="A154" s="2">
        <v>45903</v>
      </c>
      <c r="B154" s="8">
        <v>3559.4349999999999</v>
      </c>
      <c r="C154" s="8">
        <v>41.215000000000003</v>
      </c>
      <c r="D154" s="8">
        <v>1425</v>
      </c>
      <c r="E154" s="8">
        <v>1151.54</v>
      </c>
      <c r="F154" s="9">
        <f t="shared" si="12"/>
        <v>7.2464391691454636E-3</v>
      </c>
      <c r="G154" s="9">
        <f t="shared" si="13"/>
        <v>7.3055237858459972E-3</v>
      </c>
      <c r="H154" s="9">
        <f t="shared" si="14"/>
        <v>1.2712035588361944E-2</v>
      </c>
      <c r="I154" s="9">
        <f t="shared" si="15"/>
        <v>1.1353437121799745E-2</v>
      </c>
    </row>
    <row r="155" spans="1:9" x14ac:dyDescent="0.25">
      <c r="A155" s="2">
        <v>45904</v>
      </c>
      <c r="B155" s="8">
        <v>3546.17</v>
      </c>
      <c r="C155" s="8">
        <v>40.695</v>
      </c>
      <c r="D155" s="8">
        <v>1371.5</v>
      </c>
      <c r="E155" s="8">
        <v>1131.56</v>
      </c>
      <c r="F155" s="9">
        <f t="shared" si="12"/>
        <v>-3.7336765581202761E-3</v>
      </c>
      <c r="G155" s="9">
        <f t="shared" si="13"/>
        <v>-1.2697032986186204E-2</v>
      </c>
      <c r="H155" s="9">
        <f t="shared" si="14"/>
        <v>-3.8266782325092938E-2</v>
      </c>
      <c r="I155" s="9">
        <f t="shared" si="15"/>
        <v>-1.7502965333507158E-2</v>
      </c>
    </row>
    <row r="156" spans="1:9" x14ac:dyDescent="0.25">
      <c r="A156" s="2">
        <v>45905</v>
      </c>
      <c r="B156" s="8">
        <v>3586.8150000000001</v>
      </c>
      <c r="C156" s="8">
        <v>41.005000000000003</v>
      </c>
      <c r="D156" s="8">
        <v>1376.35</v>
      </c>
      <c r="E156" s="8">
        <v>1113.8</v>
      </c>
      <c r="F156" s="9">
        <f t="shared" si="12"/>
        <v>1.1396474242455802E-2</v>
      </c>
      <c r="G156" s="9">
        <f t="shared" si="13"/>
        <v>7.5887757093698006E-3</v>
      </c>
      <c r="H156" s="9">
        <f t="shared" si="14"/>
        <v>3.5300362366088071E-3</v>
      </c>
      <c r="I156" s="9">
        <f t="shared" si="15"/>
        <v>-1.5819619467513531E-2</v>
      </c>
    </row>
    <row r="157" spans="1:9" x14ac:dyDescent="0.25">
      <c r="A157" s="2">
        <v>45908</v>
      </c>
      <c r="B157" s="8">
        <v>3635.8449999999998</v>
      </c>
      <c r="C157" s="8">
        <v>41.354999999999997</v>
      </c>
      <c r="D157" s="8">
        <v>1387.19</v>
      </c>
      <c r="E157" s="8">
        <v>1137.54</v>
      </c>
      <c r="F157" s="9">
        <f t="shared" si="12"/>
        <v>1.3576924055973176E-2</v>
      </c>
      <c r="G157" s="9">
        <f t="shared" si="13"/>
        <v>8.4993226554950039E-3</v>
      </c>
      <c r="H157" s="9">
        <f t="shared" si="14"/>
        <v>7.8450506201681799E-3</v>
      </c>
      <c r="I157" s="9">
        <f t="shared" si="15"/>
        <v>2.1090443886433857E-2</v>
      </c>
    </row>
    <row r="158" spans="1:9" x14ac:dyDescent="0.25">
      <c r="A158" s="2">
        <v>45909</v>
      </c>
      <c r="B158" s="8">
        <v>3626.48</v>
      </c>
      <c r="C158" s="8">
        <v>40.905000000000001</v>
      </c>
      <c r="D158" s="8">
        <v>1372</v>
      </c>
      <c r="E158" s="8">
        <v>1152.04</v>
      </c>
      <c r="F158" s="9">
        <f t="shared" si="12"/>
        <v>-2.5790652968578267E-3</v>
      </c>
      <c r="G158" s="9">
        <f t="shared" si="13"/>
        <v>-1.0941028178208074E-2</v>
      </c>
      <c r="H158" s="9">
        <f t="shared" si="14"/>
        <v>-1.1010588948604334E-2</v>
      </c>
      <c r="I158" s="9">
        <f t="shared" si="15"/>
        <v>1.2666247833254303E-2</v>
      </c>
    </row>
    <row r="159" spans="1:9" x14ac:dyDescent="0.25">
      <c r="A159" s="2">
        <v>45910</v>
      </c>
      <c r="B159" s="8">
        <v>3640.7420000000002</v>
      </c>
      <c r="C159" s="8">
        <v>41.17</v>
      </c>
      <c r="D159" s="8">
        <v>1390</v>
      </c>
      <c r="E159" s="8">
        <v>1177.02</v>
      </c>
      <c r="F159" s="9">
        <f t="shared" si="12"/>
        <v>3.9250261818959391E-3</v>
      </c>
      <c r="G159" s="9">
        <f t="shared" si="13"/>
        <v>6.4575308161518132E-3</v>
      </c>
      <c r="H159" s="9">
        <f t="shared" si="14"/>
        <v>1.3034217838906906E-2</v>
      </c>
      <c r="I159" s="9">
        <f t="shared" si="15"/>
        <v>2.1451536594092966E-2</v>
      </c>
    </row>
    <row r="160" spans="1:9" x14ac:dyDescent="0.25">
      <c r="A160" s="2">
        <v>45911</v>
      </c>
      <c r="B160" s="8">
        <v>3634.0929999999998</v>
      </c>
      <c r="C160" s="8">
        <v>41.585000000000001</v>
      </c>
      <c r="D160" s="8">
        <v>1382.6</v>
      </c>
      <c r="E160" s="8">
        <v>1191.99</v>
      </c>
      <c r="F160" s="9">
        <f t="shared" si="12"/>
        <v>-1.8279457476097587E-3</v>
      </c>
      <c r="G160" s="9">
        <f t="shared" si="13"/>
        <v>1.0029689538837429E-2</v>
      </c>
      <c r="H160" s="9">
        <f t="shared" si="14"/>
        <v>-5.3379626135729163E-3</v>
      </c>
      <c r="I160" s="9">
        <f t="shared" si="15"/>
        <v>1.2638358859010804E-2</v>
      </c>
    </row>
    <row r="161" spans="1:9" x14ac:dyDescent="0.25">
      <c r="A161" s="2">
        <v>45912</v>
      </c>
      <c r="B161" s="8">
        <v>3643.125</v>
      </c>
      <c r="C161" s="8">
        <v>42.195</v>
      </c>
      <c r="D161" s="8">
        <v>1394.55</v>
      </c>
      <c r="E161" s="8">
        <v>1201.0999999999999</v>
      </c>
      <c r="F161" s="9">
        <f t="shared" si="12"/>
        <v>2.4822685365955615E-3</v>
      </c>
      <c r="G161" s="9">
        <f t="shared" si="13"/>
        <v>1.4562205289279036E-2</v>
      </c>
      <c r="H161" s="9">
        <f t="shared" si="14"/>
        <v>8.6059980588119849E-3</v>
      </c>
      <c r="I161" s="9">
        <f t="shared" si="15"/>
        <v>7.6136242320843997E-3</v>
      </c>
    </row>
    <row r="162" spans="1:9" x14ac:dyDescent="0.25">
      <c r="A162" s="2">
        <v>45915</v>
      </c>
      <c r="B162" s="8">
        <v>3679.1329999999998</v>
      </c>
      <c r="C162" s="8">
        <v>42.734999999999999</v>
      </c>
      <c r="D162" s="8">
        <v>1405</v>
      </c>
      <c r="E162" s="8">
        <v>1187.6600000000001</v>
      </c>
      <c r="F162" s="9">
        <f t="shared" si="12"/>
        <v>9.8352967795477496E-3</v>
      </c>
      <c r="G162" s="9">
        <f t="shared" si="13"/>
        <v>1.2716526008051421E-2</v>
      </c>
      <c r="H162" s="9">
        <f t="shared" si="14"/>
        <v>7.465520197869553E-3</v>
      </c>
      <c r="I162" s="9">
        <f t="shared" si="15"/>
        <v>-1.1252818885736038E-2</v>
      </c>
    </row>
    <row r="163" spans="1:9" x14ac:dyDescent="0.25">
      <c r="A163" s="2">
        <v>45916</v>
      </c>
      <c r="B163" s="8">
        <v>3689.8020000000001</v>
      </c>
      <c r="C163" s="8">
        <v>42.57</v>
      </c>
      <c r="D163" s="8">
        <v>1394.5</v>
      </c>
      <c r="E163" s="8">
        <v>1179.52</v>
      </c>
      <c r="F163" s="9">
        <f t="shared" si="12"/>
        <v>2.8956714789549237E-3</v>
      </c>
      <c r="G163" s="9">
        <f t="shared" si="13"/>
        <v>-3.8684767779203176E-3</v>
      </c>
      <c r="H163" s="9">
        <f t="shared" si="14"/>
        <v>-7.5013747003025502E-3</v>
      </c>
      <c r="I163" s="9">
        <f t="shared" si="15"/>
        <v>-6.8774086333048242E-3</v>
      </c>
    </row>
    <row r="164" spans="1:9" x14ac:dyDescent="0.25">
      <c r="A164" s="2">
        <v>45917</v>
      </c>
      <c r="B164" s="8">
        <v>3660.0419999999999</v>
      </c>
      <c r="C164" s="8">
        <v>41.68</v>
      </c>
      <c r="D164" s="8">
        <v>1367.28</v>
      </c>
      <c r="E164" s="8">
        <v>1157.53</v>
      </c>
      <c r="F164" s="9">
        <f t="shared" si="12"/>
        <v>-8.098175318910791E-3</v>
      </c>
      <c r="G164" s="9">
        <f t="shared" si="13"/>
        <v>-2.1128382394949494E-2</v>
      </c>
      <c r="H164" s="9">
        <f t="shared" si="14"/>
        <v>-1.9712563227293887E-2</v>
      </c>
      <c r="I164" s="9">
        <f t="shared" si="15"/>
        <v>-1.8819151490312418E-2</v>
      </c>
    </row>
    <row r="165" spans="1:9" x14ac:dyDescent="0.25">
      <c r="A165" s="2">
        <v>45918</v>
      </c>
      <c r="B165" s="8">
        <v>3644.3620000000001</v>
      </c>
      <c r="C165" s="8">
        <v>41.825000000000003</v>
      </c>
      <c r="D165" s="8">
        <v>1388</v>
      </c>
      <c r="E165" s="8">
        <v>1154.3499999999999</v>
      </c>
      <c r="F165" s="9">
        <f t="shared" si="12"/>
        <v>-4.2933069104899892E-3</v>
      </c>
      <c r="G165" s="9">
        <f t="shared" si="13"/>
        <v>3.4728494277762732E-3</v>
      </c>
      <c r="H165" s="9">
        <f t="shared" si="14"/>
        <v>1.5040497226500015E-2</v>
      </c>
      <c r="I165" s="9">
        <f t="shared" si="15"/>
        <v>-2.7510095727581799E-3</v>
      </c>
    </row>
    <row r="166" spans="1:9" x14ac:dyDescent="0.25">
      <c r="A166" s="2">
        <v>45919</v>
      </c>
      <c r="B166" s="8">
        <v>3684.9749999999999</v>
      </c>
      <c r="C166" s="8">
        <v>43.104999999999997</v>
      </c>
      <c r="D166" s="8">
        <v>1408.09</v>
      </c>
      <c r="E166" s="8">
        <v>1153.02</v>
      </c>
      <c r="F166" s="9">
        <f t="shared" si="12"/>
        <v>1.1082425510992202E-2</v>
      </c>
      <c r="G166" s="9">
        <f t="shared" si="13"/>
        <v>3.0144752789000487E-2</v>
      </c>
      <c r="H166" s="9">
        <f t="shared" si="14"/>
        <v>1.4370314062958004E-2</v>
      </c>
      <c r="I166" s="9">
        <f t="shared" si="15"/>
        <v>-1.1528278059424982E-3</v>
      </c>
    </row>
    <row r="167" spans="1:9" x14ac:dyDescent="0.25">
      <c r="A167" s="2">
        <v>45922</v>
      </c>
      <c r="B167" s="8">
        <v>3746.4749999999999</v>
      </c>
      <c r="C167" s="8">
        <v>44.104999999999997</v>
      </c>
      <c r="D167" s="8">
        <v>1420.91</v>
      </c>
      <c r="E167" s="8">
        <v>1182.52</v>
      </c>
      <c r="F167" s="9">
        <f t="shared" si="12"/>
        <v>1.6551656547491762E-2</v>
      </c>
      <c r="G167" s="9">
        <f t="shared" si="13"/>
        <v>2.2934155048841821E-2</v>
      </c>
      <c r="H167" s="9">
        <f t="shared" si="14"/>
        <v>9.0633352825047146E-3</v>
      </c>
      <c r="I167" s="9">
        <f t="shared" si="15"/>
        <v>2.5263167369907684E-2</v>
      </c>
    </row>
    <row r="168" spans="1:9" x14ac:dyDescent="0.25">
      <c r="A168" s="2">
        <v>45923</v>
      </c>
      <c r="B168" s="8">
        <v>3764.192</v>
      </c>
      <c r="C168" s="8">
        <v>44.04</v>
      </c>
      <c r="D168" s="8">
        <v>1482.11</v>
      </c>
      <c r="E168" s="8">
        <v>1223.04</v>
      </c>
      <c r="F168" s="9">
        <f t="shared" si="12"/>
        <v>4.7178320812201087E-3</v>
      </c>
      <c r="G168" s="9">
        <f t="shared" si="13"/>
        <v>-1.4748428562510435E-3</v>
      </c>
      <c r="H168" s="9">
        <f t="shared" si="14"/>
        <v>4.216923671094551E-2</v>
      </c>
      <c r="I168" s="9">
        <f t="shared" si="15"/>
        <v>3.3691808069555247E-2</v>
      </c>
    </row>
    <row r="169" spans="1:9" x14ac:dyDescent="0.25">
      <c r="A169" s="2">
        <v>45924</v>
      </c>
      <c r="B169" s="8">
        <v>3736.2919999999999</v>
      </c>
      <c r="C169" s="8">
        <v>43.935000000000002</v>
      </c>
      <c r="D169" s="8">
        <v>1476</v>
      </c>
      <c r="E169" s="8">
        <v>1213.52</v>
      </c>
      <c r="F169" s="9">
        <f t="shared" si="12"/>
        <v>-7.439554215855764E-3</v>
      </c>
      <c r="G169" s="9">
        <f t="shared" si="13"/>
        <v>-2.3870429066726877E-3</v>
      </c>
      <c r="H169" s="9">
        <f t="shared" si="14"/>
        <v>-4.1310219627403756E-3</v>
      </c>
      <c r="I169" s="9">
        <f t="shared" si="15"/>
        <v>-7.8143353284365821E-3</v>
      </c>
    </row>
    <row r="170" spans="1:9" x14ac:dyDescent="0.25">
      <c r="A170" s="2">
        <v>45925</v>
      </c>
      <c r="B170" s="8">
        <v>3749.37</v>
      </c>
      <c r="C170" s="8">
        <v>45.244999999999997</v>
      </c>
      <c r="D170" s="8">
        <v>1533.51</v>
      </c>
      <c r="E170" s="8">
        <v>1253.52</v>
      </c>
      <c r="F170" s="9">
        <f t="shared" si="12"/>
        <v>3.4941500981115164E-3</v>
      </c>
      <c r="G170" s="9">
        <f t="shared" si="13"/>
        <v>2.9380897855289856E-2</v>
      </c>
      <c r="H170" s="9">
        <f t="shared" si="14"/>
        <v>3.8223499402949473E-2</v>
      </c>
      <c r="I170" s="9">
        <f t="shared" si="15"/>
        <v>3.2430366512736022E-2</v>
      </c>
    </row>
    <row r="171" spans="1:9" x14ac:dyDescent="0.25">
      <c r="A171" s="2">
        <v>45926</v>
      </c>
      <c r="B171" s="8">
        <v>3760.2350000000001</v>
      </c>
      <c r="C171" s="8">
        <v>46.026200000000003</v>
      </c>
      <c r="D171" s="8">
        <v>1571.55</v>
      </c>
      <c r="E171" s="8">
        <v>1274.01</v>
      </c>
      <c r="F171" s="9">
        <f t="shared" si="12"/>
        <v>2.8936295800208881E-3</v>
      </c>
      <c r="G171" s="9">
        <f t="shared" si="13"/>
        <v>1.711863276268499E-2</v>
      </c>
      <c r="H171" s="9">
        <f t="shared" si="14"/>
        <v>2.4503167903716372E-2</v>
      </c>
      <c r="I171" s="9">
        <f t="shared" si="15"/>
        <v>1.6213812598713753E-2</v>
      </c>
    </row>
    <row r="172" spans="1:9" x14ac:dyDescent="0.25">
      <c r="A172" s="2">
        <v>45929</v>
      </c>
      <c r="B172" s="8">
        <v>3833.933</v>
      </c>
      <c r="C172" s="8">
        <v>46.954999999999998</v>
      </c>
      <c r="D172" s="8">
        <v>1605.17</v>
      </c>
      <c r="E172" s="8">
        <v>1271.1600000000001</v>
      </c>
      <c r="F172" s="9">
        <f t="shared" si="12"/>
        <v>1.9409713800299232E-2</v>
      </c>
      <c r="G172" s="9">
        <f t="shared" si="13"/>
        <v>1.99788966907954E-2</v>
      </c>
      <c r="H172" s="9">
        <f t="shared" si="14"/>
        <v>2.1167276491126409E-2</v>
      </c>
      <c r="I172" s="9">
        <f t="shared" si="15"/>
        <v>-2.239536998461614E-3</v>
      </c>
    </row>
    <row r="173" spans="1:9" x14ac:dyDescent="0.25">
      <c r="A173" s="2">
        <v>45930</v>
      </c>
      <c r="B173" s="8">
        <v>3858.5120000000002</v>
      </c>
      <c r="C173" s="8">
        <v>46.695</v>
      </c>
      <c r="D173" s="8">
        <v>1577.77</v>
      </c>
      <c r="E173" s="8">
        <v>1260.51</v>
      </c>
      <c r="F173" s="9">
        <f t="shared" si="12"/>
        <v>6.3904476784719094E-3</v>
      </c>
      <c r="G173" s="9">
        <f t="shared" si="13"/>
        <v>-5.5526036948957032E-3</v>
      </c>
      <c r="H173" s="9">
        <f t="shared" si="14"/>
        <v>-1.7217212294692506E-2</v>
      </c>
      <c r="I173" s="9">
        <f t="shared" si="15"/>
        <v>-8.4134684401216894E-3</v>
      </c>
    </row>
    <row r="174" spans="1:9" x14ac:dyDescent="0.25">
      <c r="A174" s="2">
        <v>45931</v>
      </c>
      <c r="B174" s="8">
        <v>3865.8020000000001</v>
      </c>
      <c r="C174" s="8">
        <v>47.344999999999999</v>
      </c>
      <c r="D174" s="8">
        <v>1560.5</v>
      </c>
      <c r="E174" s="8">
        <v>1248.51</v>
      </c>
      <c r="F174" s="9">
        <f t="shared" si="12"/>
        <v>1.8875468201890893E-3</v>
      </c>
      <c r="G174" s="9">
        <f t="shared" si="13"/>
        <v>1.382412487378218E-2</v>
      </c>
      <c r="H174" s="9">
        <f t="shared" si="14"/>
        <v>-1.1006174952683351E-2</v>
      </c>
      <c r="I174" s="9">
        <f t="shared" si="15"/>
        <v>-9.5655606569984755E-3</v>
      </c>
    </row>
    <row r="175" spans="1:9" x14ac:dyDescent="0.25">
      <c r="A175" s="2">
        <v>45932</v>
      </c>
      <c r="B175" s="8">
        <v>3856.53</v>
      </c>
      <c r="C175" s="8">
        <v>46.99</v>
      </c>
      <c r="D175" s="8">
        <v>1573.13</v>
      </c>
      <c r="E175" s="8">
        <v>1244.52</v>
      </c>
      <c r="F175" s="9">
        <f t="shared" si="12"/>
        <v>-2.4013483117694377E-3</v>
      </c>
      <c r="G175" s="9">
        <f t="shared" si="13"/>
        <v>-7.5264043207390625E-3</v>
      </c>
      <c r="H175" s="9">
        <f t="shared" si="14"/>
        <v>8.0609825606638413E-3</v>
      </c>
      <c r="I175" s="9">
        <f t="shared" si="15"/>
        <v>-3.2009269096418495E-3</v>
      </c>
    </row>
    <row r="176" spans="1:9" x14ac:dyDescent="0.25">
      <c r="A176" s="2">
        <v>45933</v>
      </c>
      <c r="B176" s="8">
        <v>3886.835</v>
      </c>
      <c r="C176" s="8">
        <v>47.997500000000002</v>
      </c>
      <c r="D176" s="8">
        <v>1608.6</v>
      </c>
      <c r="E176" s="8">
        <v>1264.75</v>
      </c>
      <c r="F176" s="9">
        <f t="shared" si="12"/>
        <v>7.8273863435371852E-3</v>
      </c>
      <c r="G176" s="9">
        <f t="shared" si="13"/>
        <v>2.121411310344935E-2</v>
      </c>
      <c r="H176" s="9">
        <f t="shared" si="14"/>
        <v>2.2296970198470663E-2</v>
      </c>
      <c r="I176" s="9">
        <f t="shared" si="15"/>
        <v>1.6124560782402386E-2</v>
      </c>
    </row>
    <row r="177" spans="1:9" x14ac:dyDescent="0.25">
      <c r="A177" s="2">
        <v>45936</v>
      </c>
      <c r="B177" s="8">
        <v>3961.09</v>
      </c>
      <c r="C177" s="8">
        <v>48.555</v>
      </c>
      <c r="D177" s="8">
        <v>1629.5</v>
      </c>
      <c r="E177" s="8">
        <v>1323</v>
      </c>
      <c r="F177" s="9">
        <f t="shared" si="12"/>
        <v>1.8924038137128073E-2</v>
      </c>
      <c r="G177" s="9">
        <f t="shared" si="13"/>
        <v>1.1548249828143524E-2</v>
      </c>
      <c r="H177" s="9">
        <f t="shared" si="14"/>
        <v>1.2908983807647594E-2</v>
      </c>
      <c r="I177" s="9">
        <f t="shared" si="15"/>
        <v>4.5027410942910281E-2</v>
      </c>
    </row>
    <row r="178" spans="1:9" x14ac:dyDescent="0.25">
      <c r="A178" s="2">
        <v>45937</v>
      </c>
      <c r="B178" s="8">
        <v>3983.82</v>
      </c>
      <c r="C178" s="8">
        <v>47.844999999999999</v>
      </c>
      <c r="D178" s="8">
        <v>1622</v>
      </c>
      <c r="E178" s="8">
        <v>1341.5</v>
      </c>
      <c r="F178" s="9">
        <f t="shared" si="12"/>
        <v>5.7219180621651865E-3</v>
      </c>
      <c r="G178" s="9">
        <f t="shared" si="13"/>
        <v>-1.4730556815091231E-2</v>
      </c>
      <c r="H178" s="9">
        <f t="shared" si="14"/>
        <v>-4.613263602258018E-3</v>
      </c>
      <c r="I178" s="9">
        <f t="shared" si="15"/>
        <v>1.3886505750723149E-2</v>
      </c>
    </row>
    <row r="179" spans="1:9" x14ac:dyDescent="0.25">
      <c r="A179" s="2">
        <v>45938</v>
      </c>
      <c r="B179" s="8">
        <v>4038.9</v>
      </c>
      <c r="C179" s="8">
        <v>48.905000000000001</v>
      </c>
      <c r="D179" s="8">
        <v>1666.7</v>
      </c>
      <c r="E179" s="8">
        <v>1453.03</v>
      </c>
      <c r="F179" s="9">
        <f t="shared" si="12"/>
        <v>1.3731219692381157E-2</v>
      </c>
      <c r="G179" s="9">
        <f t="shared" si="13"/>
        <v>2.1913021511229987E-2</v>
      </c>
      <c r="H179" s="9">
        <f t="shared" si="14"/>
        <v>2.7185667872772191E-2</v>
      </c>
      <c r="I179" s="9">
        <f t="shared" si="15"/>
        <v>7.9862640428829887E-2</v>
      </c>
    </row>
    <row r="180" spans="1:9" x14ac:dyDescent="0.25">
      <c r="A180" s="2">
        <v>45939</v>
      </c>
      <c r="B180" s="8">
        <v>3976.2950000000001</v>
      </c>
      <c r="C180" s="8">
        <v>49.14</v>
      </c>
      <c r="D180" s="8">
        <v>1622.5</v>
      </c>
      <c r="E180" s="8">
        <v>1415.04</v>
      </c>
      <c r="F180" s="9">
        <f t="shared" si="12"/>
        <v>-1.5621896458133624E-2</v>
      </c>
      <c r="G180" s="9">
        <f t="shared" si="13"/>
        <v>4.7937263505767663E-3</v>
      </c>
      <c r="H180" s="9">
        <f t="shared" si="14"/>
        <v>-2.6877453969885359E-2</v>
      </c>
      <c r="I180" s="9">
        <f t="shared" si="15"/>
        <v>-2.6493232065481986E-2</v>
      </c>
    </row>
    <row r="181" spans="1:9" x14ac:dyDescent="0.25">
      <c r="A181" s="2">
        <v>45940</v>
      </c>
      <c r="B181" s="8">
        <v>4018.2959999999998</v>
      </c>
      <c r="C181" s="8">
        <v>50.295000000000002</v>
      </c>
      <c r="D181" s="8">
        <v>1590.95</v>
      </c>
      <c r="E181" s="8">
        <v>1409.01</v>
      </c>
      <c r="F181" s="9">
        <f t="shared" si="12"/>
        <v>1.0507450958111368E-2</v>
      </c>
      <c r="G181" s="9">
        <f t="shared" si="13"/>
        <v>2.3232301493268416E-2</v>
      </c>
      <c r="H181" s="9">
        <f t="shared" si="14"/>
        <v>-1.9636847509902428E-2</v>
      </c>
      <c r="I181" s="9">
        <f t="shared" si="15"/>
        <v>-4.2704691234523202E-3</v>
      </c>
    </row>
    <row r="182" spans="1:9" x14ac:dyDescent="0.25">
      <c r="A182" s="2">
        <v>45943</v>
      </c>
      <c r="B182" s="8">
        <v>4110.7030000000004</v>
      </c>
      <c r="C182" s="8">
        <v>52.349899999999998</v>
      </c>
      <c r="D182" s="8">
        <v>1649.51</v>
      </c>
      <c r="E182" s="8">
        <v>1478.02</v>
      </c>
      <c r="F182" s="9">
        <f t="shared" si="12"/>
        <v>2.2736127938975934E-2</v>
      </c>
      <c r="G182" s="9">
        <f t="shared" si="13"/>
        <v>4.0044358508744438E-2</v>
      </c>
      <c r="H182" s="9">
        <f t="shared" si="14"/>
        <v>3.6146952025081593E-2</v>
      </c>
      <c r="I182" s="9">
        <f t="shared" si="15"/>
        <v>4.7816024110747986E-2</v>
      </c>
    </row>
    <row r="183" spans="1:9" x14ac:dyDescent="0.25">
      <c r="A183" s="2">
        <v>45944</v>
      </c>
      <c r="B183" s="8">
        <v>4142.3159999999998</v>
      </c>
      <c r="C183" s="8">
        <v>51.47</v>
      </c>
      <c r="D183" s="8">
        <v>1641.81</v>
      </c>
      <c r="E183" s="8">
        <v>1529.01</v>
      </c>
      <c r="F183" s="9">
        <f t="shared" si="12"/>
        <v>7.6609915997647811E-3</v>
      </c>
      <c r="G183" s="9">
        <f t="shared" si="13"/>
        <v>-1.6950913430382943E-2</v>
      </c>
      <c r="H183" s="9">
        <f t="shared" si="14"/>
        <v>-4.6789823219398037E-3</v>
      </c>
      <c r="I183" s="9">
        <f t="shared" si="15"/>
        <v>3.3917112913720272E-2</v>
      </c>
    </row>
    <row r="184" spans="1:9" x14ac:dyDescent="0.25">
      <c r="A184" s="2">
        <v>45945</v>
      </c>
      <c r="B184" s="8">
        <v>4208.5860000000002</v>
      </c>
      <c r="C184" s="8">
        <v>53.094999999999999</v>
      </c>
      <c r="D184" s="8">
        <v>1658</v>
      </c>
      <c r="E184" s="8">
        <v>1540.04</v>
      </c>
      <c r="F184" s="9">
        <f t="shared" si="12"/>
        <v>1.5871672585089213E-2</v>
      </c>
      <c r="G184" s="9">
        <f t="shared" si="13"/>
        <v>3.1083648191145723E-2</v>
      </c>
      <c r="H184" s="9">
        <f t="shared" si="14"/>
        <v>9.8127649237558633E-3</v>
      </c>
      <c r="I184" s="9">
        <f t="shared" si="15"/>
        <v>7.1879229662869292E-3</v>
      </c>
    </row>
    <row r="185" spans="1:9" x14ac:dyDescent="0.25">
      <c r="A185" s="2">
        <v>45946</v>
      </c>
      <c r="B185" s="8">
        <v>4326.1840000000002</v>
      </c>
      <c r="C185" s="8">
        <v>54.274999999999999</v>
      </c>
      <c r="D185" s="8">
        <v>1717.5</v>
      </c>
      <c r="E185" s="8">
        <v>1616.76</v>
      </c>
      <c r="F185" s="9">
        <f t="shared" si="12"/>
        <v>2.7559135849634944E-2</v>
      </c>
      <c r="G185" s="9">
        <f t="shared" si="13"/>
        <v>2.1980953908546569E-2</v>
      </c>
      <c r="H185" s="9">
        <f t="shared" si="14"/>
        <v>3.5257688401264191E-2</v>
      </c>
      <c r="I185" s="9">
        <f t="shared" si="15"/>
        <v>4.8615756459427006E-2</v>
      </c>
    </row>
    <row r="186" spans="1:9" x14ac:dyDescent="0.25">
      <c r="A186" s="2">
        <v>45947</v>
      </c>
      <c r="B186" s="8">
        <v>4249.9769999999999</v>
      </c>
      <c r="C186" s="8">
        <v>51.908700000000003</v>
      </c>
      <c r="D186" s="8">
        <v>1613.6</v>
      </c>
      <c r="E186" s="8">
        <v>1481.5</v>
      </c>
      <c r="F186" s="9">
        <f t="shared" si="12"/>
        <v>-1.7772288987628431E-2</v>
      </c>
      <c r="G186" s="9">
        <f t="shared" si="13"/>
        <v>-4.4577309583057216E-2</v>
      </c>
      <c r="H186" s="9">
        <f t="shared" si="14"/>
        <v>-6.2402037456502406E-2</v>
      </c>
      <c r="I186" s="9">
        <f t="shared" si="15"/>
        <v>-8.7369058542136696E-2</v>
      </c>
    </row>
    <row r="187" spans="1:9" x14ac:dyDescent="0.25">
      <c r="A187" s="2">
        <v>45950</v>
      </c>
      <c r="B187" s="8">
        <v>4356.5039999999999</v>
      </c>
      <c r="C187" s="8">
        <v>52.494999999999997</v>
      </c>
      <c r="D187" s="8">
        <v>1642.4</v>
      </c>
      <c r="E187" s="8">
        <v>1499.51</v>
      </c>
      <c r="F187" s="9">
        <f t="shared" si="12"/>
        <v>2.4756329700061308E-2</v>
      </c>
      <c r="G187" s="9">
        <f t="shared" si="13"/>
        <v>1.1231520785606386E-2</v>
      </c>
      <c r="H187" s="9">
        <f t="shared" si="14"/>
        <v>1.7690879064721981E-2</v>
      </c>
      <c r="I187" s="9">
        <f t="shared" si="15"/>
        <v>1.2083300042836757E-2</v>
      </c>
    </row>
    <row r="188" spans="1:9" x14ac:dyDescent="0.25">
      <c r="A188" s="2">
        <v>45951</v>
      </c>
      <c r="B188" s="8">
        <v>4125.1019999999999</v>
      </c>
      <c r="C188" s="8">
        <v>48.765000000000001</v>
      </c>
      <c r="D188" s="8">
        <v>1556</v>
      </c>
      <c r="E188" s="8">
        <v>1411.54</v>
      </c>
      <c r="F188" s="9">
        <f t="shared" si="12"/>
        <v>-5.4579154103379691E-2</v>
      </c>
      <c r="G188" s="9">
        <f t="shared" si="13"/>
        <v>-7.3705084542926208E-2</v>
      </c>
      <c r="H188" s="9">
        <f t="shared" si="14"/>
        <v>-5.4040160966386919E-2</v>
      </c>
      <c r="I188" s="9">
        <f t="shared" si="15"/>
        <v>-6.0457081117614928E-2</v>
      </c>
    </row>
    <row r="189" spans="1:9" x14ac:dyDescent="0.25">
      <c r="A189" s="2">
        <v>45952</v>
      </c>
      <c r="B189" s="8">
        <v>4094.07</v>
      </c>
      <c r="C189" s="8">
        <v>48.545000000000002</v>
      </c>
      <c r="D189" s="8">
        <v>1627.85</v>
      </c>
      <c r="E189" s="8">
        <v>1462.55</v>
      </c>
      <c r="F189" s="9">
        <f t="shared" si="12"/>
        <v>-7.5511614682553518E-3</v>
      </c>
      <c r="G189" s="9">
        <f t="shared" si="13"/>
        <v>-4.5216396018701354E-3</v>
      </c>
      <c r="H189" s="9">
        <f t="shared" si="14"/>
        <v>4.5141699987082277E-2</v>
      </c>
      <c r="I189" s="9">
        <f t="shared" si="15"/>
        <v>3.5500180616960385E-2</v>
      </c>
    </row>
    <row r="190" spans="1:9" x14ac:dyDescent="0.25">
      <c r="A190" s="2">
        <v>45953</v>
      </c>
      <c r="B190" s="8">
        <v>4126.1719999999996</v>
      </c>
      <c r="C190" s="8">
        <v>48.945</v>
      </c>
      <c r="D190" s="8">
        <v>1629.5</v>
      </c>
      <c r="E190" s="8">
        <v>1460.58</v>
      </c>
      <c r="F190" s="9">
        <f t="shared" si="12"/>
        <v>7.8105153585751267E-3</v>
      </c>
      <c r="G190" s="9">
        <f t="shared" si="13"/>
        <v>8.2060158912854193E-3</v>
      </c>
      <c r="H190" s="9">
        <f t="shared" si="14"/>
        <v>1.0130935521970345E-3</v>
      </c>
      <c r="I190" s="9">
        <f t="shared" si="15"/>
        <v>-1.3478704664183062E-3</v>
      </c>
    </row>
    <row r="191" spans="1:9" x14ac:dyDescent="0.25">
      <c r="A191" s="2">
        <v>45954</v>
      </c>
      <c r="B191" s="8">
        <v>4112.1019999999999</v>
      </c>
      <c r="C191" s="8">
        <v>48.612499999999997</v>
      </c>
      <c r="D191" s="8">
        <v>1609.8</v>
      </c>
      <c r="E191" s="8">
        <v>1432.58</v>
      </c>
      <c r="F191" s="9">
        <f t="shared" si="12"/>
        <v>-3.4157673512926921E-3</v>
      </c>
      <c r="G191" s="9">
        <f t="shared" si="13"/>
        <v>-6.8165192315280416E-3</v>
      </c>
      <c r="H191" s="9">
        <f t="shared" si="14"/>
        <v>-1.2163271617982812E-2</v>
      </c>
      <c r="I191" s="9">
        <f t="shared" si="15"/>
        <v>-1.9356602637504067E-2</v>
      </c>
    </row>
    <row r="192" spans="1:9" x14ac:dyDescent="0.25">
      <c r="A192" s="2">
        <v>45957</v>
      </c>
      <c r="B192" s="8">
        <v>3981.5929999999998</v>
      </c>
      <c r="C192" s="8">
        <v>46.914999999999999</v>
      </c>
      <c r="D192" s="8">
        <v>1594.5</v>
      </c>
      <c r="E192" s="8">
        <v>1406.52</v>
      </c>
      <c r="F192" s="9">
        <f t="shared" si="12"/>
        <v>-3.2252342819223956E-2</v>
      </c>
      <c r="G192" s="9">
        <f t="shared" si="13"/>
        <v>-3.5543245739852611E-2</v>
      </c>
      <c r="H192" s="9">
        <f t="shared" si="14"/>
        <v>-9.5497402095211341E-3</v>
      </c>
      <c r="I192" s="9">
        <f t="shared" si="15"/>
        <v>-1.8358445928790584E-2</v>
      </c>
    </row>
    <row r="193" spans="1:9" x14ac:dyDescent="0.25">
      <c r="A193" s="2">
        <v>45958</v>
      </c>
      <c r="B193" s="8">
        <v>3952.585</v>
      </c>
      <c r="C193" s="8">
        <v>47.064999999999998</v>
      </c>
      <c r="D193" s="8">
        <v>1590</v>
      </c>
      <c r="E193" s="8">
        <v>1397.51</v>
      </c>
      <c r="F193" s="9">
        <f t="shared" si="12"/>
        <v>-7.3121952268639023E-3</v>
      </c>
      <c r="G193" s="9">
        <f t="shared" si="13"/>
        <v>3.1921712571704626E-3</v>
      </c>
      <c r="H193" s="9">
        <f t="shared" si="14"/>
        <v>-2.8261912358350815E-3</v>
      </c>
      <c r="I193" s="9">
        <f t="shared" si="15"/>
        <v>-6.4264868843738349E-3</v>
      </c>
    </row>
    <row r="194" spans="1:9" x14ac:dyDescent="0.25">
      <c r="A194" s="2">
        <v>45959</v>
      </c>
      <c r="B194" s="8">
        <v>3930.38</v>
      </c>
      <c r="C194" s="8">
        <v>47.575000000000003</v>
      </c>
      <c r="D194" s="8">
        <v>1589</v>
      </c>
      <c r="E194" s="8">
        <v>1404.93</v>
      </c>
      <c r="F194" s="9">
        <f t="shared" si="12"/>
        <v>-5.6336819278485877E-3</v>
      </c>
      <c r="G194" s="9">
        <f t="shared" si="13"/>
        <v>1.0777788183029822E-2</v>
      </c>
      <c r="H194" s="9">
        <f t="shared" si="14"/>
        <v>-6.291286775612293E-4</v>
      </c>
      <c r="I194" s="9">
        <f t="shared" si="15"/>
        <v>5.2953978239136138E-3</v>
      </c>
    </row>
    <row r="195" spans="1:9" x14ac:dyDescent="0.25">
      <c r="A195" s="2">
        <v>45960</v>
      </c>
      <c r="B195" s="8">
        <v>4024.47</v>
      </c>
      <c r="C195" s="8">
        <v>48.93</v>
      </c>
      <c r="D195" s="8">
        <v>1614.5</v>
      </c>
      <c r="E195" s="8">
        <v>1449.06</v>
      </c>
      <c r="F195" s="9">
        <f t="shared" si="12"/>
        <v>2.3657111862965183E-2</v>
      </c>
      <c r="G195" s="9">
        <f t="shared" si="13"/>
        <v>2.808329211881885E-2</v>
      </c>
      <c r="H195" s="9">
        <f t="shared" si="14"/>
        <v>1.5920423661613847E-2</v>
      </c>
      <c r="I195" s="9">
        <f t="shared" si="15"/>
        <v>3.0927590868266009E-2</v>
      </c>
    </row>
    <row r="196" spans="1:9" x14ac:dyDescent="0.25">
      <c r="A196" s="2">
        <v>45961</v>
      </c>
      <c r="B196" s="8">
        <v>4002.28</v>
      </c>
      <c r="C196" s="8">
        <v>48.674999999999997</v>
      </c>
      <c r="D196" s="8">
        <v>1572.1</v>
      </c>
      <c r="E196" s="8">
        <v>1440</v>
      </c>
      <c r="F196" s="9">
        <f t="shared" ref="F196:F259" si="16">LN(B196/B195)</f>
        <v>-5.5290264501180793E-3</v>
      </c>
      <c r="G196" s="9">
        <f t="shared" ref="G196:G259" si="17">LN(C196/C195)</f>
        <v>-5.2251540427688684E-3</v>
      </c>
      <c r="H196" s="9">
        <f t="shared" ref="H196:H259" si="18">LN(D196/D195)</f>
        <v>-2.6613006000861777E-2</v>
      </c>
      <c r="I196" s="9">
        <f t="shared" ref="I196:I259" si="19">LN(E196/E195)</f>
        <v>-6.2719567608487629E-3</v>
      </c>
    </row>
    <row r="197" spans="1:9" x14ac:dyDescent="0.25">
      <c r="A197" s="2">
        <v>45964</v>
      </c>
      <c r="B197" s="8">
        <v>4001.67</v>
      </c>
      <c r="C197" s="8">
        <v>48.104999999999997</v>
      </c>
      <c r="D197" s="8">
        <v>1568.55</v>
      </c>
      <c r="E197" s="8">
        <v>1448.44</v>
      </c>
      <c r="F197" s="9">
        <f t="shared" si="16"/>
        <v>-1.5242474057965084E-4</v>
      </c>
      <c r="G197" s="9">
        <f t="shared" si="17"/>
        <v>-1.177942944503544E-2</v>
      </c>
      <c r="H197" s="9">
        <f t="shared" si="18"/>
        <v>-2.2606794847606707E-3</v>
      </c>
      <c r="I197" s="9">
        <f t="shared" si="19"/>
        <v>5.8440016205813143E-3</v>
      </c>
    </row>
    <row r="198" spans="1:9" x14ac:dyDescent="0.25">
      <c r="A198" s="2">
        <v>45965</v>
      </c>
      <c r="B198" s="8">
        <v>3932.0450000000001</v>
      </c>
      <c r="C198" s="8">
        <v>47.13</v>
      </c>
      <c r="D198" s="8">
        <v>1538.55</v>
      </c>
      <c r="E198" s="8">
        <v>1395.08</v>
      </c>
      <c r="F198" s="9">
        <f t="shared" si="16"/>
        <v>-1.7552127214106837E-2</v>
      </c>
      <c r="G198" s="9">
        <f t="shared" si="17"/>
        <v>-2.0476380877588355E-2</v>
      </c>
      <c r="H198" s="9">
        <f t="shared" si="18"/>
        <v>-1.931121129117783E-2</v>
      </c>
      <c r="I198" s="9">
        <f t="shared" si="19"/>
        <v>-3.7535353909225563E-2</v>
      </c>
    </row>
    <row r="199" spans="1:9" x14ac:dyDescent="0.25">
      <c r="A199" s="2">
        <v>45966</v>
      </c>
      <c r="B199" s="8">
        <v>3982.6149999999998</v>
      </c>
      <c r="C199" s="8">
        <v>48.070999999999998</v>
      </c>
      <c r="D199" s="8">
        <v>1567.05</v>
      </c>
      <c r="E199" s="8">
        <v>1423.12</v>
      </c>
      <c r="F199" s="9">
        <f t="shared" si="16"/>
        <v>1.2778991942205558E-2</v>
      </c>
      <c r="G199" s="9">
        <f t="shared" si="17"/>
        <v>1.9769343749481732E-2</v>
      </c>
      <c r="H199" s="9">
        <f t="shared" si="18"/>
        <v>1.835445653009694E-2</v>
      </c>
      <c r="I199" s="9">
        <f t="shared" si="19"/>
        <v>1.9899883135612088E-2</v>
      </c>
    </row>
    <row r="200" spans="1:9" x14ac:dyDescent="0.25">
      <c r="A200" s="2">
        <v>45967</v>
      </c>
      <c r="B200" s="8">
        <v>3977.8649999999998</v>
      </c>
      <c r="C200" s="8">
        <v>48.015000000000001</v>
      </c>
      <c r="D200" s="8">
        <v>1544.8</v>
      </c>
      <c r="E200" s="8">
        <v>1378.21</v>
      </c>
      <c r="F200" s="9">
        <f t="shared" si="16"/>
        <v>-1.1933955147787462E-3</v>
      </c>
      <c r="G200" s="9">
        <f t="shared" si="17"/>
        <v>-1.1656225951852048E-3</v>
      </c>
      <c r="H200" s="9">
        <f t="shared" si="18"/>
        <v>-1.4300418837321938E-2</v>
      </c>
      <c r="I200" s="9">
        <f t="shared" si="19"/>
        <v>-3.2066088679278203E-2</v>
      </c>
    </row>
    <row r="201" spans="1:9" x14ac:dyDescent="0.25">
      <c r="A201" s="2">
        <v>45968</v>
      </c>
      <c r="B201" s="8">
        <v>3999.72</v>
      </c>
      <c r="C201" s="8">
        <v>48.338299999999997</v>
      </c>
      <c r="D201" s="8">
        <v>1550.4</v>
      </c>
      <c r="E201" s="8">
        <v>1383.56</v>
      </c>
      <c r="F201" s="9">
        <f t="shared" si="16"/>
        <v>5.4791154654408045E-3</v>
      </c>
      <c r="G201" s="9">
        <f t="shared" si="17"/>
        <v>6.7107450039128351E-3</v>
      </c>
      <c r="H201" s="9">
        <f t="shared" si="18"/>
        <v>3.6185100221972229E-3</v>
      </c>
      <c r="I201" s="9">
        <f t="shared" si="19"/>
        <v>3.8743318177515383E-3</v>
      </c>
    </row>
    <row r="202" spans="1:9" x14ac:dyDescent="0.25">
      <c r="A202" s="2">
        <v>45971</v>
      </c>
      <c r="B202" s="8">
        <v>4115.8950000000004</v>
      </c>
      <c r="C202" s="8">
        <v>50.547199999999997</v>
      </c>
      <c r="D202" s="8">
        <v>1582.8</v>
      </c>
      <c r="E202" s="8">
        <v>1425</v>
      </c>
      <c r="F202" s="9">
        <f t="shared" si="16"/>
        <v>2.8631948772554667E-2</v>
      </c>
      <c r="G202" s="9">
        <f t="shared" si="17"/>
        <v>4.4683346136234987E-2</v>
      </c>
      <c r="H202" s="9">
        <f t="shared" si="18"/>
        <v>2.0682468374767459E-2</v>
      </c>
      <c r="I202" s="9">
        <f t="shared" si="19"/>
        <v>2.9511926147263189E-2</v>
      </c>
    </row>
    <row r="203" spans="1:9" x14ac:dyDescent="0.25">
      <c r="A203" s="2">
        <v>45972</v>
      </c>
      <c r="B203" s="8">
        <v>4126.6840000000002</v>
      </c>
      <c r="C203" s="8">
        <v>51.234699999999997</v>
      </c>
      <c r="D203" s="8">
        <v>1589.15</v>
      </c>
      <c r="E203" s="8">
        <v>1447.74</v>
      </c>
      <c r="F203" s="9">
        <f t="shared" si="16"/>
        <v>2.6178714602900655E-3</v>
      </c>
      <c r="G203" s="9">
        <f t="shared" si="17"/>
        <v>1.3509483632150493E-2</v>
      </c>
      <c r="H203" s="9">
        <f t="shared" si="18"/>
        <v>4.0038515632196282E-3</v>
      </c>
      <c r="I203" s="9">
        <f t="shared" si="19"/>
        <v>1.5831906109391475E-2</v>
      </c>
    </row>
    <row r="204" spans="1:9" x14ac:dyDescent="0.25">
      <c r="A204" s="2">
        <v>45973</v>
      </c>
      <c r="B204" s="8">
        <v>4198.7340000000004</v>
      </c>
      <c r="C204" s="8">
        <v>53.419199999999996</v>
      </c>
      <c r="D204" s="8">
        <v>1620.35</v>
      </c>
      <c r="E204" s="8">
        <v>1477.38</v>
      </c>
      <c r="F204" s="9">
        <f t="shared" si="16"/>
        <v>1.7308872376550193E-2</v>
      </c>
      <c r="G204" s="9">
        <f t="shared" si="17"/>
        <v>4.1753195042898948E-2</v>
      </c>
      <c r="H204" s="9">
        <f t="shared" si="18"/>
        <v>1.9442893199350025E-2</v>
      </c>
      <c r="I204" s="9">
        <f t="shared" si="19"/>
        <v>2.0266528895616809E-2</v>
      </c>
    </row>
    <row r="205" spans="1:9" x14ac:dyDescent="0.25">
      <c r="A205" s="2">
        <v>45974</v>
      </c>
      <c r="B205" s="8">
        <v>4171.4610000000002</v>
      </c>
      <c r="C205" s="8">
        <v>52.3367</v>
      </c>
      <c r="D205" s="8">
        <v>1583.6</v>
      </c>
      <c r="E205" s="8">
        <v>1429.93</v>
      </c>
      <c r="F205" s="9">
        <f t="shared" si="16"/>
        <v>-6.5167171178626901E-3</v>
      </c>
      <c r="G205" s="9">
        <f t="shared" si="17"/>
        <v>-2.04723860839073E-2</v>
      </c>
      <c r="H205" s="9">
        <f t="shared" si="18"/>
        <v>-2.2941439041863396E-2</v>
      </c>
      <c r="I205" s="9">
        <f t="shared" si="19"/>
        <v>-3.2644756700898787E-2</v>
      </c>
    </row>
    <row r="206" spans="1:9" x14ac:dyDescent="0.25">
      <c r="A206" s="2">
        <v>45975</v>
      </c>
      <c r="B206" s="8">
        <v>4079.58</v>
      </c>
      <c r="C206" s="8">
        <v>50.5595</v>
      </c>
      <c r="D206" s="8">
        <v>1546.2</v>
      </c>
      <c r="E206" s="8">
        <v>1394.75</v>
      </c>
      <c r="F206" s="9">
        <f t="shared" si="16"/>
        <v>-2.2272292220515223E-2</v>
      </c>
      <c r="G206" s="9">
        <f t="shared" si="17"/>
        <v>-3.4546985272029054E-2</v>
      </c>
      <c r="H206" s="9">
        <f t="shared" si="18"/>
        <v>-2.3900428345601049E-2</v>
      </c>
      <c r="I206" s="9">
        <f t="shared" si="19"/>
        <v>-2.4910304281222494E-2</v>
      </c>
    </row>
    <row r="207" spans="1:9" x14ac:dyDescent="0.25">
      <c r="A207" s="2">
        <v>45978</v>
      </c>
      <c r="B207" s="8">
        <v>4044.605</v>
      </c>
      <c r="C207" s="8">
        <v>50.214399999999998</v>
      </c>
      <c r="D207" s="8">
        <v>1538.9</v>
      </c>
      <c r="E207" s="8">
        <v>1396.51</v>
      </c>
      <c r="F207" s="9">
        <f t="shared" si="16"/>
        <v>-8.6101476200566886E-3</v>
      </c>
      <c r="G207" s="9">
        <f t="shared" si="17"/>
        <v>-6.8490223962098789E-3</v>
      </c>
      <c r="H207" s="9">
        <f t="shared" si="18"/>
        <v>-4.7324324165683475E-3</v>
      </c>
      <c r="I207" s="9">
        <f t="shared" si="19"/>
        <v>1.261079392996009E-3</v>
      </c>
    </row>
    <row r="208" spans="1:9" x14ac:dyDescent="0.25">
      <c r="A208" s="2">
        <v>45979</v>
      </c>
      <c r="B208" s="8">
        <v>4067.875</v>
      </c>
      <c r="C208" s="8">
        <v>50.711300000000001</v>
      </c>
      <c r="D208" s="8">
        <v>1538.82</v>
      </c>
      <c r="E208" s="8">
        <v>1404.5</v>
      </c>
      <c r="F208" s="9">
        <f t="shared" si="16"/>
        <v>5.7368557631885825E-3</v>
      </c>
      <c r="G208" s="9">
        <f t="shared" si="17"/>
        <v>9.8469272945818573E-3</v>
      </c>
      <c r="H208" s="9">
        <f t="shared" si="18"/>
        <v>-5.1986535499078701E-5</v>
      </c>
      <c r="I208" s="9">
        <f t="shared" si="19"/>
        <v>5.7051004256645959E-3</v>
      </c>
    </row>
    <row r="209" spans="1:9" x14ac:dyDescent="0.25">
      <c r="A209" s="2">
        <v>45980</v>
      </c>
      <c r="B209" s="8">
        <v>4081.66</v>
      </c>
      <c r="C209" s="8">
        <v>51.39</v>
      </c>
      <c r="D209" s="8">
        <v>1551.55</v>
      </c>
      <c r="E209" s="8">
        <v>1384.14</v>
      </c>
      <c r="F209" s="9">
        <f t="shared" si="16"/>
        <v>3.3830183310399778E-3</v>
      </c>
      <c r="G209" s="9">
        <f t="shared" si="17"/>
        <v>1.3294835556569573E-2</v>
      </c>
      <c r="H209" s="9">
        <f t="shared" si="18"/>
        <v>8.2385423120687733E-3</v>
      </c>
      <c r="I209" s="9">
        <f t="shared" si="19"/>
        <v>-1.4602359413249475E-2</v>
      </c>
    </row>
    <row r="210" spans="1:9" x14ac:dyDescent="0.25">
      <c r="A210" s="2">
        <v>45981</v>
      </c>
      <c r="B210" s="8">
        <v>4077.4949999999999</v>
      </c>
      <c r="C210" s="8">
        <v>50.605899999999998</v>
      </c>
      <c r="D210" s="8">
        <v>1516.8</v>
      </c>
      <c r="E210" s="8">
        <v>1384</v>
      </c>
      <c r="F210" s="9">
        <f t="shared" si="16"/>
        <v>-1.0209391442547126E-3</v>
      </c>
      <c r="G210" s="9">
        <f t="shared" si="17"/>
        <v>-1.5375430717548433E-2</v>
      </c>
      <c r="H210" s="9">
        <f t="shared" si="18"/>
        <v>-2.2651578745618482E-2</v>
      </c>
      <c r="I210" s="9">
        <f t="shared" si="19"/>
        <v>-1.0115095343402178E-4</v>
      </c>
    </row>
    <row r="211" spans="1:9" x14ac:dyDescent="0.25">
      <c r="A211" s="2">
        <v>45982</v>
      </c>
      <c r="B211" s="8">
        <v>4065.895</v>
      </c>
      <c r="C211" s="8">
        <v>50.036499999999997</v>
      </c>
      <c r="D211" s="8">
        <v>1515.45</v>
      </c>
      <c r="E211" s="8">
        <v>1382.25</v>
      </c>
      <c r="F211" s="9">
        <f t="shared" si="16"/>
        <v>-2.8489383035565962E-3</v>
      </c>
      <c r="G211" s="9">
        <f t="shared" si="17"/>
        <v>-1.1315431178842438E-2</v>
      </c>
      <c r="H211" s="9">
        <f t="shared" si="18"/>
        <v>-8.9042795890633699E-4</v>
      </c>
      <c r="I211" s="9">
        <f t="shared" si="19"/>
        <v>-1.2652509595725667E-3</v>
      </c>
    </row>
    <row r="212" spans="1:9" x14ac:dyDescent="0.25">
      <c r="A212" s="2">
        <v>45985</v>
      </c>
      <c r="B212" s="8">
        <v>4139.6949999999997</v>
      </c>
      <c r="C212" s="8">
        <v>51.408000000000001</v>
      </c>
      <c r="D212" s="8">
        <v>1547.3</v>
      </c>
      <c r="E212" s="8">
        <v>1398.93</v>
      </c>
      <c r="F212" s="9">
        <f t="shared" si="16"/>
        <v>1.7988222658606494E-2</v>
      </c>
      <c r="G212" s="9">
        <f t="shared" si="17"/>
        <v>2.7041063265755338E-2</v>
      </c>
      <c r="H212" s="9">
        <f t="shared" si="18"/>
        <v>2.0799051953775988E-2</v>
      </c>
      <c r="I212" s="9">
        <f t="shared" si="19"/>
        <v>1.1995052455795404E-2</v>
      </c>
    </row>
    <row r="213" spans="1:9" x14ac:dyDescent="0.25">
      <c r="A213" s="2">
        <v>45986</v>
      </c>
      <c r="B213" s="8">
        <v>4131.1480000000001</v>
      </c>
      <c r="C213" s="8">
        <v>51.4407</v>
      </c>
      <c r="D213" s="8">
        <v>1557.35</v>
      </c>
      <c r="E213" s="8">
        <v>1400.77</v>
      </c>
      <c r="F213" s="9">
        <f t="shared" si="16"/>
        <v>-2.066779176543319E-3</v>
      </c>
      <c r="G213" s="9">
        <f t="shared" si="17"/>
        <v>6.358855503637693E-4</v>
      </c>
      <c r="H213" s="9">
        <f t="shared" si="18"/>
        <v>6.4741823418543584E-3</v>
      </c>
      <c r="I213" s="9">
        <f t="shared" si="19"/>
        <v>1.3144267349476948E-3</v>
      </c>
    </row>
    <row r="214" spans="1:9" x14ac:dyDescent="0.25">
      <c r="A214" s="2">
        <v>45987</v>
      </c>
      <c r="B214" s="8">
        <v>4164.5940000000001</v>
      </c>
      <c r="C214" s="8">
        <v>53.378799999999998</v>
      </c>
      <c r="D214" s="8">
        <v>1592.38</v>
      </c>
      <c r="E214" s="8">
        <v>1426.73</v>
      </c>
      <c r="F214" s="9">
        <f t="shared" si="16"/>
        <v>8.063457426606609E-3</v>
      </c>
      <c r="G214" s="9">
        <f t="shared" si="17"/>
        <v>3.698397547011352E-2</v>
      </c>
      <c r="H214" s="9">
        <f t="shared" si="18"/>
        <v>2.2244093551430612E-2</v>
      </c>
      <c r="I214" s="9">
        <f t="shared" si="19"/>
        <v>1.8363027036993038E-2</v>
      </c>
    </row>
    <row r="215" spans="1:9" x14ac:dyDescent="0.25">
      <c r="A215" s="2">
        <v>45988</v>
      </c>
      <c r="B215" s="8">
        <v>4157.57</v>
      </c>
      <c r="C215" s="8">
        <v>53.465000000000003</v>
      </c>
      <c r="D215" s="8">
        <v>1610.52</v>
      </c>
      <c r="E215" s="8">
        <v>1442.48</v>
      </c>
      <c r="F215" s="9">
        <f t="shared" si="16"/>
        <v>-1.6880228911281855E-3</v>
      </c>
      <c r="G215" s="9">
        <f t="shared" si="17"/>
        <v>1.613570814639841E-3</v>
      </c>
      <c r="H215" s="9">
        <f t="shared" si="18"/>
        <v>1.1327355808803133E-2</v>
      </c>
      <c r="I215" s="9">
        <f t="shared" si="19"/>
        <v>1.0978742022334493E-2</v>
      </c>
    </row>
    <row r="216" spans="1:9" x14ac:dyDescent="0.25">
      <c r="A216" s="2">
        <v>45989</v>
      </c>
      <c r="B216" s="8">
        <v>4230.625</v>
      </c>
      <c r="C216" s="8">
        <v>56.405000000000001</v>
      </c>
      <c r="D216" s="8">
        <v>1675</v>
      </c>
      <c r="E216" s="8">
        <v>1454.35</v>
      </c>
      <c r="F216" s="9">
        <f t="shared" si="16"/>
        <v>1.7418967296039537E-2</v>
      </c>
      <c r="G216" s="9">
        <f t="shared" si="17"/>
        <v>5.3530572848263687E-2</v>
      </c>
      <c r="H216" s="9">
        <f t="shared" si="18"/>
        <v>3.9256057061451882E-2</v>
      </c>
      <c r="I216" s="9">
        <f t="shared" si="19"/>
        <v>8.1952109263056152E-3</v>
      </c>
    </row>
    <row r="217" spans="1:9" x14ac:dyDescent="0.25">
      <c r="A217" s="2">
        <v>45992</v>
      </c>
      <c r="B217" s="8">
        <v>4232.7269999999999</v>
      </c>
      <c r="C217" s="8">
        <v>57.974299999999999</v>
      </c>
      <c r="D217" s="8">
        <v>1660.9</v>
      </c>
      <c r="E217" s="8">
        <v>1428.34</v>
      </c>
      <c r="F217" s="9">
        <f t="shared" si="16"/>
        <v>4.9672991108497516E-4</v>
      </c>
      <c r="G217" s="9">
        <f t="shared" si="17"/>
        <v>2.7442001841917505E-2</v>
      </c>
      <c r="H217" s="9">
        <f t="shared" si="18"/>
        <v>-8.4535411542136681E-3</v>
      </c>
      <c r="I217" s="9">
        <f t="shared" si="19"/>
        <v>-1.8046134596966513E-2</v>
      </c>
    </row>
    <row r="218" spans="1:9" x14ac:dyDescent="0.25">
      <c r="A218" s="2">
        <v>45993</v>
      </c>
      <c r="B218" s="8">
        <v>4208.1409999999996</v>
      </c>
      <c r="C218" s="8">
        <v>58.475000000000001</v>
      </c>
      <c r="D218" s="8">
        <v>1642.1</v>
      </c>
      <c r="E218" s="8">
        <v>1466.18</v>
      </c>
      <c r="F218" s="9">
        <f t="shared" si="16"/>
        <v>-5.8254837132159093E-3</v>
      </c>
      <c r="G218" s="9">
        <f t="shared" si="17"/>
        <v>8.5995035714415829E-3</v>
      </c>
      <c r="H218" s="9">
        <f t="shared" si="18"/>
        <v>-1.1383713607161547E-2</v>
      </c>
      <c r="I218" s="9">
        <f t="shared" si="19"/>
        <v>2.6147448195138628E-2</v>
      </c>
    </row>
    <row r="219" spans="1:9" x14ac:dyDescent="0.25">
      <c r="A219" s="2">
        <v>45994</v>
      </c>
      <c r="B219" s="8">
        <v>4206.2150000000001</v>
      </c>
      <c r="C219" s="8">
        <v>58.486600000000003</v>
      </c>
      <c r="D219" s="8">
        <v>1675.25</v>
      </c>
      <c r="E219" s="8">
        <v>1464.53</v>
      </c>
      <c r="F219" s="9">
        <f t="shared" si="16"/>
        <v>-4.5778905328833501E-4</v>
      </c>
      <c r="G219" s="9">
        <f t="shared" si="17"/>
        <v>1.9835570029880641E-4</v>
      </c>
      <c r="H219" s="9">
        <f t="shared" si="18"/>
        <v>1.9986497355488436E-2</v>
      </c>
      <c r="I219" s="9">
        <f t="shared" si="19"/>
        <v>-1.126007127511908E-3</v>
      </c>
    </row>
    <row r="220" spans="1:9" x14ac:dyDescent="0.25">
      <c r="A220" s="2">
        <v>45995</v>
      </c>
      <c r="B220" s="8">
        <v>4208.6909999999998</v>
      </c>
      <c r="C220" s="8">
        <v>57.134999999999998</v>
      </c>
      <c r="D220" s="8">
        <v>1651.25</v>
      </c>
      <c r="E220" s="8">
        <v>1452.43</v>
      </c>
      <c r="F220" s="9">
        <f t="shared" si="16"/>
        <v>5.8847955555399142E-4</v>
      </c>
      <c r="G220" s="9">
        <f t="shared" si="17"/>
        <v>-2.3380779571864529E-2</v>
      </c>
      <c r="H220" s="9">
        <f t="shared" si="18"/>
        <v>-1.4429831016745043E-2</v>
      </c>
      <c r="I220" s="9">
        <f t="shared" si="19"/>
        <v>-8.2963560714056118E-3</v>
      </c>
    </row>
    <row r="221" spans="1:9" x14ac:dyDescent="0.25">
      <c r="A221" s="2">
        <v>45996</v>
      </c>
      <c r="B221" s="8">
        <v>4197.1289999999999</v>
      </c>
      <c r="C221" s="8">
        <v>58.295099999999998</v>
      </c>
      <c r="D221" s="8">
        <v>1645.33</v>
      </c>
      <c r="E221" s="8">
        <v>1461.25</v>
      </c>
      <c r="F221" s="9">
        <f t="shared" si="16"/>
        <v>-2.7509528615930591E-3</v>
      </c>
      <c r="G221" s="9">
        <f t="shared" si="17"/>
        <v>2.0101153198092071E-2</v>
      </c>
      <c r="H221" s="9">
        <f t="shared" si="18"/>
        <v>-3.5916048534019055E-3</v>
      </c>
      <c r="I221" s="9">
        <f t="shared" si="19"/>
        <v>6.0542179926050335E-3</v>
      </c>
    </row>
    <row r="222" spans="1:9" x14ac:dyDescent="0.25">
      <c r="A222" s="2">
        <v>45999</v>
      </c>
      <c r="B222" s="8">
        <v>4189.0469999999996</v>
      </c>
      <c r="C222" s="8">
        <v>58.1325</v>
      </c>
      <c r="D222" s="8">
        <v>1647.5</v>
      </c>
      <c r="E222" s="8">
        <v>1475.25</v>
      </c>
      <c r="F222" s="9">
        <f t="shared" si="16"/>
        <v>-1.9274583557791671E-3</v>
      </c>
      <c r="G222" s="9">
        <f t="shared" si="17"/>
        <v>-2.7931539551299166E-3</v>
      </c>
      <c r="H222" s="9">
        <f t="shared" si="18"/>
        <v>1.3180153935291755E-3</v>
      </c>
      <c r="I222" s="9">
        <f t="shared" si="19"/>
        <v>9.5352331510000048E-3</v>
      </c>
    </row>
    <row r="223" spans="1:9" x14ac:dyDescent="0.25">
      <c r="A223" s="2">
        <v>46000</v>
      </c>
      <c r="B223" s="8">
        <v>4209.5389999999998</v>
      </c>
      <c r="C223" s="8">
        <v>60.682499999999997</v>
      </c>
      <c r="D223" s="8">
        <v>1695.55</v>
      </c>
      <c r="E223" s="8">
        <v>1510.01</v>
      </c>
      <c r="F223" s="9">
        <f t="shared" si="16"/>
        <v>4.8798787474511043E-3</v>
      </c>
      <c r="G223" s="9">
        <f t="shared" si="17"/>
        <v>4.2930465526328232E-2</v>
      </c>
      <c r="H223" s="9">
        <f t="shared" si="18"/>
        <v>2.8748184580224691E-2</v>
      </c>
      <c r="I223" s="9">
        <f t="shared" si="19"/>
        <v>2.3288806366319467E-2</v>
      </c>
    </row>
    <row r="224" spans="1:9" x14ac:dyDescent="0.25">
      <c r="A224" s="2">
        <v>46001</v>
      </c>
      <c r="B224" s="8">
        <v>4228.5469999999996</v>
      </c>
      <c r="C224" s="8">
        <v>61.798099999999998</v>
      </c>
      <c r="D224" s="8">
        <v>1661.25</v>
      </c>
      <c r="E224" s="8">
        <v>1479.68</v>
      </c>
      <c r="F224" s="9">
        <f t="shared" si="16"/>
        <v>4.5052947200384689E-3</v>
      </c>
      <c r="G224" s="9">
        <f t="shared" si="17"/>
        <v>1.8217266286491455E-2</v>
      </c>
      <c r="H224" s="9">
        <f t="shared" si="18"/>
        <v>-2.0436840929431824E-2</v>
      </c>
      <c r="I224" s="9">
        <f t="shared" si="19"/>
        <v>-2.0290425139748901E-2</v>
      </c>
    </row>
    <row r="225" spans="1:9" x14ac:dyDescent="0.25">
      <c r="A225" s="2">
        <v>46002</v>
      </c>
      <c r="B225" s="8">
        <v>4283.2809999999999</v>
      </c>
      <c r="C225" s="8">
        <v>63.578000000000003</v>
      </c>
      <c r="D225" s="8">
        <v>1700.65</v>
      </c>
      <c r="E225" s="8">
        <v>1494</v>
      </c>
      <c r="F225" s="9">
        <f t="shared" si="16"/>
        <v>1.2860869468660085E-2</v>
      </c>
      <c r="G225" s="9">
        <f t="shared" si="17"/>
        <v>2.8394878900593619E-2</v>
      </c>
      <c r="H225" s="9">
        <f t="shared" si="18"/>
        <v>2.3440199879770196E-2</v>
      </c>
      <c r="I225" s="9">
        <f t="shared" si="19"/>
        <v>9.6312385289140795E-3</v>
      </c>
    </row>
    <row r="226" spans="1:9" x14ac:dyDescent="0.25">
      <c r="A226" s="2">
        <v>46003</v>
      </c>
      <c r="B226" s="8">
        <v>4302.43</v>
      </c>
      <c r="C226" s="8">
        <v>62.019399999999997</v>
      </c>
      <c r="D226" s="8">
        <v>1750.25</v>
      </c>
      <c r="E226" s="8">
        <v>1497.5</v>
      </c>
      <c r="F226" s="9">
        <f t="shared" si="16"/>
        <v>4.4606746608671201E-3</v>
      </c>
      <c r="G226" s="9">
        <f t="shared" si="17"/>
        <v>-2.4820259228159006E-2</v>
      </c>
      <c r="H226" s="9">
        <f t="shared" si="18"/>
        <v>2.8748103950081535E-2</v>
      </c>
      <c r="I226" s="9">
        <f t="shared" si="19"/>
        <v>2.3399642968418275E-3</v>
      </c>
    </row>
    <row r="227" spans="1:9" x14ac:dyDescent="0.25">
      <c r="A227" s="2">
        <v>46006</v>
      </c>
      <c r="B227" s="8">
        <v>4302.6949999999997</v>
      </c>
      <c r="C227" s="8">
        <v>63.977699999999999</v>
      </c>
      <c r="D227" s="8">
        <v>1788.15</v>
      </c>
      <c r="E227" s="8">
        <v>1577.25</v>
      </c>
      <c r="F227" s="9">
        <f t="shared" si="16"/>
        <v>6.1591202936127633E-5</v>
      </c>
      <c r="G227" s="9">
        <f t="shared" si="17"/>
        <v>3.1087345814328069E-2</v>
      </c>
      <c r="H227" s="9">
        <f t="shared" si="18"/>
        <v>2.1422930974813278E-2</v>
      </c>
      <c r="I227" s="9">
        <f t="shared" si="19"/>
        <v>5.1885773261314494E-2</v>
      </c>
    </row>
    <row r="228" spans="1:9" x14ac:dyDescent="0.25">
      <c r="A228" s="2">
        <v>46007</v>
      </c>
      <c r="B228" s="8">
        <v>4303.8010000000004</v>
      </c>
      <c r="C228" s="8">
        <v>63.791400000000003</v>
      </c>
      <c r="D228" s="8">
        <v>1854.75</v>
      </c>
      <c r="E228" s="8">
        <v>1607.21</v>
      </c>
      <c r="F228" s="9">
        <f t="shared" si="16"/>
        <v>2.5701516763354185E-4</v>
      </c>
      <c r="G228" s="9">
        <f t="shared" si="17"/>
        <v>-2.9162001145510439E-3</v>
      </c>
      <c r="H228" s="9">
        <f t="shared" si="18"/>
        <v>3.6568350237514945E-2</v>
      </c>
      <c r="I228" s="9">
        <f t="shared" si="19"/>
        <v>1.8816932231444788E-2</v>
      </c>
    </row>
    <row r="229" spans="1:9" x14ac:dyDescent="0.25">
      <c r="A229" s="2">
        <v>46008</v>
      </c>
      <c r="B229" s="8">
        <v>4341.0780000000004</v>
      </c>
      <c r="C229" s="8">
        <v>66.319999999999993</v>
      </c>
      <c r="D229" s="8">
        <v>1903.85</v>
      </c>
      <c r="E229" s="8">
        <v>1658</v>
      </c>
      <c r="F229" s="9">
        <f t="shared" si="16"/>
        <v>8.6241186350357064E-3</v>
      </c>
      <c r="G229" s="9">
        <f t="shared" si="17"/>
        <v>3.8873125800369217E-2</v>
      </c>
      <c r="H229" s="9">
        <f t="shared" si="18"/>
        <v>2.612823566564388E-2</v>
      </c>
      <c r="I229" s="9">
        <f t="shared" si="19"/>
        <v>3.1112300212876649E-2</v>
      </c>
    </row>
    <row r="230" spans="1:9" x14ac:dyDescent="0.25">
      <c r="A230" s="2">
        <v>46009</v>
      </c>
      <c r="B230" s="8">
        <v>4332.3950000000004</v>
      </c>
      <c r="C230" s="8">
        <v>65.438000000000002</v>
      </c>
      <c r="D230" s="8">
        <v>1921.05</v>
      </c>
      <c r="E230" s="8">
        <v>1699.41</v>
      </c>
      <c r="F230" s="9">
        <f t="shared" si="16"/>
        <v>-2.0021974820690603E-3</v>
      </c>
      <c r="G230" s="9">
        <f t="shared" si="17"/>
        <v>-1.3388381346774059E-2</v>
      </c>
      <c r="H230" s="9">
        <f t="shared" si="18"/>
        <v>8.9937598049112596E-3</v>
      </c>
      <c r="I230" s="9">
        <f t="shared" si="19"/>
        <v>2.4669075286686291E-2</v>
      </c>
    </row>
    <row r="231" spans="1:9" x14ac:dyDescent="0.25">
      <c r="A231" s="2">
        <v>46010</v>
      </c>
      <c r="B231" s="8">
        <v>4338.5469999999996</v>
      </c>
      <c r="C231" s="8">
        <v>67.166300000000007</v>
      </c>
      <c r="D231" s="8">
        <v>1976.85</v>
      </c>
      <c r="E231" s="8">
        <v>1717.46</v>
      </c>
      <c r="F231" s="9">
        <f t="shared" si="16"/>
        <v>1.4189925459711823E-3</v>
      </c>
      <c r="G231" s="9">
        <f t="shared" si="17"/>
        <v>2.606850416639013E-2</v>
      </c>
      <c r="H231" s="9">
        <f t="shared" si="18"/>
        <v>2.8632757217817415E-2</v>
      </c>
      <c r="I231" s="9">
        <f t="shared" si="19"/>
        <v>1.0565323178158325E-2</v>
      </c>
    </row>
    <row r="232" spans="1:9" x14ac:dyDescent="0.25">
      <c r="A232" s="2">
        <v>46013</v>
      </c>
      <c r="B232" s="8">
        <v>4445.9449999999997</v>
      </c>
      <c r="C232" s="8">
        <v>69.06</v>
      </c>
      <c r="D232" s="8">
        <v>2125.6</v>
      </c>
      <c r="E232" s="8">
        <v>1771.75</v>
      </c>
      <c r="F232" s="9">
        <f t="shared" si="16"/>
        <v>2.4452945365199777E-2</v>
      </c>
      <c r="G232" s="9">
        <f t="shared" si="17"/>
        <v>2.7804058315190911E-2</v>
      </c>
      <c r="H232" s="9">
        <f t="shared" si="18"/>
        <v>7.2549446687595817E-2</v>
      </c>
      <c r="I232" s="9">
        <f t="shared" si="19"/>
        <v>3.1121303530280375E-2</v>
      </c>
    </row>
    <row r="233" spans="1:9" x14ac:dyDescent="0.25">
      <c r="A233" s="2">
        <v>46014</v>
      </c>
      <c r="B233" s="8">
        <v>4488.8159999999998</v>
      </c>
      <c r="C233" s="8">
        <v>71.454899999999995</v>
      </c>
      <c r="D233" s="8">
        <v>2279.5500000000002</v>
      </c>
      <c r="E233" s="8">
        <v>1873</v>
      </c>
      <c r="F233" s="9">
        <f t="shared" si="16"/>
        <v>9.5965250800689912E-3</v>
      </c>
      <c r="G233" s="9">
        <f t="shared" si="17"/>
        <v>3.4090789488740822E-2</v>
      </c>
      <c r="H233" s="9">
        <f t="shared" si="18"/>
        <v>6.9923939602120247E-2</v>
      </c>
      <c r="I233" s="9">
        <f t="shared" si="19"/>
        <v>5.557366475372312E-2</v>
      </c>
    </row>
    <row r="234" spans="1:9" x14ac:dyDescent="0.25">
      <c r="A234" s="2">
        <v>46015</v>
      </c>
      <c r="B234" s="8">
        <v>4479.6369999999997</v>
      </c>
      <c r="C234" s="8">
        <v>71.968400000000003</v>
      </c>
      <c r="D234" s="8">
        <v>2224.44</v>
      </c>
      <c r="E234" s="8">
        <v>1689.67</v>
      </c>
      <c r="F234" s="9">
        <f t="shared" si="16"/>
        <v>-2.0469535169588809E-3</v>
      </c>
      <c r="G234" s="9">
        <f t="shared" si="17"/>
        <v>7.1606523366615831E-3</v>
      </c>
      <c r="H234" s="9">
        <f t="shared" si="18"/>
        <v>-2.4472856518725689E-2</v>
      </c>
      <c r="I234" s="9">
        <f t="shared" si="19"/>
        <v>-0.10300817986609934</v>
      </c>
    </row>
    <row r="235" spans="1:9" x14ac:dyDescent="0.25">
      <c r="A235" s="2">
        <v>46016</v>
      </c>
      <c r="B235" s="8">
        <v>4479.6369999999997</v>
      </c>
      <c r="C235" s="8">
        <v>71.968400000000003</v>
      </c>
      <c r="D235" s="8">
        <v>2224.44</v>
      </c>
      <c r="E235" s="8">
        <v>1689.67</v>
      </c>
      <c r="F235" s="9">
        <f t="shared" si="16"/>
        <v>0</v>
      </c>
      <c r="G235" s="9">
        <f t="shared" si="17"/>
        <v>0</v>
      </c>
      <c r="H235" s="9">
        <f t="shared" si="18"/>
        <v>0</v>
      </c>
      <c r="I235" s="9">
        <f t="shared" si="19"/>
        <v>0</v>
      </c>
    </row>
    <row r="236" spans="1:9" x14ac:dyDescent="0.25">
      <c r="A236" s="2">
        <v>46017</v>
      </c>
      <c r="B236" s="8">
        <v>4532.625</v>
      </c>
      <c r="C236" s="8">
        <v>79.160899999999998</v>
      </c>
      <c r="D236" s="8">
        <v>2455.25</v>
      </c>
      <c r="E236" s="8">
        <v>1927.31</v>
      </c>
      <c r="F236" s="9">
        <f t="shared" si="16"/>
        <v>1.1759225507261644E-2</v>
      </c>
      <c r="G236" s="9">
        <f t="shared" si="17"/>
        <v>9.5255356260959434E-2</v>
      </c>
      <c r="H236" s="9">
        <f t="shared" si="18"/>
        <v>9.8723390508885372E-2</v>
      </c>
      <c r="I236" s="9">
        <f t="shared" si="19"/>
        <v>0.13159200471937754</v>
      </c>
    </row>
    <row r="237" spans="1:9" x14ac:dyDescent="0.25">
      <c r="A237" s="2">
        <v>46020</v>
      </c>
      <c r="B237" s="8">
        <v>4332.0780000000004</v>
      </c>
      <c r="C237" s="8">
        <v>72.246799999999993</v>
      </c>
      <c r="D237" s="8">
        <v>2114.1799999999998</v>
      </c>
      <c r="E237" s="8">
        <v>1634</v>
      </c>
      <c r="F237" s="9">
        <f t="shared" si="16"/>
        <v>-4.5253907348780924E-2</v>
      </c>
      <c r="G237" s="9">
        <f t="shared" si="17"/>
        <v>-9.1394454693966135E-2</v>
      </c>
      <c r="H237" s="9">
        <f t="shared" si="18"/>
        <v>-0.14956155859103218</v>
      </c>
      <c r="I237" s="9">
        <f t="shared" si="19"/>
        <v>-0.16509425187741852</v>
      </c>
    </row>
    <row r="238" spans="1:9" x14ac:dyDescent="0.25">
      <c r="A238" s="2">
        <v>46021</v>
      </c>
      <c r="B238" s="8">
        <v>4346.5119999999997</v>
      </c>
      <c r="C238" s="8">
        <v>76.5</v>
      </c>
      <c r="D238" s="8">
        <v>2205.1999999999998</v>
      </c>
      <c r="E238" s="8">
        <v>1615.33</v>
      </c>
      <c r="F238" s="9">
        <f t="shared" si="16"/>
        <v>3.3263498584150037E-3</v>
      </c>
      <c r="G238" s="9">
        <f t="shared" si="17"/>
        <v>5.7202705478248198E-2</v>
      </c>
      <c r="H238" s="9">
        <f t="shared" si="18"/>
        <v>4.2151177268677079E-2</v>
      </c>
      <c r="I238" s="9">
        <f t="shared" si="19"/>
        <v>-1.1491726271289283E-2</v>
      </c>
    </row>
    <row r="239" spans="1:9" x14ac:dyDescent="0.25">
      <c r="A239" s="2">
        <v>46022</v>
      </c>
      <c r="B239" s="8">
        <v>4315.0940000000001</v>
      </c>
      <c r="C239" s="8">
        <v>71.2928</v>
      </c>
      <c r="D239" s="8">
        <v>2059.85</v>
      </c>
      <c r="E239" s="8">
        <v>1610.25</v>
      </c>
      <c r="F239" s="9">
        <f t="shared" si="16"/>
        <v>-7.2545756043451521E-3</v>
      </c>
      <c r="G239" s="9">
        <f t="shared" si="17"/>
        <v>-7.0495400278422701E-2</v>
      </c>
      <c r="H239" s="9">
        <f t="shared" si="18"/>
        <v>-6.8185043117061944E-2</v>
      </c>
      <c r="I239" s="9">
        <f t="shared" si="19"/>
        <v>-3.1498237216588641E-3</v>
      </c>
    </row>
    <row r="240" spans="1:9" x14ac:dyDescent="0.25">
      <c r="A240" s="2">
        <v>46023</v>
      </c>
      <c r="B240" s="8">
        <v>4315.0940000000001</v>
      </c>
      <c r="C240" s="8">
        <v>71.2928</v>
      </c>
      <c r="D240" s="8">
        <v>2059.85</v>
      </c>
      <c r="E240" s="8">
        <v>1610.25</v>
      </c>
      <c r="F240" s="9">
        <f t="shared" si="16"/>
        <v>0</v>
      </c>
      <c r="G240" s="9">
        <f t="shared" si="17"/>
        <v>0</v>
      </c>
      <c r="H240" s="9">
        <f t="shared" si="18"/>
        <v>0</v>
      </c>
      <c r="I240" s="9">
        <f t="shared" si="19"/>
        <v>0</v>
      </c>
    </row>
    <row r="241" spans="1:9" x14ac:dyDescent="0.25">
      <c r="A241" s="2">
        <v>46024</v>
      </c>
      <c r="B241" s="8">
        <v>4330.4960000000001</v>
      </c>
      <c r="C241" s="8">
        <v>72.66</v>
      </c>
      <c r="D241" s="8">
        <v>2148.0500000000002</v>
      </c>
      <c r="E241" s="8">
        <v>1643.52</v>
      </c>
      <c r="F241" s="9">
        <f t="shared" si="16"/>
        <v>3.5629763367851807E-3</v>
      </c>
      <c r="G241" s="9">
        <f t="shared" si="17"/>
        <v>1.8995686238988528E-2</v>
      </c>
      <c r="H241" s="9">
        <f t="shared" si="18"/>
        <v>4.1927289226784389E-2</v>
      </c>
      <c r="I241" s="9">
        <f t="shared" si="19"/>
        <v>2.0450836754432232E-2</v>
      </c>
    </row>
    <row r="242" spans="1:9" x14ac:dyDescent="0.25">
      <c r="A242" s="2">
        <v>46027</v>
      </c>
      <c r="B242" s="8">
        <v>4448.4690000000001</v>
      </c>
      <c r="C242" s="8">
        <v>76.56</v>
      </c>
      <c r="D242" s="8">
        <v>2276.6999999999998</v>
      </c>
      <c r="E242" s="8">
        <v>1712.69</v>
      </c>
      <c r="F242" s="9">
        <f t="shared" si="16"/>
        <v>2.6877906929621324E-2</v>
      </c>
      <c r="G242" s="9">
        <f t="shared" si="17"/>
        <v>5.2283720351643012E-2</v>
      </c>
      <c r="H242" s="9">
        <f t="shared" si="18"/>
        <v>5.8166572252725812E-2</v>
      </c>
      <c r="I242" s="9">
        <f t="shared" si="19"/>
        <v>4.1224950705682967E-2</v>
      </c>
    </row>
    <row r="243" spans="1:9" x14ac:dyDescent="0.25">
      <c r="A243" s="2">
        <v>46028</v>
      </c>
      <c r="B243" s="8">
        <v>4497.3440000000001</v>
      </c>
      <c r="C243" s="8">
        <v>81.297899999999998</v>
      </c>
      <c r="D243" s="8">
        <v>2447.62</v>
      </c>
      <c r="E243" s="8">
        <v>1835</v>
      </c>
      <c r="F243" s="9">
        <f t="shared" si="16"/>
        <v>1.0927008267059675E-2</v>
      </c>
      <c r="G243" s="9">
        <f t="shared" si="17"/>
        <v>6.004543881715662E-2</v>
      </c>
      <c r="H243" s="9">
        <f t="shared" si="18"/>
        <v>7.2389097746839354E-2</v>
      </c>
      <c r="I243" s="9">
        <f t="shared" si="19"/>
        <v>6.897924760155541E-2</v>
      </c>
    </row>
    <row r="244" spans="1:9" x14ac:dyDescent="0.25">
      <c r="A244" s="2">
        <v>46029</v>
      </c>
      <c r="B244" s="8">
        <v>4453.0389999999998</v>
      </c>
      <c r="C244" s="8">
        <v>78.152699999999996</v>
      </c>
      <c r="D244" s="8">
        <v>2309.85</v>
      </c>
      <c r="E244" s="8">
        <v>1768.27</v>
      </c>
      <c r="F244" s="9">
        <f t="shared" si="16"/>
        <v>-9.9002158625562369E-3</v>
      </c>
      <c r="G244" s="9">
        <f t="shared" si="17"/>
        <v>-3.9455580746833148E-2</v>
      </c>
      <c r="H244" s="9">
        <f t="shared" si="18"/>
        <v>-5.7933536482284609E-2</v>
      </c>
      <c r="I244" s="9">
        <f t="shared" si="19"/>
        <v>-3.7042814018693401E-2</v>
      </c>
    </row>
    <row r="245" spans="1:9" x14ac:dyDescent="0.25">
      <c r="A245" s="2">
        <v>46030</v>
      </c>
      <c r="B245" s="8">
        <v>4476.7299999999996</v>
      </c>
      <c r="C245" s="8">
        <v>76.921499999999995</v>
      </c>
      <c r="D245" s="8">
        <v>2271.6</v>
      </c>
      <c r="E245" s="8">
        <v>1789.76</v>
      </c>
      <c r="F245" s="9">
        <f t="shared" si="16"/>
        <v>5.3060847562945044E-3</v>
      </c>
      <c r="G245" s="9">
        <f t="shared" si="17"/>
        <v>-1.5879183904549957E-2</v>
      </c>
      <c r="H245" s="9">
        <f t="shared" si="18"/>
        <v>-1.6698158339254081E-2</v>
      </c>
      <c r="I245" s="9">
        <f t="shared" si="19"/>
        <v>1.2079865163245863E-2</v>
      </c>
    </row>
    <row r="246" spans="1:9" x14ac:dyDescent="0.25">
      <c r="A246" s="2">
        <v>46031</v>
      </c>
      <c r="B246" s="8">
        <v>4510.4489999999996</v>
      </c>
      <c r="C246" s="8">
        <v>79.972399999999993</v>
      </c>
      <c r="D246" s="8">
        <v>2278.35</v>
      </c>
      <c r="E246" s="8">
        <v>1819.5</v>
      </c>
      <c r="F246" s="9">
        <f t="shared" si="16"/>
        <v>7.5038359020965931E-3</v>
      </c>
      <c r="G246" s="9">
        <f t="shared" si="17"/>
        <v>3.8896153837217826E-2</v>
      </c>
      <c r="H246" s="9">
        <f t="shared" si="18"/>
        <v>2.9670677488600025E-3</v>
      </c>
      <c r="I246" s="9">
        <f t="shared" si="19"/>
        <v>1.6480205418991461E-2</v>
      </c>
    </row>
    <row r="247" spans="1:9" x14ac:dyDescent="0.25">
      <c r="A247" s="2">
        <v>46034</v>
      </c>
      <c r="B247" s="8">
        <v>4593.9960000000001</v>
      </c>
      <c r="C247" s="8">
        <v>84.980199999999996</v>
      </c>
      <c r="D247" s="8">
        <v>2347.25</v>
      </c>
      <c r="E247" s="8">
        <v>1855</v>
      </c>
      <c r="F247" s="9">
        <f t="shared" si="16"/>
        <v>1.8353528465429998E-2</v>
      </c>
      <c r="G247" s="9">
        <f t="shared" si="17"/>
        <v>6.0736713031145882E-2</v>
      </c>
      <c r="H247" s="9">
        <f t="shared" si="18"/>
        <v>2.9792933386519289E-2</v>
      </c>
      <c r="I247" s="9">
        <f t="shared" si="19"/>
        <v>1.9322957989321071E-2</v>
      </c>
    </row>
    <row r="248" spans="1:9" x14ac:dyDescent="0.25">
      <c r="A248" s="2">
        <v>46035</v>
      </c>
      <c r="B248" s="8">
        <v>4587.9960000000001</v>
      </c>
      <c r="C248" s="8">
        <v>86.981800000000007</v>
      </c>
      <c r="D248" s="8">
        <v>2329.75</v>
      </c>
      <c r="E248" s="8">
        <v>1843.24</v>
      </c>
      <c r="F248" s="9">
        <f t="shared" si="16"/>
        <v>-1.3069061384505761E-3</v>
      </c>
      <c r="G248" s="9">
        <f t="shared" si="17"/>
        <v>2.3280613189038731E-2</v>
      </c>
      <c r="H248" s="9">
        <f t="shared" si="18"/>
        <v>-7.4834644728919439E-3</v>
      </c>
      <c r="I248" s="9">
        <f t="shared" si="19"/>
        <v>-6.3598033865462679E-3</v>
      </c>
    </row>
    <row r="249" spans="1:9" x14ac:dyDescent="0.25">
      <c r="A249" s="2">
        <v>46036</v>
      </c>
      <c r="B249" s="8">
        <v>4620.8360000000002</v>
      </c>
      <c r="C249" s="8">
        <v>92.778000000000006</v>
      </c>
      <c r="D249" s="8">
        <v>2388.8000000000002</v>
      </c>
      <c r="E249" s="8">
        <v>1832</v>
      </c>
      <c r="F249" s="9">
        <f t="shared" si="16"/>
        <v>7.1323136775298642E-3</v>
      </c>
      <c r="G249" s="9">
        <f t="shared" si="17"/>
        <v>6.4510641353473855E-2</v>
      </c>
      <c r="H249" s="9">
        <f t="shared" si="18"/>
        <v>2.5030182119161061E-2</v>
      </c>
      <c r="I249" s="9">
        <f t="shared" si="19"/>
        <v>-6.1166264209136676E-3</v>
      </c>
    </row>
    <row r="250" spans="1:9" x14ac:dyDescent="0.25">
      <c r="A250" s="2">
        <v>46037</v>
      </c>
      <c r="B250" s="8">
        <v>4614.9059999999999</v>
      </c>
      <c r="C250" s="8">
        <v>92.342500000000001</v>
      </c>
      <c r="D250" s="8">
        <v>2415.1</v>
      </c>
      <c r="E250" s="8">
        <v>1816.25</v>
      </c>
      <c r="F250" s="9">
        <f t="shared" si="16"/>
        <v>-1.2841417213453987E-3</v>
      </c>
      <c r="G250" s="9">
        <f t="shared" si="17"/>
        <v>-4.7050521515127125E-3</v>
      </c>
      <c r="H250" s="9">
        <f t="shared" si="18"/>
        <v>1.094954631195968E-2</v>
      </c>
      <c r="I250" s="9">
        <f t="shared" si="19"/>
        <v>-8.6343303495828843E-3</v>
      </c>
    </row>
    <row r="251" spans="1:9" x14ac:dyDescent="0.25">
      <c r="A251" s="2">
        <v>46038</v>
      </c>
      <c r="B251" s="8">
        <v>4595.1019999999999</v>
      </c>
      <c r="C251" s="8">
        <v>89.954400000000007</v>
      </c>
      <c r="D251" s="8">
        <v>2333.35</v>
      </c>
      <c r="E251" s="8">
        <v>1812.25</v>
      </c>
      <c r="F251" s="9">
        <f t="shared" si="16"/>
        <v>-4.3005457807203887E-3</v>
      </c>
      <c r="G251" s="9">
        <f t="shared" si="17"/>
        <v>-2.6201615305165078E-2</v>
      </c>
      <c r="H251" s="9">
        <f t="shared" si="18"/>
        <v>-3.4435690895912398E-2</v>
      </c>
      <c r="I251" s="9">
        <f t="shared" si="19"/>
        <v>-2.2047687035055643E-3</v>
      </c>
    </row>
    <row r="252" spans="1:9" x14ac:dyDescent="0.25">
      <c r="A252" s="2">
        <v>46041</v>
      </c>
      <c r="B252" s="8">
        <v>4671.0200000000004</v>
      </c>
      <c r="C252" s="8">
        <v>94.704999999999998</v>
      </c>
      <c r="D252" s="8">
        <v>2377.04</v>
      </c>
      <c r="E252" s="8">
        <v>1844.38</v>
      </c>
      <c r="F252" s="9">
        <f t="shared" si="16"/>
        <v>1.6386509646563383E-2</v>
      </c>
      <c r="G252" s="9">
        <f t="shared" si="17"/>
        <v>5.1463921844034047E-2</v>
      </c>
      <c r="H252" s="9">
        <f t="shared" si="18"/>
        <v>1.855101295200353E-2</v>
      </c>
      <c r="I252" s="9">
        <f t="shared" si="19"/>
        <v>1.7574010457984301E-2</v>
      </c>
    </row>
    <row r="253" spans="1:9" x14ac:dyDescent="0.25">
      <c r="A253" s="2">
        <v>46042</v>
      </c>
      <c r="B253" s="8">
        <v>4763.4880000000003</v>
      </c>
      <c r="C253" s="8">
        <v>94.614999999999995</v>
      </c>
      <c r="D253" s="8">
        <v>2466.6</v>
      </c>
      <c r="E253" s="8">
        <v>1878</v>
      </c>
      <c r="F253" s="9">
        <f t="shared" si="16"/>
        <v>1.9602709756251068E-2</v>
      </c>
      <c r="G253" s="9">
        <f t="shared" si="17"/>
        <v>-9.5077125269116139E-4</v>
      </c>
      <c r="H253" s="9">
        <f t="shared" si="18"/>
        <v>3.6984667978910778E-2</v>
      </c>
      <c r="I253" s="9">
        <f t="shared" si="19"/>
        <v>1.8064203129236643E-2</v>
      </c>
    </row>
    <row r="254" spans="1:9" x14ac:dyDescent="0.25">
      <c r="A254" s="2">
        <v>46043</v>
      </c>
      <c r="B254" s="8">
        <v>4836.6719999999996</v>
      </c>
      <c r="C254" s="8">
        <v>93.256</v>
      </c>
      <c r="D254" s="8">
        <v>2486.9</v>
      </c>
      <c r="E254" s="8">
        <v>1852</v>
      </c>
      <c r="F254" s="9">
        <f t="shared" si="16"/>
        <v>1.5246707909739024E-2</v>
      </c>
      <c r="G254" s="9">
        <f t="shared" si="17"/>
        <v>-1.4467626238482491E-2</v>
      </c>
      <c r="H254" s="9">
        <f t="shared" si="18"/>
        <v>8.1962707758562892E-3</v>
      </c>
      <c r="I254" s="9">
        <f t="shared" si="19"/>
        <v>-1.3941244562083519E-2</v>
      </c>
    </row>
    <row r="255" spans="1:9" x14ac:dyDescent="0.25">
      <c r="A255" s="2">
        <v>46044</v>
      </c>
      <c r="B255" s="8">
        <v>4936.7460000000001</v>
      </c>
      <c r="C255" s="8">
        <v>96.198700000000002</v>
      </c>
      <c r="D255" s="8">
        <v>2634.7</v>
      </c>
      <c r="E255" s="8">
        <v>1923.5</v>
      </c>
      <c r="F255" s="9">
        <f t="shared" si="16"/>
        <v>2.0479528790115345E-2</v>
      </c>
      <c r="G255" s="9">
        <f t="shared" si="17"/>
        <v>3.1067444449307639E-2</v>
      </c>
      <c r="H255" s="9">
        <f t="shared" si="18"/>
        <v>5.7732368593678661E-2</v>
      </c>
      <c r="I255" s="9">
        <f t="shared" si="19"/>
        <v>3.7880306986225055E-2</v>
      </c>
    </row>
    <row r="256" spans="1:9" x14ac:dyDescent="0.25">
      <c r="A256" s="2">
        <v>46045</v>
      </c>
      <c r="B256" s="8">
        <v>4982.9059999999999</v>
      </c>
      <c r="C256" s="8">
        <v>102.9727</v>
      </c>
      <c r="D256" s="8">
        <v>2772.45</v>
      </c>
      <c r="E256" s="8">
        <v>2014</v>
      </c>
      <c r="F256" s="9">
        <f t="shared" si="16"/>
        <v>9.3068452779724378E-3</v>
      </c>
      <c r="G256" s="9">
        <f t="shared" si="17"/>
        <v>6.8048060487534479E-2</v>
      </c>
      <c r="H256" s="9">
        <f t="shared" si="18"/>
        <v>5.0962082295376319E-2</v>
      </c>
      <c r="I256" s="9">
        <f t="shared" si="19"/>
        <v>4.5976351086157767E-2</v>
      </c>
    </row>
    <row r="257" spans="1:9" x14ac:dyDescent="0.25">
      <c r="A257" s="2">
        <v>46048</v>
      </c>
      <c r="B257" s="8">
        <v>5015.3440000000001</v>
      </c>
      <c r="C257" s="8">
        <v>103.8984</v>
      </c>
      <c r="D257" s="8">
        <v>2762.5</v>
      </c>
      <c r="E257" s="8">
        <v>1994.5</v>
      </c>
      <c r="F257" s="9">
        <f t="shared" si="16"/>
        <v>6.488758295503029E-3</v>
      </c>
      <c r="G257" s="9">
        <f t="shared" si="17"/>
        <v>8.9495940097143196E-3</v>
      </c>
      <c r="H257" s="9">
        <f t="shared" si="18"/>
        <v>-3.5953389707907646E-3</v>
      </c>
      <c r="I257" s="9">
        <f t="shared" si="19"/>
        <v>-9.7294019330462882E-3</v>
      </c>
    </row>
    <row r="258" spans="1:9" x14ac:dyDescent="0.25">
      <c r="A258" s="2">
        <v>46049</v>
      </c>
      <c r="B258" s="8">
        <v>5189.6210000000001</v>
      </c>
      <c r="C258" s="8">
        <v>113.0258</v>
      </c>
      <c r="D258" s="8">
        <v>2646</v>
      </c>
      <c r="E258" s="8">
        <v>1939.03</v>
      </c>
      <c r="F258" s="9">
        <f t="shared" si="16"/>
        <v>3.4158656184398117E-2</v>
      </c>
      <c r="G258" s="9">
        <f t="shared" si="17"/>
        <v>8.4202612671602423E-2</v>
      </c>
      <c r="H258" s="9">
        <f t="shared" si="18"/>
        <v>-4.3087001151107314E-2</v>
      </c>
      <c r="I258" s="9">
        <f t="shared" si="19"/>
        <v>-2.8205544329769839E-2</v>
      </c>
    </row>
    <row r="259" spans="1:9" x14ac:dyDescent="0.25">
      <c r="A259" s="2">
        <v>46050</v>
      </c>
      <c r="B259" s="8">
        <v>5400.2460000000001</v>
      </c>
      <c r="C259" s="8">
        <v>116.6095</v>
      </c>
      <c r="D259" s="8">
        <v>2702.25</v>
      </c>
      <c r="E259" s="8">
        <v>2086.5</v>
      </c>
      <c r="F259" s="9">
        <f t="shared" si="16"/>
        <v>3.9783838624992421E-2</v>
      </c>
      <c r="G259" s="9">
        <f t="shared" si="17"/>
        <v>3.1214634490428713E-2</v>
      </c>
      <c r="H259" s="9">
        <f t="shared" si="18"/>
        <v>2.1035693621411361E-2</v>
      </c>
      <c r="I259" s="9">
        <f t="shared" si="19"/>
        <v>7.3300173015915737E-2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BD048-4AE3-4BEA-8236-25C883BD9F7A}">
  <dimension ref="A1"/>
  <sheetViews>
    <sheetView workbookViewId="0"/>
  </sheetViews>
  <sheetFormatPr defaultRowHeight="15" x14ac:dyDescent="0.25"/>
  <sheetData/>
  <pageMargins left="0.7" right="0.7" top="0.75" bottom="0.75" header="0.3" footer="0.3"/>
  <headerFooter>
    <oddHeader>&amp;L&amp;"Calibri"&amp;12&amp;K000000 Internal&amp;1#_x000D_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5BF36-23F3-4199-8872-3C74057E7AFD}">
  <dimension ref="A1:B530"/>
  <sheetViews>
    <sheetView topLeftCell="A480" workbookViewId="0">
      <selection activeCell="A273" sqref="A273:B530"/>
    </sheetView>
  </sheetViews>
  <sheetFormatPr defaultRowHeight="15" x14ac:dyDescent="0.25"/>
  <cols>
    <col min="1" max="1" width="16.5703125" customWidth="1"/>
    <col min="2" max="2" width="31.140625" customWidth="1"/>
  </cols>
  <sheetData>
    <row r="1" spans="1:2" x14ac:dyDescent="0.25">
      <c r="A1" t="str">
        <f>_xll.DSGRID("GOLDUSD","P","-2Y","","Daily","RowHeader=true;ColHeader=true;Heading=true;Code=true;Curn=true;DispSeriesDescription=true;YearlyTSFormat=false;QuarterlyTSFormat=false;MonthlyTSFormat=true")</f>
        <v>Start</v>
      </c>
      <c r="B1" s="2">
        <v>45317</v>
      </c>
    </row>
    <row r="2" spans="1:2" x14ac:dyDescent="0.25">
      <c r="A2" s="1" t="s">
        <v>0</v>
      </c>
      <c r="B2" s="2">
        <v>46050</v>
      </c>
    </row>
    <row r="3" spans="1:2" x14ac:dyDescent="0.25">
      <c r="A3" s="1" t="s">
        <v>1</v>
      </c>
      <c r="B3" s="1" t="s">
        <v>2</v>
      </c>
    </row>
    <row r="4" spans="1:2" x14ac:dyDescent="0.25">
      <c r="A4" s="1" t="s">
        <v>3</v>
      </c>
      <c r="B4" s="1" t="s">
        <v>7</v>
      </c>
    </row>
    <row r="5" spans="1:2" x14ac:dyDescent="0.25">
      <c r="A5" s="1" t="s">
        <v>4</v>
      </c>
      <c r="B5" s="1" t="s">
        <v>8</v>
      </c>
    </row>
    <row r="6" spans="1:2" x14ac:dyDescent="0.25">
      <c r="A6" s="1" t="s">
        <v>5</v>
      </c>
      <c r="B6" s="1" t="s">
        <v>6</v>
      </c>
    </row>
    <row r="7" spans="1:2" x14ac:dyDescent="0.25">
      <c r="A7" s="2">
        <v>45317</v>
      </c>
      <c r="B7">
        <v>2018.7049999999999</v>
      </c>
    </row>
    <row r="8" spans="1:2" x14ac:dyDescent="0.25">
      <c r="A8" s="2">
        <v>45320</v>
      </c>
      <c r="B8">
        <v>2032.125</v>
      </c>
    </row>
    <row r="9" spans="1:2" x14ac:dyDescent="0.25">
      <c r="A9" s="2">
        <v>45321</v>
      </c>
      <c r="B9">
        <v>2036.49</v>
      </c>
    </row>
    <row r="10" spans="1:2" x14ac:dyDescent="0.25">
      <c r="A10" s="2">
        <v>45322</v>
      </c>
      <c r="B10">
        <v>2037.395</v>
      </c>
    </row>
    <row r="11" spans="1:2" x14ac:dyDescent="0.25">
      <c r="A11" s="2">
        <v>45323</v>
      </c>
      <c r="B11">
        <v>2055.19</v>
      </c>
    </row>
    <row r="12" spans="1:2" x14ac:dyDescent="0.25">
      <c r="A12" s="2">
        <v>45324</v>
      </c>
      <c r="B12">
        <v>2038.7950000000001</v>
      </c>
    </row>
    <row r="13" spans="1:2" x14ac:dyDescent="0.25">
      <c r="A13" s="2">
        <v>45327</v>
      </c>
      <c r="B13">
        <v>2025.03</v>
      </c>
    </row>
    <row r="14" spans="1:2" x14ac:dyDescent="0.25">
      <c r="A14" s="2">
        <v>45328</v>
      </c>
      <c r="B14">
        <v>2035.807</v>
      </c>
    </row>
    <row r="15" spans="1:2" x14ac:dyDescent="0.25">
      <c r="A15" s="2">
        <v>45329</v>
      </c>
      <c r="B15">
        <v>2034.539</v>
      </c>
    </row>
    <row r="16" spans="1:2" x14ac:dyDescent="0.25">
      <c r="A16" s="2">
        <v>45330</v>
      </c>
      <c r="B16">
        <v>2033.5170000000001</v>
      </c>
    </row>
    <row r="17" spans="1:2" x14ac:dyDescent="0.25">
      <c r="A17" s="2">
        <v>45331</v>
      </c>
      <c r="B17">
        <v>2024.47</v>
      </c>
    </row>
    <row r="18" spans="1:2" x14ac:dyDescent="0.25">
      <c r="A18" s="2">
        <v>45334</v>
      </c>
      <c r="B18">
        <v>2019.9449999999999</v>
      </c>
    </row>
    <row r="19" spans="1:2" x14ac:dyDescent="0.25">
      <c r="A19" s="2">
        <v>45335</v>
      </c>
      <c r="B19">
        <v>1992.479</v>
      </c>
    </row>
    <row r="20" spans="1:2" x14ac:dyDescent="0.25">
      <c r="A20" s="2">
        <v>45336</v>
      </c>
      <c r="B20">
        <v>1992.645</v>
      </c>
    </row>
    <row r="21" spans="1:2" x14ac:dyDescent="0.25">
      <c r="A21" s="2">
        <v>45337</v>
      </c>
      <c r="B21">
        <v>2004.34</v>
      </c>
    </row>
    <row r="22" spans="1:2" x14ac:dyDescent="0.25">
      <c r="A22" s="2">
        <v>45338</v>
      </c>
      <c r="B22">
        <v>2013.4290000000001</v>
      </c>
    </row>
    <row r="23" spans="1:2" x14ac:dyDescent="0.25">
      <c r="A23" s="2">
        <v>45341</v>
      </c>
      <c r="B23">
        <v>2017.8879999999999</v>
      </c>
    </row>
    <row r="24" spans="1:2" x14ac:dyDescent="0.25">
      <c r="A24" s="2">
        <v>45342</v>
      </c>
      <c r="B24">
        <v>2023.77</v>
      </c>
    </row>
    <row r="25" spans="1:2" x14ac:dyDescent="0.25">
      <c r="A25" s="2">
        <v>45343</v>
      </c>
      <c r="B25">
        <v>2025.1949999999999</v>
      </c>
    </row>
    <row r="26" spans="1:2" x14ac:dyDescent="0.25">
      <c r="A26" s="2">
        <v>45344</v>
      </c>
      <c r="B26">
        <v>2024.375</v>
      </c>
    </row>
    <row r="27" spans="1:2" x14ac:dyDescent="0.25">
      <c r="A27" s="2">
        <v>45345</v>
      </c>
      <c r="B27">
        <v>2035.953</v>
      </c>
    </row>
    <row r="28" spans="1:2" x14ac:dyDescent="0.25">
      <c r="A28" s="2">
        <v>45348</v>
      </c>
      <c r="B28">
        <v>2030.9690000000001</v>
      </c>
    </row>
    <row r="29" spans="1:2" x14ac:dyDescent="0.25">
      <c r="A29" s="2">
        <v>45349</v>
      </c>
      <c r="B29">
        <v>2029.9960000000001</v>
      </c>
    </row>
    <row r="30" spans="1:2" x14ac:dyDescent="0.25">
      <c r="A30" s="2">
        <v>45350</v>
      </c>
      <c r="B30">
        <v>2034.92</v>
      </c>
    </row>
    <row r="31" spans="1:2" x14ac:dyDescent="0.25">
      <c r="A31" s="2">
        <v>45351</v>
      </c>
      <c r="B31">
        <v>2043.538</v>
      </c>
    </row>
    <row r="32" spans="1:2" x14ac:dyDescent="0.25">
      <c r="A32" s="2">
        <v>45352</v>
      </c>
      <c r="B32">
        <v>2083.645</v>
      </c>
    </row>
    <row r="33" spans="1:2" x14ac:dyDescent="0.25">
      <c r="A33" s="2">
        <v>45355</v>
      </c>
      <c r="B33">
        <v>2115.1950000000002</v>
      </c>
    </row>
    <row r="34" spans="1:2" x14ac:dyDescent="0.25">
      <c r="A34" s="2">
        <v>45356</v>
      </c>
      <c r="B34">
        <v>2127.84</v>
      </c>
    </row>
    <row r="35" spans="1:2" x14ac:dyDescent="0.25">
      <c r="A35" s="2">
        <v>45357</v>
      </c>
      <c r="B35">
        <v>2148.4949999999999</v>
      </c>
    </row>
    <row r="36" spans="1:2" x14ac:dyDescent="0.25">
      <c r="A36" s="2">
        <v>45358</v>
      </c>
      <c r="B36">
        <v>2159.46</v>
      </c>
    </row>
    <row r="37" spans="1:2" x14ac:dyDescent="0.25">
      <c r="A37" s="2">
        <v>45359</v>
      </c>
      <c r="B37">
        <v>2177.8449999999998</v>
      </c>
    </row>
    <row r="38" spans="1:2" x14ac:dyDescent="0.25">
      <c r="A38" s="2">
        <v>45362</v>
      </c>
      <c r="B38">
        <v>2182.77</v>
      </c>
    </row>
    <row r="39" spans="1:2" x14ac:dyDescent="0.25">
      <c r="A39" s="2">
        <v>45363</v>
      </c>
      <c r="B39">
        <v>2158.2449999999999</v>
      </c>
    </row>
    <row r="40" spans="1:2" x14ac:dyDescent="0.25">
      <c r="A40" s="2">
        <v>45364</v>
      </c>
      <c r="B40">
        <v>2174.6999999999998</v>
      </c>
    </row>
    <row r="41" spans="1:2" x14ac:dyDescent="0.25">
      <c r="A41" s="2">
        <v>45365</v>
      </c>
      <c r="B41">
        <v>2162.2649999999999</v>
      </c>
    </row>
    <row r="42" spans="1:2" x14ac:dyDescent="0.25">
      <c r="A42" s="2">
        <v>45366</v>
      </c>
      <c r="B42">
        <v>2155.92</v>
      </c>
    </row>
    <row r="43" spans="1:2" x14ac:dyDescent="0.25">
      <c r="A43" s="2">
        <v>45369</v>
      </c>
      <c r="B43">
        <v>2160.3229999999999</v>
      </c>
    </row>
    <row r="44" spans="1:2" x14ac:dyDescent="0.25">
      <c r="A44" s="2">
        <v>45370</v>
      </c>
      <c r="B44">
        <v>2157.5630000000001</v>
      </c>
    </row>
    <row r="45" spans="1:2" x14ac:dyDescent="0.25">
      <c r="A45" s="2">
        <v>45371</v>
      </c>
      <c r="B45">
        <v>2186.3130000000001</v>
      </c>
    </row>
    <row r="46" spans="1:2" x14ac:dyDescent="0.25">
      <c r="A46" s="2">
        <v>45372</v>
      </c>
      <c r="B46">
        <v>2181.268</v>
      </c>
    </row>
    <row r="47" spans="1:2" x14ac:dyDescent="0.25">
      <c r="A47" s="2">
        <v>45373</v>
      </c>
      <c r="B47">
        <v>2165.395</v>
      </c>
    </row>
    <row r="48" spans="1:2" x14ac:dyDescent="0.25">
      <c r="A48" s="2">
        <v>45376</v>
      </c>
      <c r="B48">
        <v>2171.9229999999998</v>
      </c>
    </row>
    <row r="49" spans="1:2" x14ac:dyDescent="0.25">
      <c r="A49" s="2">
        <v>45377</v>
      </c>
      <c r="B49">
        <v>2179.0100000000002</v>
      </c>
    </row>
    <row r="50" spans="1:2" x14ac:dyDescent="0.25">
      <c r="A50" s="2">
        <v>45378</v>
      </c>
      <c r="B50">
        <v>2194.4899999999998</v>
      </c>
    </row>
    <row r="51" spans="1:2" x14ac:dyDescent="0.25">
      <c r="A51" s="2">
        <v>45379</v>
      </c>
      <c r="B51">
        <v>2232.9029999999998</v>
      </c>
    </row>
    <row r="52" spans="1:2" x14ac:dyDescent="0.25">
      <c r="A52" s="2">
        <v>45380</v>
      </c>
      <c r="B52">
        <v>2232.9029999999998</v>
      </c>
    </row>
    <row r="53" spans="1:2" x14ac:dyDescent="0.25">
      <c r="A53" s="2">
        <v>45383</v>
      </c>
      <c r="B53">
        <v>2250.8829999999998</v>
      </c>
    </row>
    <row r="54" spans="1:2" x14ac:dyDescent="0.25">
      <c r="A54" s="2">
        <v>45384</v>
      </c>
      <c r="B54">
        <v>2280.56</v>
      </c>
    </row>
    <row r="55" spans="1:2" x14ac:dyDescent="0.25">
      <c r="A55" s="2">
        <v>45385</v>
      </c>
      <c r="B55">
        <v>2299.623</v>
      </c>
    </row>
    <row r="56" spans="1:2" x14ac:dyDescent="0.25">
      <c r="A56" s="2">
        <v>45386</v>
      </c>
      <c r="B56">
        <v>2289.88</v>
      </c>
    </row>
    <row r="57" spans="1:2" x14ac:dyDescent="0.25">
      <c r="A57" s="2">
        <v>45387</v>
      </c>
      <c r="B57">
        <v>2329.7550000000001</v>
      </c>
    </row>
    <row r="58" spans="1:2" x14ac:dyDescent="0.25">
      <c r="A58" s="2">
        <v>45390</v>
      </c>
      <c r="B58">
        <v>2339.2429999999999</v>
      </c>
    </row>
    <row r="59" spans="1:2" x14ac:dyDescent="0.25">
      <c r="A59" s="2">
        <v>45391</v>
      </c>
      <c r="B59">
        <v>2352.913</v>
      </c>
    </row>
    <row r="60" spans="1:2" x14ac:dyDescent="0.25">
      <c r="A60" s="2">
        <v>45392</v>
      </c>
      <c r="B60">
        <v>2333.1729999999998</v>
      </c>
    </row>
    <row r="61" spans="1:2" x14ac:dyDescent="0.25">
      <c r="A61" s="2">
        <v>45393</v>
      </c>
      <c r="B61">
        <v>2373.5920000000001</v>
      </c>
    </row>
    <row r="62" spans="1:2" x14ac:dyDescent="0.25">
      <c r="A62" s="2">
        <v>45394</v>
      </c>
      <c r="B62">
        <v>2343.855</v>
      </c>
    </row>
    <row r="63" spans="1:2" x14ac:dyDescent="0.25">
      <c r="A63" s="2">
        <v>45397</v>
      </c>
      <c r="B63">
        <v>2382.8620000000001</v>
      </c>
    </row>
    <row r="64" spans="1:2" x14ac:dyDescent="0.25">
      <c r="A64" s="2">
        <v>45398</v>
      </c>
      <c r="B64">
        <v>2383.2020000000002</v>
      </c>
    </row>
    <row r="65" spans="1:2" x14ac:dyDescent="0.25">
      <c r="A65" s="2">
        <v>45399</v>
      </c>
      <c r="B65">
        <v>2361.1329999999998</v>
      </c>
    </row>
    <row r="66" spans="1:2" x14ac:dyDescent="0.25">
      <c r="A66" s="2">
        <v>45400</v>
      </c>
      <c r="B66">
        <v>2378.5949999999998</v>
      </c>
    </row>
    <row r="67" spans="1:2" x14ac:dyDescent="0.25">
      <c r="A67" s="2">
        <v>45401</v>
      </c>
      <c r="B67">
        <v>2391.7020000000002</v>
      </c>
    </row>
    <row r="68" spans="1:2" x14ac:dyDescent="0.25">
      <c r="A68" s="2">
        <v>45404</v>
      </c>
      <c r="B68">
        <v>2326.623</v>
      </c>
    </row>
    <row r="69" spans="1:2" x14ac:dyDescent="0.25">
      <c r="A69" s="2">
        <v>45405</v>
      </c>
      <c r="B69">
        <v>2322.1930000000002</v>
      </c>
    </row>
    <row r="70" spans="1:2" x14ac:dyDescent="0.25">
      <c r="A70" s="2">
        <v>45406</v>
      </c>
      <c r="B70">
        <v>2316.1999999999998</v>
      </c>
    </row>
    <row r="71" spans="1:2" x14ac:dyDescent="0.25">
      <c r="A71" s="2">
        <v>45407</v>
      </c>
      <c r="B71">
        <v>2332.16</v>
      </c>
    </row>
    <row r="72" spans="1:2" x14ac:dyDescent="0.25">
      <c r="A72" s="2">
        <v>45408</v>
      </c>
      <c r="B72">
        <v>2337.9699999999998</v>
      </c>
    </row>
    <row r="73" spans="1:2" x14ac:dyDescent="0.25">
      <c r="A73" s="2">
        <v>45411</v>
      </c>
      <c r="B73">
        <v>2334.8130000000001</v>
      </c>
    </row>
    <row r="74" spans="1:2" x14ac:dyDescent="0.25">
      <c r="A74" s="2">
        <v>45412</v>
      </c>
      <c r="B74">
        <v>2285.91</v>
      </c>
    </row>
    <row r="75" spans="1:2" x14ac:dyDescent="0.25">
      <c r="A75" s="2">
        <v>45413</v>
      </c>
      <c r="B75">
        <v>2318.2719999999999</v>
      </c>
    </row>
    <row r="76" spans="1:2" x14ac:dyDescent="0.25">
      <c r="A76" s="2">
        <v>45414</v>
      </c>
      <c r="B76">
        <v>2303.6849999999999</v>
      </c>
    </row>
    <row r="77" spans="1:2" x14ac:dyDescent="0.25">
      <c r="A77" s="2">
        <v>45415</v>
      </c>
      <c r="B77">
        <v>2301.8319999999999</v>
      </c>
    </row>
    <row r="78" spans="1:2" x14ac:dyDescent="0.25">
      <c r="A78" s="2">
        <v>45418</v>
      </c>
      <c r="B78">
        <v>2323.94</v>
      </c>
    </row>
    <row r="79" spans="1:2" x14ac:dyDescent="0.25">
      <c r="A79" s="2">
        <v>45419</v>
      </c>
      <c r="B79">
        <v>2314.1350000000002</v>
      </c>
    </row>
    <row r="80" spans="1:2" x14ac:dyDescent="0.25">
      <c r="A80" s="2">
        <v>45420</v>
      </c>
      <c r="B80">
        <v>2309.0219999999999</v>
      </c>
    </row>
    <row r="81" spans="1:2" x14ac:dyDescent="0.25">
      <c r="A81" s="2">
        <v>45421</v>
      </c>
      <c r="B81">
        <v>2346.2629999999999</v>
      </c>
    </row>
    <row r="82" spans="1:2" x14ac:dyDescent="0.25">
      <c r="A82" s="2">
        <v>45422</v>
      </c>
      <c r="B82">
        <v>2360.5250000000001</v>
      </c>
    </row>
    <row r="83" spans="1:2" x14ac:dyDescent="0.25">
      <c r="A83" s="2">
        <v>45425</v>
      </c>
      <c r="B83">
        <v>2336.415</v>
      </c>
    </row>
    <row r="84" spans="1:2" x14ac:dyDescent="0.25">
      <c r="A84" s="2">
        <v>45426</v>
      </c>
      <c r="B84">
        <v>2358.31</v>
      </c>
    </row>
    <row r="85" spans="1:2" x14ac:dyDescent="0.25">
      <c r="A85" s="2">
        <v>45427</v>
      </c>
      <c r="B85">
        <v>2386.415</v>
      </c>
    </row>
    <row r="86" spans="1:2" x14ac:dyDescent="0.25">
      <c r="A86" s="2">
        <v>45428</v>
      </c>
      <c r="B86">
        <v>2376.8049999999998</v>
      </c>
    </row>
    <row r="87" spans="1:2" x14ac:dyDescent="0.25">
      <c r="A87" s="2">
        <v>45429</v>
      </c>
      <c r="B87">
        <v>2415.2649999999999</v>
      </c>
    </row>
    <row r="88" spans="1:2" x14ac:dyDescent="0.25">
      <c r="A88" s="2">
        <v>45432</v>
      </c>
      <c r="B88">
        <v>2425.4929999999999</v>
      </c>
    </row>
    <row r="89" spans="1:2" x14ac:dyDescent="0.25">
      <c r="A89" s="2">
        <v>45433</v>
      </c>
      <c r="B89">
        <v>2422.0219999999999</v>
      </c>
    </row>
    <row r="90" spans="1:2" x14ac:dyDescent="0.25">
      <c r="A90" s="2">
        <v>45434</v>
      </c>
      <c r="B90">
        <v>2378.6030000000001</v>
      </c>
    </row>
    <row r="91" spans="1:2" x14ac:dyDescent="0.25">
      <c r="A91" s="2">
        <v>45435</v>
      </c>
      <c r="B91">
        <v>2328.7420000000002</v>
      </c>
    </row>
    <row r="92" spans="1:2" x14ac:dyDescent="0.25">
      <c r="A92" s="2">
        <v>45436</v>
      </c>
      <c r="B92">
        <v>2334.0749999999998</v>
      </c>
    </row>
    <row r="93" spans="1:2" x14ac:dyDescent="0.25">
      <c r="A93" s="2">
        <v>45439</v>
      </c>
      <c r="B93">
        <v>2350.9949999999999</v>
      </c>
    </row>
    <row r="94" spans="1:2" x14ac:dyDescent="0.25">
      <c r="A94" s="2">
        <v>45440</v>
      </c>
      <c r="B94">
        <v>2361.3049999999998</v>
      </c>
    </row>
    <row r="95" spans="1:2" x14ac:dyDescent="0.25">
      <c r="A95" s="2">
        <v>45441</v>
      </c>
      <c r="B95">
        <v>2339.105</v>
      </c>
    </row>
    <row r="96" spans="1:2" x14ac:dyDescent="0.25">
      <c r="A96" s="2">
        <v>45442</v>
      </c>
      <c r="B96">
        <v>2343.335</v>
      </c>
    </row>
    <row r="97" spans="1:2" x14ac:dyDescent="0.25">
      <c r="A97" s="2">
        <v>45443</v>
      </c>
      <c r="B97">
        <v>2326.3249999999998</v>
      </c>
    </row>
    <row r="98" spans="1:2" x14ac:dyDescent="0.25">
      <c r="A98" s="2">
        <v>45446</v>
      </c>
      <c r="B98">
        <v>2350.7049999999999</v>
      </c>
    </row>
    <row r="99" spans="1:2" x14ac:dyDescent="0.25">
      <c r="A99" s="2">
        <v>45447</v>
      </c>
      <c r="B99">
        <v>2328.04</v>
      </c>
    </row>
    <row r="100" spans="1:2" x14ac:dyDescent="0.25">
      <c r="A100" s="2">
        <v>45448</v>
      </c>
      <c r="B100">
        <v>2355.1550000000002</v>
      </c>
    </row>
    <row r="101" spans="1:2" x14ac:dyDescent="0.25">
      <c r="A101" s="2">
        <v>45449</v>
      </c>
      <c r="B101">
        <v>2375.982</v>
      </c>
    </row>
    <row r="102" spans="1:2" x14ac:dyDescent="0.25">
      <c r="A102" s="2">
        <v>45450</v>
      </c>
      <c r="B102">
        <v>2293.9549999999999</v>
      </c>
    </row>
    <row r="103" spans="1:2" x14ac:dyDescent="0.25">
      <c r="A103" s="2">
        <v>45453</v>
      </c>
      <c r="B103">
        <v>2311.0030000000002</v>
      </c>
    </row>
    <row r="104" spans="1:2" x14ac:dyDescent="0.25">
      <c r="A104" s="2">
        <v>45454</v>
      </c>
      <c r="B104">
        <v>2316.7049999999999</v>
      </c>
    </row>
    <row r="105" spans="1:2" x14ac:dyDescent="0.25">
      <c r="A105" s="2">
        <v>45455</v>
      </c>
      <c r="B105">
        <v>2323</v>
      </c>
    </row>
    <row r="106" spans="1:2" x14ac:dyDescent="0.25">
      <c r="A106" s="2">
        <v>45456</v>
      </c>
      <c r="B106">
        <v>2303.5630000000001</v>
      </c>
    </row>
    <row r="107" spans="1:2" x14ac:dyDescent="0.25">
      <c r="A107" s="2">
        <v>45457</v>
      </c>
      <c r="B107">
        <v>2332.7750000000001</v>
      </c>
    </row>
    <row r="108" spans="1:2" x14ac:dyDescent="0.25">
      <c r="A108" s="2">
        <v>45460</v>
      </c>
      <c r="B108">
        <v>2319.2249999999999</v>
      </c>
    </row>
    <row r="109" spans="1:2" x14ac:dyDescent="0.25">
      <c r="A109" s="2">
        <v>45461</v>
      </c>
      <c r="B109">
        <v>2329.415</v>
      </c>
    </row>
    <row r="110" spans="1:2" x14ac:dyDescent="0.25">
      <c r="A110" s="2">
        <v>45462</v>
      </c>
      <c r="B110">
        <v>2327.7249999999999</v>
      </c>
    </row>
    <row r="111" spans="1:2" x14ac:dyDescent="0.25">
      <c r="A111" s="2">
        <v>45463</v>
      </c>
      <c r="B111">
        <v>2359.98</v>
      </c>
    </row>
    <row r="112" spans="1:2" x14ac:dyDescent="0.25">
      <c r="A112" s="2">
        <v>45464</v>
      </c>
      <c r="B112">
        <v>2321.5949999999998</v>
      </c>
    </row>
    <row r="113" spans="1:2" x14ac:dyDescent="0.25">
      <c r="A113" s="2">
        <v>45467</v>
      </c>
      <c r="B113">
        <v>2333.2950000000001</v>
      </c>
    </row>
    <row r="114" spans="1:2" x14ac:dyDescent="0.25">
      <c r="A114" s="2">
        <v>45468</v>
      </c>
      <c r="B114">
        <v>2319.355</v>
      </c>
    </row>
    <row r="115" spans="1:2" x14ac:dyDescent="0.25">
      <c r="A115" s="2">
        <v>45469</v>
      </c>
      <c r="B115">
        <v>2298.2919999999999</v>
      </c>
    </row>
    <row r="116" spans="1:2" x14ac:dyDescent="0.25">
      <c r="A116" s="2">
        <v>45470</v>
      </c>
      <c r="B116">
        <v>2327.8130000000001</v>
      </c>
    </row>
    <row r="117" spans="1:2" x14ac:dyDescent="0.25">
      <c r="A117" s="2">
        <v>45471</v>
      </c>
      <c r="B117">
        <v>2326.9549999999999</v>
      </c>
    </row>
    <row r="118" spans="1:2" x14ac:dyDescent="0.25">
      <c r="A118" s="2">
        <v>45474</v>
      </c>
      <c r="B118">
        <v>2332.0500000000002</v>
      </c>
    </row>
    <row r="119" spans="1:2" x14ac:dyDescent="0.25">
      <c r="A119" s="2">
        <v>45475</v>
      </c>
      <c r="B119">
        <v>2329.62</v>
      </c>
    </row>
    <row r="120" spans="1:2" x14ac:dyDescent="0.25">
      <c r="A120" s="2">
        <v>45476</v>
      </c>
      <c r="B120">
        <v>2356.4299999999998</v>
      </c>
    </row>
    <row r="121" spans="1:2" x14ac:dyDescent="0.25">
      <c r="A121" s="2">
        <v>45477</v>
      </c>
      <c r="B121">
        <v>2356.37</v>
      </c>
    </row>
    <row r="122" spans="1:2" x14ac:dyDescent="0.25">
      <c r="A122" s="2">
        <v>45478</v>
      </c>
      <c r="B122">
        <v>2391.768</v>
      </c>
    </row>
    <row r="123" spans="1:2" x14ac:dyDescent="0.25">
      <c r="A123" s="2">
        <v>45481</v>
      </c>
      <c r="B123">
        <v>2359.15</v>
      </c>
    </row>
    <row r="124" spans="1:2" x14ac:dyDescent="0.25">
      <c r="A124" s="2">
        <v>45482</v>
      </c>
      <c r="B124">
        <v>2363.94</v>
      </c>
    </row>
    <row r="125" spans="1:2" x14ac:dyDescent="0.25">
      <c r="A125" s="2">
        <v>45483</v>
      </c>
      <c r="B125">
        <v>2371.4250000000002</v>
      </c>
    </row>
    <row r="126" spans="1:2" x14ac:dyDescent="0.25">
      <c r="A126" s="2">
        <v>45484</v>
      </c>
      <c r="B126">
        <v>2415.13</v>
      </c>
    </row>
    <row r="127" spans="1:2" x14ac:dyDescent="0.25">
      <c r="A127" s="2">
        <v>45485</v>
      </c>
      <c r="B127">
        <v>2411.6550000000002</v>
      </c>
    </row>
    <row r="128" spans="1:2" x14ac:dyDescent="0.25">
      <c r="A128" s="2">
        <v>45488</v>
      </c>
      <c r="B128">
        <v>2422.415</v>
      </c>
    </row>
    <row r="129" spans="1:2" x14ac:dyDescent="0.25">
      <c r="A129" s="2">
        <v>45489</v>
      </c>
      <c r="B129">
        <v>2468.9450000000002</v>
      </c>
    </row>
    <row r="130" spans="1:2" x14ac:dyDescent="0.25">
      <c r="A130" s="2">
        <v>45490</v>
      </c>
      <c r="B130">
        <v>2458.7600000000002</v>
      </c>
    </row>
    <row r="131" spans="1:2" x14ac:dyDescent="0.25">
      <c r="A131" s="2">
        <v>45491</v>
      </c>
      <c r="B131">
        <v>2445.34</v>
      </c>
    </row>
    <row r="132" spans="1:2" x14ac:dyDescent="0.25">
      <c r="A132" s="2">
        <v>45492</v>
      </c>
      <c r="B132">
        <v>2401.1950000000002</v>
      </c>
    </row>
    <row r="133" spans="1:2" x14ac:dyDescent="0.25">
      <c r="A133" s="2">
        <v>45495</v>
      </c>
      <c r="B133">
        <v>2398.0100000000002</v>
      </c>
    </row>
    <row r="134" spans="1:2" x14ac:dyDescent="0.25">
      <c r="A134" s="2">
        <v>45496</v>
      </c>
      <c r="B134">
        <v>2409.5650000000001</v>
      </c>
    </row>
    <row r="135" spans="1:2" x14ac:dyDescent="0.25">
      <c r="A135" s="2">
        <v>45497</v>
      </c>
      <c r="B135">
        <v>2397.9450000000002</v>
      </c>
    </row>
    <row r="136" spans="1:2" x14ac:dyDescent="0.25">
      <c r="A136" s="2">
        <v>45498</v>
      </c>
      <c r="B136">
        <v>2364.87</v>
      </c>
    </row>
    <row r="137" spans="1:2" x14ac:dyDescent="0.25">
      <c r="A137" s="2">
        <v>45499</v>
      </c>
      <c r="B137">
        <v>2386.8249999999998</v>
      </c>
    </row>
    <row r="138" spans="1:2" x14ac:dyDescent="0.25">
      <c r="A138" s="2">
        <v>45502</v>
      </c>
      <c r="B138">
        <v>2383.915</v>
      </c>
    </row>
    <row r="139" spans="1:2" x14ac:dyDescent="0.25">
      <c r="A139" s="2">
        <v>45503</v>
      </c>
      <c r="B139">
        <v>2408.6550000000002</v>
      </c>
    </row>
    <row r="140" spans="1:2" x14ac:dyDescent="0.25">
      <c r="A140" s="2">
        <v>45504</v>
      </c>
      <c r="B140">
        <v>2448.4549999999999</v>
      </c>
    </row>
    <row r="141" spans="1:2" x14ac:dyDescent="0.25">
      <c r="A141" s="2">
        <v>45505</v>
      </c>
      <c r="B141">
        <v>2445.7979999999998</v>
      </c>
    </row>
    <row r="142" spans="1:2" x14ac:dyDescent="0.25">
      <c r="A142" s="2">
        <v>45506</v>
      </c>
      <c r="B142">
        <v>2443.5500000000002</v>
      </c>
    </row>
    <row r="143" spans="1:2" x14ac:dyDescent="0.25">
      <c r="A143" s="2">
        <v>45509</v>
      </c>
      <c r="B143">
        <v>2408.0100000000002</v>
      </c>
    </row>
    <row r="144" spans="1:2" x14ac:dyDescent="0.25">
      <c r="A144" s="2">
        <v>45510</v>
      </c>
      <c r="B144">
        <v>2389.67</v>
      </c>
    </row>
    <row r="145" spans="1:2" x14ac:dyDescent="0.25">
      <c r="A145" s="2">
        <v>45511</v>
      </c>
      <c r="B145">
        <v>2382.7849999999999</v>
      </c>
    </row>
    <row r="146" spans="1:2" x14ac:dyDescent="0.25">
      <c r="A146" s="2">
        <v>45512</v>
      </c>
      <c r="B146">
        <v>2427.0929999999998</v>
      </c>
    </row>
    <row r="147" spans="1:2" x14ac:dyDescent="0.25">
      <c r="A147" s="2">
        <v>45513</v>
      </c>
      <c r="B147">
        <v>2431.2080000000001</v>
      </c>
    </row>
    <row r="148" spans="1:2" x14ac:dyDescent="0.25">
      <c r="A148" s="2">
        <v>45516</v>
      </c>
      <c r="B148">
        <v>2472.625</v>
      </c>
    </row>
    <row r="149" spans="1:2" x14ac:dyDescent="0.25">
      <c r="A149" s="2">
        <v>45517</v>
      </c>
      <c r="B149">
        <v>2465.4</v>
      </c>
    </row>
    <row r="150" spans="1:2" x14ac:dyDescent="0.25">
      <c r="A150" s="2">
        <v>45518</v>
      </c>
      <c r="B150">
        <v>2448.145</v>
      </c>
    </row>
    <row r="151" spans="1:2" x14ac:dyDescent="0.25">
      <c r="A151" s="2">
        <v>45519</v>
      </c>
      <c r="B151">
        <v>2456.5650000000001</v>
      </c>
    </row>
    <row r="152" spans="1:2" x14ac:dyDescent="0.25">
      <c r="A152" s="2">
        <v>45520</v>
      </c>
      <c r="B152">
        <v>2508.098</v>
      </c>
    </row>
    <row r="153" spans="1:2" x14ac:dyDescent="0.25">
      <c r="A153" s="2">
        <v>45523</v>
      </c>
      <c r="B153">
        <v>2504.2420000000002</v>
      </c>
    </row>
    <row r="154" spans="1:2" x14ac:dyDescent="0.25">
      <c r="A154" s="2">
        <v>45524</v>
      </c>
      <c r="B154">
        <v>2514.0419999999999</v>
      </c>
    </row>
    <row r="155" spans="1:2" x14ac:dyDescent="0.25">
      <c r="A155" s="2">
        <v>45525</v>
      </c>
      <c r="B155">
        <v>2512.2530000000002</v>
      </c>
    </row>
    <row r="156" spans="1:2" x14ac:dyDescent="0.25">
      <c r="A156" s="2">
        <v>45526</v>
      </c>
      <c r="B156">
        <v>2484.5450000000001</v>
      </c>
    </row>
    <row r="157" spans="1:2" x14ac:dyDescent="0.25">
      <c r="A157" s="2">
        <v>45527</v>
      </c>
      <c r="B157">
        <v>2512.4549999999999</v>
      </c>
    </row>
    <row r="158" spans="1:2" x14ac:dyDescent="0.25">
      <c r="A158" s="2">
        <v>45530</v>
      </c>
      <c r="B158">
        <v>2518.1350000000002</v>
      </c>
    </row>
    <row r="159" spans="1:2" x14ac:dyDescent="0.25">
      <c r="A159" s="2">
        <v>45531</v>
      </c>
      <c r="B159">
        <v>2524.92</v>
      </c>
    </row>
    <row r="160" spans="1:2" x14ac:dyDescent="0.25">
      <c r="A160" s="2">
        <v>45532</v>
      </c>
      <c r="B160">
        <v>2502.5700000000002</v>
      </c>
    </row>
    <row r="161" spans="1:2" x14ac:dyDescent="0.25">
      <c r="A161" s="2">
        <v>45533</v>
      </c>
      <c r="B161">
        <v>2521.5500000000002</v>
      </c>
    </row>
    <row r="162" spans="1:2" x14ac:dyDescent="0.25">
      <c r="A162" s="2">
        <v>45534</v>
      </c>
      <c r="B162">
        <v>2503.355</v>
      </c>
    </row>
    <row r="163" spans="1:2" x14ac:dyDescent="0.25">
      <c r="A163" s="2">
        <v>45537</v>
      </c>
      <c r="B163">
        <v>2499.5450000000001</v>
      </c>
    </row>
    <row r="164" spans="1:2" x14ac:dyDescent="0.25">
      <c r="A164" s="2">
        <v>45538</v>
      </c>
      <c r="B164">
        <v>2493.143</v>
      </c>
    </row>
    <row r="165" spans="1:2" x14ac:dyDescent="0.25">
      <c r="A165" s="2">
        <v>45539</v>
      </c>
      <c r="B165">
        <v>2494.5520000000001</v>
      </c>
    </row>
    <row r="166" spans="1:2" x14ac:dyDescent="0.25">
      <c r="A166" s="2">
        <v>45540</v>
      </c>
      <c r="B166">
        <v>2516.692</v>
      </c>
    </row>
    <row r="167" spans="1:2" x14ac:dyDescent="0.25">
      <c r="A167" s="2">
        <v>45541</v>
      </c>
      <c r="B167">
        <v>2516.96</v>
      </c>
    </row>
    <row r="168" spans="1:2" x14ac:dyDescent="0.25">
      <c r="A168" s="2">
        <v>45544</v>
      </c>
      <c r="B168">
        <v>2506.5050000000001</v>
      </c>
    </row>
    <row r="169" spans="1:2" x14ac:dyDescent="0.25">
      <c r="A169" s="2">
        <v>45545</v>
      </c>
      <c r="B169">
        <v>2516.4720000000002</v>
      </c>
    </row>
    <row r="170" spans="1:2" x14ac:dyDescent="0.25">
      <c r="A170" s="2">
        <v>45546</v>
      </c>
      <c r="B170">
        <v>2511.8130000000001</v>
      </c>
    </row>
    <row r="171" spans="1:2" x14ac:dyDescent="0.25">
      <c r="A171" s="2">
        <v>45547</v>
      </c>
      <c r="B171">
        <v>2559.123</v>
      </c>
    </row>
    <row r="172" spans="1:2" x14ac:dyDescent="0.25">
      <c r="A172" s="2">
        <v>45548</v>
      </c>
      <c r="B172">
        <v>2577.5279999999998</v>
      </c>
    </row>
    <row r="173" spans="1:2" x14ac:dyDescent="0.25">
      <c r="A173" s="2">
        <v>45551</v>
      </c>
      <c r="B173">
        <v>2582.96</v>
      </c>
    </row>
    <row r="174" spans="1:2" x14ac:dyDescent="0.25">
      <c r="A174" s="2">
        <v>45552</v>
      </c>
      <c r="B174">
        <v>2570</v>
      </c>
    </row>
    <row r="175" spans="1:2" x14ac:dyDescent="0.25">
      <c r="A175" s="2">
        <v>45553</v>
      </c>
      <c r="B175">
        <v>2559.15</v>
      </c>
    </row>
    <row r="176" spans="1:2" x14ac:dyDescent="0.25">
      <c r="A176" s="2">
        <v>45554</v>
      </c>
      <c r="B176">
        <v>2586.8130000000001</v>
      </c>
    </row>
    <row r="177" spans="1:2" x14ac:dyDescent="0.25">
      <c r="A177" s="2">
        <v>45555</v>
      </c>
      <c r="B177">
        <v>2622.2330000000002</v>
      </c>
    </row>
    <row r="178" spans="1:2" x14ac:dyDescent="0.25">
      <c r="A178" s="2">
        <v>45558</v>
      </c>
      <c r="B178">
        <v>2628.7730000000001</v>
      </c>
    </row>
    <row r="179" spans="1:2" x14ac:dyDescent="0.25">
      <c r="A179" s="2">
        <v>45559</v>
      </c>
      <c r="B179">
        <v>2657.06</v>
      </c>
    </row>
    <row r="180" spans="1:2" x14ac:dyDescent="0.25">
      <c r="A180" s="2">
        <v>45560</v>
      </c>
      <c r="B180">
        <v>2657.183</v>
      </c>
    </row>
    <row r="181" spans="1:2" x14ac:dyDescent="0.25">
      <c r="A181" s="2">
        <v>45561</v>
      </c>
      <c r="B181">
        <v>2670.5</v>
      </c>
    </row>
    <row r="182" spans="1:2" x14ac:dyDescent="0.25">
      <c r="A182" s="2">
        <v>45562</v>
      </c>
      <c r="B182">
        <v>2658.3629999999998</v>
      </c>
    </row>
    <row r="183" spans="1:2" x14ac:dyDescent="0.25">
      <c r="A183" s="2">
        <v>45565</v>
      </c>
      <c r="B183">
        <v>2634.855</v>
      </c>
    </row>
    <row r="184" spans="1:2" x14ac:dyDescent="0.25">
      <c r="A184" s="2">
        <v>45566</v>
      </c>
      <c r="B184">
        <v>2663.17</v>
      </c>
    </row>
    <row r="185" spans="1:2" x14ac:dyDescent="0.25">
      <c r="A185" s="2">
        <v>45567</v>
      </c>
      <c r="B185">
        <v>2659.0050000000001</v>
      </c>
    </row>
    <row r="186" spans="1:2" x14ac:dyDescent="0.25">
      <c r="A186" s="2">
        <v>45568</v>
      </c>
      <c r="B186">
        <v>2656.2530000000002</v>
      </c>
    </row>
    <row r="187" spans="1:2" x14ac:dyDescent="0.25">
      <c r="A187" s="2">
        <v>45569</v>
      </c>
      <c r="B187">
        <v>2653.4949999999999</v>
      </c>
    </row>
    <row r="188" spans="1:2" x14ac:dyDescent="0.25">
      <c r="A188" s="2">
        <v>45572</v>
      </c>
      <c r="B188">
        <v>2643.9349999999999</v>
      </c>
    </row>
    <row r="189" spans="1:2" x14ac:dyDescent="0.25">
      <c r="A189" s="2">
        <v>45573</v>
      </c>
      <c r="B189">
        <v>2622.3150000000001</v>
      </c>
    </row>
    <row r="190" spans="1:2" x14ac:dyDescent="0.25">
      <c r="A190" s="2">
        <v>45574</v>
      </c>
      <c r="B190">
        <v>2608.143</v>
      </c>
    </row>
    <row r="191" spans="1:2" x14ac:dyDescent="0.25">
      <c r="A191" s="2">
        <v>45575</v>
      </c>
      <c r="B191">
        <v>2629.835</v>
      </c>
    </row>
    <row r="192" spans="1:2" x14ac:dyDescent="0.25">
      <c r="A192" s="2">
        <v>45576</v>
      </c>
      <c r="B192">
        <v>2657.248</v>
      </c>
    </row>
    <row r="193" spans="1:2" x14ac:dyDescent="0.25">
      <c r="A193" s="2">
        <v>45579</v>
      </c>
      <c r="B193">
        <v>2651.5</v>
      </c>
    </row>
    <row r="194" spans="1:2" x14ac:dyDescent="0.25">
      <c r="A194" s="2">
        <v>45580</v>
      </c>
      <c r="B194">
        <v>2661.35</v>
      </c>
    </row>
    <row r="195" spans="1:2" x14ac:dyDescent="0.25">
      <c r="A195" s="2">
        <v>45581</v>
      </c>
      <c r="B195">
        <v>2673.665</v>
      </c>
    </row>
    <row r="196" spans="1:2" x14ac:dyDescent="0.25">
      <c r="A196" s="2">
        <v>45582</v>
      </c>
      <c r="B196">
        <v>2692.9029999999998</v>
      </c>
    </row>
    <row r="197" spans="1:2" x14ac:dyDescent="0.25">
      <c r="A197" s="2">
        <v>45583</v>
      </c>
      <c r="B197">
        <v>2721.4349999999999</v>
      </c>
    </row>
    <row r="198" spans="1:2" x14ac:dyDescent="0.25">
      <c r="A198" s="2">
        <v>45586</v>
      </c>
      <c r="B198">
        <v>2720.0219999999999</v>
      </c>
    </row>
    <row r="199" spans="1:2" x14ac:dyDescent="0.25">
      <c r="A199" s="2">
        <v>45587</v>
      </c>
      <c r="B199">
        <v>2748.72</v>
      </c>
    </row>
    <row r="200" spans="1:2" x14ac:dyDescent="0.25">
      <c r="A200" s="2">
        <v>45588</v>
      </c>
      <c r="B200">
        <v>2717.99</v>
      </c>
    </row>
    <row r="201" spans="1:2" x14ac:dyDescent="0.25">
      <c r="A201" s="2">
        <v>45589</v>
      </c>
      <c r="B201">
        <v>2736.0320000000002</v>
      </c>
    </row>
    <row r="202" spans="1:2" x14ac:dyDescent="0.25">
      <c r="A202" s="2">
        <v>45590</v>
      </c>
      <c r="B202">
        <v>2747.9549999999999</v>
      </c>
    </row>
    <row r="203" spans="1:2" x14ac:dyDescent="0.25">
      <c r="A203" s="2">
        <v>45593</v>
      </c>
      <c r="B203">
        <v>2742.3229999999999</v>
      </c>
    </row>
    <row r="204" spans="1:2" x14ac:dyDescent="0.25">
      <c r="A204" s="2">
        <v>45594</v>
      </c>
      <c r="B204">
        <v>2775.5129999999999</v>
      </c>
    </row>
    <row r="205" spans="1:2" x14ac:dyDescent="0.25">
      <c r="A205" s="2">
        <v>45595</v>
      </c>
      <c r="B205">
        <v>2786.5630000000001</v>
      </c>
    </row>
    <row r="206" spans="1:2" x14ac:dyDescent="0.25">
      <c r="A206" s="2">
        <v>45596</v>
      </c>
      <c r="B206">
        <v>2744.14</v>
      </c>
    </row>
    <row r="207" spans="1:2" x14ac:dyDescent="0.25">
      <c r="A207" s="2">
        <v>45597</v>
      </c>
      <c r="B207">
        <v>2736.4050000000002</v>
      </c>
    </row>
    <row r="208" spans="1:2" x14ac:dyDescent="0.25">
      <c r="A208" s="2">
        <v>45600</v>
      </c>
      <c r="B208">
        <v>2736.5949999999998</v>
      </c>
    </row>
    <row r="209" spans="1:2" x14ac:dyDescent="0.25">
      <c r="A209" s="2">
        <v>45601</v>
      </c>
      <c r="B209">
        <v>2743.8449999999998</v>
      </c>
    </row>
    <row r="210" spans="1:2" x14ac:dyDescent="0.25">
      <c r="A210" s="2">
        <v>45602</v>
      </c>
      <c r="B210">
        <v>2659.37</v>
      </c>
    </row>
    <row r="211" spans="1:2" x14ac:dyDescent="0.25">
      <c r="A211" s="2">
        <v>45603</v>
      </c>
      <c r="B211">
        <v>2707.2950000000001</v>
      </c>
    </row>
    <row r="212" spans="1:2" x14ac:dyDescent="0.25">
      <c r="A212" s="2">
        <v>45604</v>
      </c>
      <c r="B212">
        <v>2683.89</v>
      </c>
    </row>
    <row r="213" spans="1:2" x14ac:dyDescent="0.25">
      <c r="A213" s="2">
        <v>45607</v>
      </c>
      <c r="B213">
        <v>2620.3200000000002</v>
      </c>
    </row>
    <row r="214" spans="1:2" x14ac:dyDescent="0.25">
      <c r="A214" s="2">
        <v>45608</v>
      </c>
      <c r="B214">
        <v>2597.42</v>
      </c>
    </row>
    <row r="215" spans="1:2" x14ac:dyDescent="0.25">
      <c r="A215" s="2">
        <v>45609</v>
      </c>
      <c r="B215">
        <v>2573.92</v>
      </c>
    </row>
    <row r="216" spans="1:2" x14ac:dyDescent="0.25">
      <c r="A216" s="2">
        <v>45610</v>
      </c>
      <c r="B216">
        <v>2566.4450000000002</v>
      </c>
    </row>
    <row r="217" spans="1:2" x14ac:dyDescent="0.25">
      <c r="A217" s="2">
        <v>45611</v>
      </c>
      <c r="B217">
        <v>2561.6149999999998</v>
      </c>
    </row>
    <row r="218" spans="1:2" x14ac:dyDescent="0.25">
      <c r="A218" s="2">
        <v>45614</v>
      </c>
      <c r="B218">
        <v>2612.31</v>
      </c>
    </row>
    <row r="219" spans="1:2" x14ac:dyDescent="0.25">
      <c r="A219" s="2">
        <v>45615</v>
      </c>
      <c r="B219">
        <v>2631.8</v>
      </c>
    </row>
    <row r="220" spans="1:2" x14ac:dyDescent="0.25">
      <c r="A220" s="2">
        <v>45616</v>
      </c>
      <c r="B220">
        <v>2650.1750000000002</v>
      </c>
    </row>
    <row r="221" spans="1:2" x14ac:dyDescent="0.25">
      <c r="A221" s="2">
        <v>45617</v>
      </c>
      <c r="B221">
        <v>2669.82</v>
      </c>
    </row>
    <row r="222" spans="1:2" x14ac:dyDescent="0.25">
      <c r="A222" s="2">
        <v>45618</v>
      </c>
      <c r="B222">
        <v>2712.7750000000001</v>
      </c>
    </row>
    <row r="223" spans="1:2" x14ac:dyDescent="0.25">
      <c r="A223" s="2">
        <v>45621</v>
      </c>
      <c r="B223">
        <v>2625.395</v>
      </c>
    </row>
    <row r="224" spans="1:2" x14ac:dyDescent="0.25">
      <c r="A224" s="2">
        <v>45622</v>
      </c>
      <c r="B224">
        <v>2632.1950000000002</v>
      </c>
    </row>
    <row r="225" spans="1:2" x14ac:dyDescent="0.25">
      <c r="A225" s="2">
        <v>45623</v>
      </c>
      <c r="B225">
        <v>2635.7350000000001</v>
      </c>
    </row>
    <row r="226" spans="1:2" x14ac:dyDescent="0.25">
      <c r="A226" s="2">
        <v>45624</v>
      </c>
      <c r="B226">
        <v>2641.2849999999999</v>
      </c>
    </row>
    <row r="227" spans="1:2" x14ac:dyDescent="0.25">
      <c r="A227" s="2">
        <v>45625</v>
      </c>
      <c r="B227">
        <v>2653.82</v>
      </c>
    </row>
    <row r="228" spans="1:2" x14ac:dyDescent="0.25">
      <c r="A228" s="2">
        <v>45628</v>
      </c>
      <c r="B228">
        <v>2639.07</v>
      </c>
    </row>
    <row r="229" spans="1:2" x14ac:dyDescent="0.25">
      <c r="A229" s="2">
        <v>45629</v>
      </c>
      <c r="B229">
        <v>2643.56</v>
      </c>
    </row>
    <row r="230" spans="1:2" x14ac:dyDescent="0.25">
      <c r="A230" s="2">
        <v>45630</v>
      </c>
      <c r="B230">
        <v>2649.92</v>
      </c>
    </row>
    <row r="231" spans="1:2" x14ac:dyDescent="0.25">
      <c r="A231" s="2">
        <v>45631</v>
      </c>
      <c r="B231">
        <v>2632.2</v>
      </c>
    </row>
    <row r="232" spans="1:2" x14ac:dyDescent="0.25">
      <c r="A232" s="2">
        <v>45632</v>
      </c>
      <c r="B232">
        <v>2633.0450000000001</v>
      </c>
    </row>
    <row r="233" spans="1:2" x14ac:dyDescent="0.25">
      <c r="A233" s="2">
        <v>45635</v>
      </c>
      <c r="B233">
        <v>2658.91</v>
      </c>
    </row>
    <row r="234" spans="1:2" x14ac:dyDescent="0.25">
      <c r="A234" s="2">
        <v>45636</v>
      </c>
      <c r="B234">
        <v>2693.77</v>
      </c>
    </row>
    <row r="235" spans="1:2" x14ac:dyDescent="0.25">
      <c r="A235" s="2">
        <v>45637</v>
      </c>
      <c r="B235">
        <v>2718.07</v>
      </c>
    </row>
    <row r="236" spans="1:2" x14ac:dyDescent="0.25">
      <c r="A236" s="2">
        <v>45638</v>
      </c>
      <c r="B236">
        <v>2681.46</v>
      </c>
    </row>
    <row r="237" spans="1:2" x14ac:dyDescent="0.25">
      <c r="A237" s="2">
        <v>45639</v>
      </c>
      <c r="B237">
        <v>2648.7950000000001</v>
      </c>
    </row>
    <row r="238" spans="1:2" x14ac:dyDescent="0.25">
      <c r="A238" s="2">
        <v>45642</v>
      </c>
      <c r="B238">
        <v>2652.625</v>
      </c>
    </row>
    <row r="239" spans="1:2" x14ac:dyDescent="0.25">
      <c r="A239" s="2">
        <v>45643</v>
      </c>
      <c r="B239">
        <v>2645.69</v>
      </c>
    </row>
    <row r="240" spans="1:2" x14ac:dyDescent="0.25">
      <c r="A240" s="2">
        <v>45644</v>
      </c>
      <c r="B240">
        <v>2587.89</v>
      </c>
    </row>
    <row r="241" spans="1:2" x14ac:dyDescent="0.25">
      <c r="A241" s="2">
        <v>45645</v>
      </c>
      <c r="B241">
        <v>2594</v>
      </c>
    </row>
    <row r="242" spans="1:2" x14ac:dyDescent="0.25">
      <c r="A242" s="2">
        <v>45646</v>
      </c>
      <c r="B242">
        <v>2621.37</v>
      </c>
    </row>
    <row r="243" spans="1:2" x14ac:dyDescent="0.25">
      <c r="A243" s="2">
        <v>45649</v>
      </c>
      <c r="B243">
        <v>2613.0500000000002</v>
      </c>
    </row>
    <row r="244" spans="1:2" x14ac:dyDescent="0.25">
      <c r="A244" s="2">
        <v>45650</v>
      </c>
      <c r="B244">
        <v>2613.91</v>
      </c>
    </row>
    <row r="245" spans="1:2" x14ac:dyDescent="0.25">
      <c r="A245" s="2">
        <v>45651</v>
      </c>
      <c r="B245">
        <v>2613.91</v>
      </c>
    </row>
    <row r="246" spans="1:2" x14ac:dyDescent="0.25">
      <c r="A246" s="2">
        <v>45652</v>
      </c>
      <c r="B246">
        <v>2634.58</v>
      </c>
    </row>
    <row r="247" spans="1:2" x14ac:dyDescent="0.25">
      <c r="A247" s="2">
        <v>45653</v>
      </c>
      <c r="B247">
        <v>2620.3000000000002</v>
      </c>
    </row>
    <row r="248" spans="1:2" x14ac:dyDescent="0.25">
      <c r="A248" s="2">
        <v>45656</v>
      </c>
      <c r="B248">
        <v>2605.9450000000002</v>
      </c>
    </row>
    <row r="249" spans="1:2" x14ac:dyDescent="0.25">
      <c r="A249" s="2">
        <v>45657</v>
      </c>
      <c r="B249">
        <v>2624.63</v>
      </c>
    </row>
    <row r="250" spans="1:2" x14ac:dyDescent="0.25">
      <c r="A250" s="2">
        <v>45658</v>
      </c>
      <c r="B250">
        <v>2624.63</v>
      </c>
    </row>
    <row r="251" spans="1:2" x14ac:dyDescent="0.25">
      <c r="A251" s="2">
        <v>45659</v>
      </c>
      <c r="B251">
        <v>2657.29</v>
      </c>
    </row>
    <row r="252" spans="1:2" x14ac:dyDescent="0.25">
      <c r="A252" s="2">
        <v>45660</v>
      </c>
      <c r="B252">
        <v>2639.4949999999999</v>
      </c>
    </row>
    <row r="253" spans="1:2" x14ac:dyDescent="0.25">
      <c r="A253" s="2">
        <v>45663</v>
      </c>
      <c r="B253">
        <v>2636.0749999999998</v>
      </c>
    </row>
    <row r="254" spans="1:2" x14ac:dyDescent="0.25">
      <c r="A254" s="2">
        <v>45664</v>
      </c>
      <c r="B254">
        <v>2649.9450000000002</v>
      </c>
    </row>
    <row r="255" spans="1:2" x14ac:dyDescent="0.25">
      <c r="A255" s="2">
        <v>45665</v>
      </c>
      <c r="B255">
        <v>2662.2</v>
      </c>
    </row>
    <row r="256" spans="1:2" x14ac:dyDescent="0.25">
      <c r="A256" s="2">
        <v>45666</v>
      </c>
      <c r="B256">
        <v>2670.645</v>
      </c>
    </row>
    <row r="257" spans="1:2" x14ac:dyDescent="0.25">
      <c r="A257" s="2">
        <v>45667</v>
      </c>
      <c r="B257">
        <v>2690.0050000000001</v>
      </c>
    </row>
    <row r="258" spans="1:2" x14ac:dyDescent="0.25">
      <c r="A258" s="2">
        <v>45670</v>
      </c>
      <c r="B258">
        <v>2662.4949999999999</v>
      </c>
    </row>
    <row r="259" spans="1:2" x14ac:dyDescent="0.25">
      <c r="A259" s="2">
        <v>45671</v>
      </c>
      <c r="B259">
        <v>2677.29</v>
      </c>
    </row>
    <row r="260" spans="1:2" x14ac:dyDescent="0.25">
      <c r="A260" s="2">
        <v>45672</v>
      </c>
      <c r="B260">
        <v>2695.9450000000002</v>
      </c>
    </row>
    <row r="261" spans="1:2" x14ac:dyDescent="0.25">
      <c r="A261" s="2">
        <v>45673</v>
      </c>
      <c r="B261">
        <v>2713.9050000000002</v>
      </c>
    </row>
    <row r="262" spans="1:2" x14ac:dyDescent="0.25">
      <c r="A262" s="2">
        <v>45674</v>
      </c>
      <c r="B262">
        <v>2701.9250000000002</v>
      </c>
    </row>
    <row r="263" spans="1:2" x14ac:dyDescent="0.25">
      <c r="A263" s="2">
        <v>45677</v>
      </c>
      <c r="B263">
        <v>2708.6550000000002</v>
      </c>
    </row>
    <row r="264" spans="1:2" x14ac:dyDescent="0.25">
      <c r="A264" s="2">
        <v>45678</v>
      </c>
      <c r="B264">
        <v>2745.1950000000002</v>
      </c>
    </row>
    <row r="265" spans="1:2" x14ac:dyDescent="0.25">
      <c r="A265" s="2">
        <v>45679</v>
      </c>
      <c r="B265">
        <v>2755.614</v>
      </c>
    </row>
    <row r="266" spans="1:2" x14ac:dyDescent="0.25">
      <c r="A266" s="2">
        <v>45680</v>
      </c>
      <c r="B266">
        <v>2754.0450000000001</v>
      </c>
    </row>
    <row r="267" spans="1:2" x14ac:dyDescent="0.25">
      <c r="A267" s="2">
        <v>45681</v>
      </c>
      <c r="B267">
        <v>2771.3850000000002</v>
      </c>
    </row>
    <row r="268" spans="1:2" x14ac:dyDescent="0.25">
      <c r="A268" s="2">
        <v>45684</v>
      </c>
      <c r="B268">
        <v>2741.4</v>
      </c>
    </row>
    <row r="269" spans="1:2" x14ac:dyDescent="0.25">
      <c r="A269" s="2">
        <v>45685</v>
      </c>
      <c r="B269">
        <v>2763.4850000000001</v>
      </c>
    </row>
    <row r="270" spans="1:2" x14ac:dyDescent="0.25">
      <c r="A270" s="2">
        <v>45686</v>
      </c>
      <c r="B270">
        <v>2757.895</v>
      </c>
    </row>
    <row r="271" spans="1:2" x14ac:dyDescent="0.25">
      <c r="A271" s="2">
        <v>45687</v>
      </c>
      <c r="B271">
        <v>2794.04</v>
      </c>
    </row>
    <row r="272" spans="1:2" x14ac:dyDescent="0.25">
      <c r="A272" s="2">
        <v>45688</v>
      </c>
      <c r="B272">
        <v>2801.18</v>
      </c>
    </row>
    <row r="273" spans="1:2" x14ac:dyDescent="0.25">
      <c r="A273" s="2">
        <v>45691</v>
      </c>
      <c r="B273">
        <v>2814.3449999999998</v>
      </c>
    </row>
    <row r="274" spans="1:2" x14ac:dyDescent="0.25">
      <c r="A274" s="2">
        <v>45692</v>
      </c>
      <c r="B274">
        <v>2842.0749999999998</v>
      </c>
    </row>
    <row r="275" spans="1:2" x14ac:dyDescent="0.25">
      <c r="A275" s="2">
        <v>45693</v>
      </c>
      <c r="B275">
        <v>2865.25</v>
      </c>
    </row>
    <row r="276" spans="1:2" x14ac:dyDescent="0.25">
      <c r="A276" s="2">
        <v>45694</v>
      </c>
      <c r="B276">
        <v>2856.6350000000002</v>
      </c>
    </row>
    <row r="277" spans="1:2" x14ac:dyDescent="0.25">
      <c r="A277" s="2">
        <v>45695</v>
      </c>
      <c r="B277">
        <v>2861.0949999999998</v>
      </c>
    </row>
    <row r="278" spans="1:2" x14ac:dyDescent="0.25">
      <c r="A278" s="2">
        <v>45698</v>
      </c>
      <c r="B278">
        <v>2907.4749999999999</v>
      </c>
    </row>
    <row r="279" spans="1:2" x14ac:dyDescent="0.25">
      <c r="A279" s="2">
        <v>45699</v>
      </c>
      <c r="B279">
        <v>2898.8539999999998</v>
      </c>
    </row>
    <row r="280" spans="1:2" x14ac:dyDescent="0.25">
      <c r="A280" s="2">
        <v>45700</v>
      </c>
      <c r="B280">
        <v>2903.8150000000001</v>
      </c>
    </row>
    <row r="281" spans="1:2" x14ac:dyDescent="0.25">
      <c r="A281" s="2">
        <v>45701</v>
      </c>
      <c r="B281">
        <v>2929.1750000000002</v>
      </c>
    </row>
    <row r="282" spans="1:2" x14ac:dyDescent="0.25">
      <c r="A282" s="2">
        <v>45702</v>
      </c>
      <c r="B282">
        <v>2883.5549999999998</v>
      </c>
    </row>
    <row r="283" spans="1:2" x14ac:dyDescent="0.25">
      <c r="A283" s="2">
        <v>45705</v>
      </c>
      <c r="B283">
        <v>2897.93</v>
      </c>
    </row>
    <row r="284" spans="1:2" x14ac:dyDescent="0.25">
      <c r="A284" s="2">
        <v>45706</v>
      </c>
      <c r="B284">
        <v>2935.72</v>
      </c>
    </row>
    <row r="285" spans="1:2" x14ac:dyDescent="0.25">
      <c r="A285" s="2">
        <v>45707</v>
      </c>
      <c r="B285">
        <v>2932.7950000000001</v>
      </c>
    </row>
    <row r="286" spans="1:2" x14ac:dyDescent="0.25">
      <c r="A286" s="2">
        <v>45708</v>
      </c>
      <c r="B286">
        <v>2939</v>
      </c>
    </row>
    <row r="287" spans="1:2" x14ac:dyDescent="0.25">
      <c r="A287" s="2">
        <v>45709</v>
      </c>
      <c r="B287">
        <v>2936.4050000000002</v>
      </c>
    </row>
    <row r="288" spans="1:2" x14ac:dyDescent="0.25">
      <c r="A288" s="2">
        <v>45712</v>
      </c>
      <c r="B288">
        <v>2951.9450000000002</v>
      </c>
    </row>
    <row r="289" spans="1:2" x14ac:dyDescent="0.25">
      <c r="A289" s="2">
        <v>45713</v>
      </c>
      <c r="B289">
        <v>2915.42</v>
      </c>
    </row>
    <row r="290" spans="1:2" x14ac:dyDescent="0.25">
      <c r="A290" s="2">
        <v>45714</v>
      </c>
      <c r="B290">
        <v>2916.8449999999998</v>
      </c>
    </row>
    <row r="291" spans="1:2" x14ac:dyDescent="0.25">
      <c r="A291" s="2">
        <v>45715</v>
      </c>
      <c r="B291">
        <v>2877.2449999999999</v>
      </c>
    </row>
    <row r="292" spans="1:2" x14ac:dyDescent="0.25">
      <c r="A292" s="2">
        <v>45716</v>
      </c>
      <c r="B292">
        <v>2858.77</v>
      </c>
    </row>
    <row r="293" spans="1:2" x14ac:dyDescent="0.25">
      <c r="A293" s="2">
        <v>45719</v>
      </c>
      <c r="B293">
        <v>2893.895</v>
      </c>
    </row>
    <row r="294" spans="1:2" x14ac:dyDescent="0.25">
      <c r="A294" s="2">
        <v>45720</v>
      </c>
      <c r="B294">
        <v>2917.66</v>
      </c>
    </row>
    <row r="295" spans="1:2" x14ac:dyDescent="0.25">
      <c r="A295" s="2">
        <v>45721</v>
      </c>
      <c r="B295">
        <v>2918.9949999999999</v>
      </c>
    </row>
    <row r="296" spans="1:2" x14ac:dyDescent="0.25">
      <c r="A296" s="2">
        <v>45722</v>
      </c>
      <c r="B296">
        <v>2910.645</v>
      </c>
    </row>
    <row r="297" spans="1:2" x14ac:dyDescent="0.25">
      <c r="A297" s="2">
        <v>45723</v>
      </c>
      <c r="B297">
        <v>2911.4450000000002</v>
      </c>
    </row>
    <row r="298" spans="1:2" x14ac:dyDescent="0.25">
      <c r="A298" s="2">
        <v>45726</v>
      </c>
      <c r="B298">
        <v>2889.933</v>
      </c>
    </row>
    <row r="299" spans="1:2" x14ac:dyDescent="0.25">
      <c r="A299" s="2">
        <v>45727</v>
      </c>
      <c r="B299">
        <v>2916.57</v>
      </c>
    </row>
    <row r="300" spans="1:2" x14ac:dyDescent="0.25">
      <c r="A300" s="2">
        <v>45728</v>
      </c>
      <c r="B300">
        <v>2932.6610000000001</v>
      </c>
    </row>
    <row r="301" spans="1:2" x14ac:dyDescent="0.25">
      <c r="A301" s="2">
        <v>45729</v>
      </c>
      <c r="B301">
        <v>2988.375</v>
      </c>
    </row>
    <row r="302" spans="1:2" x14ac:dyDescent="0.25">
      <c r="A302" s="2">
        <v>45730</v>
      </c>
      <c r="B302">
        <v>2984.7280000000001</v>
      </c>
    </row>
    <row r="303" spans="1:2" x14ac:dyDescent="0.25">
      <c r="A303" s="2">
        <v>45733</v>
      </c>
      <c r="B303">
        <v>3001.77</v>
      </c>
    </row>
    <row r="304" spans="1:2" x14ac:dyDescent="0.25">
      <c r="A304" s="2">
        <v>45734</v>
      </c>
      <c r="B304">
        <v>3034.2150000000001</v>
      </c>
    </row>
    <row r="305" spans="1:2" x14ac:dyDescent="0.25">
      <c r="A305" s="2">
        <v>45735</v>
      </c>
      <c r="B305">
        <v>3047.49</v>
      </c>
    </row>
    <row r="306" spans="1:2" x14ac:dyDescent="0.25">
      <c r="A306" s="2">
        <v>45736</v>
      </c>
      <c r="B306">
        <v>3044.7330000000002</v>
      </c>
    </row>
    <row r="307" spans="1:2" x14ac:dyDescent="0.25">
      <c r="A307" s="2">
        <v>45737</v>
      </c>
      <c r="B307">
        <v>3023.9580000000001</v>
      </c>
    </row>
    <row r="308" spans="1:2" x14ac:dyDescent="0.25">
      <c r="A308" s="2">
        <v>45740</v>
      </c>
      <c r="B308">
        <v>3012.64</v>
      </c>
    </row>
    <row r="309" spans="1:2" x14ac:dyDescent="0.25">
      <c r="A309" s="2">
        <v>45741</v>
      </c>
      <c r="B309">
        <v>3020.2350000000001</v>
      </c>
    </row>
    <row r="310" spans="1:2" x14ac:dyDescent="0.25">
      <c r="A310" s="2">
        <v>45742</v>
      </c>
      <c r="B310">
        <v>3019.56</v>
      </c>
    </row>
    <row r="311" spans="1:2" x14ac:dyDescent="0.25">
      <c r="A311" s="2">
        <v>45743</v>
      </c>
      <c r="B311">
        <v>3056.355</v>
      </c>
    </row>
    <row r="312" spans="1:2" x14ac:dyDescent="0.25">
      <c r="A312" s="2">
        <v>45744</v>
      </c>
      <c r="B312">
        <v>3085.2779999999998</v>
      </c>
    </row>
    <row r="313" spans="1:2" x14ac:dyDescent="0.25">
      <c r="A313" s="2">
        <v>45747</v>
      </c>
      <c r="B313">
        <v>3123.355</v>
      </c>
    </row>
    <row r="314" spans="1:2" x14ac:dyDescent="0.25">
      <c r="A314" s="2">
        <v>45748</v>
      </c>
      <c r="B314">
        <v>3111</v>
      </c>
    </row>
    <row r="315" spans="1:2" x14ac:dyDescent="0.25">
      <c r="A315" s="2">
        <v>45749</v>
      </c>
      <c r="B315">
        <v>3134.16</v>
      </c>
    </row>
    <row r="316" spans="1:2" x14ac:dyDescent="0.25">
      <c r="A316" s="2">
        <v>45750</v>
      </c>
      <c r="B316">
        <v>3113.1550000000002</v>
      </c>
    </row>
    <row r="317" spans="1:2" x14ac:dyDescent="0.25">
      <c r="A317" s="2">
        <v>45751</v>
      </c>
      <c r="B317">
        <v>3038.02</v>
      </c>
    </row>
    <row r="318" spans="1:2" x14ac:dyDescent="0.25">
      <c r="A318" s="2">
        <v>45754</v>
      </c>
      <c r="B318">
        <v>2983.39</v>
      </c>
    </row>
    <row r="319" spans="1:2" x14ac:dyDescent="0.25">
      <c r="A319" s="2">
        <v>45755</v>
      </c>
      <c r="B319">
        <v>2984.08</v>
      </c>
    </row>
    <row r="320" spans="1:2" x14ac:dyDescent="0.25">
      <c r="A320" s="2">
        <v>45756</v>
      </c>
      <c r="B320">
        <v>3082.9029999999998</v>
      </c>
    </row>
    <row r="321" spans="1:2" x14ac:dyDescent="0.25">
      <c r="A321" s="2">
        <v>45757</v>
      </c>
      <c r="B321">
        <v>3174.1849999999999</v>
      </c>
    </row>
    <row r="322" spans="1:2" x14ac:dyDescent="0.25">
      <c r="A322" s="2">
        <v>45758</v>
      </c>
      <c r="B322">
        <v>3237.35</v>
      </c>
    </row>
    <row r="323" spans="1:2" x14ac:dyDescent="0.25">
      <c r="A323" s="2">
        <v>45761</v>
      </c>
      <c r="B323">
        <v>3209.54</v>
      </c>
    </row>
    <row r="324" spans="1:2" x14ac:dyDescent="0.25">
      <c r="A324" s="2">
        <v>45762</v>
      </c>
      <c r="B324">
        <v>3228.38</v>
      </c>
    </row>
    <row r="325" spans="1:2" x14ac:dyDescent="0.25">
      <c r="A325" s="2">
        <v>45763</v>
      </c>
      <c r="B325">
        <v>3344.41</v>
      </c>
    </row>
    <row r="326" spans="1:2" x14ac:dyDescent="0.25">
      <c r="A326" s="2">
        <v>45764</v>
      </c>
      <c r="B326">
        <v>3327.7950000000001</v>
      </c>
    </row>
    <row r="327" spans="1:2" x14ac:dyDescent="0.25">
      <c r="A327" s="2">
        <v>45765</v>
      </c>
      <c r="B327">
        <v>3327.7950000000001</v>
      </c>
    </row>
    <row r="328" spans="1:2" x14ac:dyDescent="0.25">
      <c r="A328" s="2">
        <v>45768</v>
      </c>
      <c r="B328">
        <v>3425.43</v>
      </c>
    </row>
    <row r="329" spans="1:2" x14ac:dyDescent="0.25">
      <c r="A329" s="2">
        <v>45769</v>
      </c>
      <c r="B329">
        <v>3382.5450000000001</v>
      </c>
    </row>
    <row r="330" spans="1:2" x14ac:dyDescent="0.25">
      <c r="A330" s="2">
        <v>45770</v>
      </c>
      <c r="B330">
        <v>3288.26</v>
      </c>
    </row>
    <row r="331" spans="1:2" x14ac:dyDescent="0.25">
      <c r="A331" s="2">
        <v>45771</v>
      </c>
      <c r="B331">
        <v>3349.1019999999999</v>
      </c>
    </row>
    <row r="332" spans="1:2" x14ac:dyDescent="0.25">
      <c r="A332" s="2">
        <v>45772</v>
      </c>
      <c r="B332">
        <v>3319.45</v>
      </c>
    </row>
    <row r="333" spans="1:2" x14ac:dyDescent="0.25">
      <c r="A333" s="2">
        <v>45775</v>
      </c>
      <c r="B333">
        <v>3341.665</v>
      </c>
    </row>
    <row r="334" spans="1:2" x14ac:dyDescent="0.25">
      <c r="A334" s="2">
        <v>45776</v>
      </c>
      <c r="B334">
        <v>3317.1849999999999</v>
      </c>
    </row>
    <row r="335" spans="1:2" x14ac:dyDescent="0.25">
      <c r="A335" s="2">
        <v>45777</v>
      </c>
      <c r="B335">
        <v>3288.5880000000002</v>
      </c>
    </row>
    <row r="336" spans="1:2" x14ac:dyDescent="0.25">
      <c r="A336" s="2">
        <v>45778</v>
      </c>
      <c r="B336">
        <v>3241</v>
      </c>
    </row>
    <row r="337" spans="1:2" x14ac:dyDescent="0.25">
      <c r="A337" s="2">
        <v>45779</v>
      </c>
      <c r="B337">
        <v>3240.875</v>
      </c>
    </row>
    <row r="338" spans="1:2" x14ac:dyDescent="0.25">
      <c r="A338" s="2">
        <v>45782</v>
      </c>
      <c r="B338">
        <v>3334.5</v>
      </c>
    </row>
    <row r="339" spans="1:2" x14ac:dyDescent="0.25">
      <c r="A339" s="2">
        <v>45783</v>
      </c>
      <c r="B339">
        <v>3430.21</v>
      </c>
    </row>
    <row r="340" spans="1:2" x14ac:dyDescent="0.25">
      <c r="A340" s="2">
        <v>45784</v>
      </c>
      <c r="B340">
        <v>3365.2150000000001</v>
      </c>
    </row>
    <row r="341" spans="1:2" x14ac:dyDescent="0.25">
      <c r="A341" s="2">
        <v>45785</v>
      </c>
      <c r="B341">
        <v>3305.5149999999999</v>
      </c>
    </row>
    <row r="342" spans="1:2" x14ac:dyDescent="0.25">
      <c r="A342" s="2">
        <v>45786</v>
      </c>
      <c r="B342">
        <v>3324.625</v>
      </c>
    </row>
    <row r="343" spans="1:2" x14ac:dyDescent="0.25">
      <c r="A343" s="2">
        <v>45789</v>
      </c>
      <c r="B343">
        <v>3234.7</v>
      </c>
    </row>
    <row r="344" spans="1:2" x14ac:dyDescent="0.25">
      <c r="A344" s="2">
        <v>45790</v>
      </c>
      <c r="B344">
        <v>3248.4720000000002</v>
      </c>
    </row>
    <row r="345" spans="1:2" x14ac:dyDescent="0.25">
      <c r="A345" s="2">
        <v>45791</v>
      </c>
      <c r="B345">
        <v>3178.75</v>
      </c>
    </row>
    <row r="346" spans="1:2" x14ac:dyDescent="0.25">
      <c r="A346" s="2">
        <v>45792</v>
      </c>
      <c r="B346">
        <v>3240.873</v>
      </c>
    </row>
    <row r="347" spans="1:2" x14ac:dyDescent="0.25">
      <c r="A347" s="2">
        <v>45793</v>
      </c>
      <c r="B347">
        <v>3202.7750000000001</v>
      </c>
    </row>
    <row r="348" spans="1:2" x14ac:dyDescent="0.25">
      <c r="A348" s="2">
        <v>45796</v>
      </c>
      <c r="B348">
        <v>3229.85</v>
      </c>
    </row>
    <row r="349" spans="1:2" x14ac:dyDescent="0.25">
      <c r="A349" s="2">
        <v>45797</v>
      </c>
      <c r="B349">
        <v>3290.123</v>
      </c>
    </row>
    <row r="350" spans="1:2" x14ac:dyDescent="0.25">
      <c r="A350" s="2">
        <v>45798</v>
      </c>
      <c r="B350">
        <v>3314.9920000000002</v>
      </c>
    </row>
    <row r="351" spans="1:2" x14ac:dyDescent="0.25">
      <c r="A351" s="2">
        <v>45799</v>
      </c>
      <c r="B351">
        <v>3295</v>
      </c>
    </row>
    <row r="352" spans="1:2" x14ac:dyDescent="0.25">
      <c r="A352" s="2">
        <v>45800</v>
      </c>
      <c r="B352">
        <v>3357.4250000000002</v>
      </c>
    </row>
    <row r="353" spans="1:2" x14ac:dyDescent="0.25">
      <c r="A353" s="2">
        <v>45803</v>
      </c>
      <c r="B353">
        <v>3342.94</v>
      </c>
    </row>
    <row r="354" spans="1:2" x14ac:dyDescent="0.25">
      <c r="A354" s="2">
        <v>45804</v>
      </c>
      <c r="B354">
        <v>3300.683</v>
      </c>
    </row>
    <row r="355" spans="1:2" x14ac:dyDescent="0.25">
      <c r="A355" s="2">
        <v>45805</v>
      </c>
      <c r="B355">
        <v>3289.76</v>
      </c>
    </row>
    <row r="356" spans="1:2" x14ac:dyDescent="0.25">
      <c r="A356" s="2">
        <v>45806</v>
      </c>
      <c r="B356">
        <v>3317.0219999999999</v>
      </c>
    </row>
    <row r="357" spans="1:2" x14ac:dyDescent="0.25">
      <c r="A357" s="2">
        <v>45807</v>
      </c>
      <c r="B357">
        <v>3289.4050000000002</v>
      </c>
    </row>
    <row r="358" spans="1:2" x14ac:dyDescent="0.25">
      <c r="A358" s="2">
        <v>45810</v>
      </c>
      <c r="B358">
        <v>3380.21</v>
      </c>
    </row>
    <row r="359" spans="1:2" x14ac:dyDescent="0.25">
      <c r="A359" s="2">
        <v>45811</v>
      </c>
      <c r="B359">
        <v>3352.2449999999999</v>
      </c>
    </row>
    <row r="360" spans="1:2" x14ac:dyDescent="0.25">
      <c r="A360" s="2">
        <v>45812</v>
      </c>
      <c r="B360">
        <v>3376.5450000000001</v>
      </c>
    </row>
    <row r="361" spans="1:2" x14ac:dyDescent="0.25">
      <c r="A361" s="2">
        <v>45813</v>
      </c>
      <c r="B361">
        <v>3354.163</v>
      </c>
    </row>
    <row r="362" spans="1:2" x14ac:dyDescent="0.25">
      <c r="A362" s="2">
        <v>45814</v>
      </c>
      <c r="B362">
        <v>3310.1669999999999</v>
      </c>
    </row>
    <row r="363" spans="1:2" x14ac:dyDescent="0.25">
      <c r="A363" s="2">
        <v>45817</v>
      </c>
      <c r="B363">
        <v>3328.33</v>
      </c>
    </row>
    <row r="364" spans="1:2" x14ac:dyDescent="0.25">
      <c r="A364" s="2">
        <v>45818</v>
      </c>
      <c r="B364">
        <v>3322.52</v>
      </c>
    </row>
    <row r="365" spans="1:2" x14ac:dyDescent="0.25">
      <c r="A365" s="2">
        <v>45819</v>
      </c>
      <c r="B365">
        <v>3353.84</v>
      </c>
    </row>
    <row r="366" spans="1:2" x14ac:dyDescent="0.25">
      <c r="A366" s="2">
        <v>45820</v>
      </c>
      <c r="B366">
        <v>3385.2950000000001</v>
      </c>
    </row>
    <row r="367" spans="1:2" x14ac:dyDescent="0.25">
      <c r="A367" s="2">
        <v>45821</v>
      </c>
      <c r="B367">
        <v>3432.6370000000002</v>
      </c>
    </row>
    <row r="368" spans="1:2" x14ac:dyDescent="0.25">
      <c r="A368" s="2">
        <v>45824</v>
      </c>
      <c r="B368">
        <v>3383.2049999999999</v>
      </c>
    </row>
    <row r="369" spans="1:2" x14ac:dyDescent="0.25">
      <c r="A369" s="2">
        <v>45825</v>
      </c>
      <c r="B369">
        <v>3383.2049999999999</v>
      </c>
    </row>
    <row r="370" spans="1:2" x14ac:dyDescent="0.25">
      <c r="A370" s="2">
        <v>45826</v>
      </c>
      <c r="B370">
        <v>3369.09</v>
      </c>
    </row>
    <row r="371" spans="1:2" x14ac:dyDescent="0.25">
      <c r="A371" s="2">
        <v>45827</v>
      </c>
      <c r="B371">
        <v>3370.752</v>
      </c>
    </row>
    <row r="372" spans="1:2" x14ac:dyDescent="0.25">
      <c r="A372" s="2">
        <v>45828</v>
      </c>
      <c r="B372">
        <v>3368.2350000000001</v>
      </c>
    </row>
    <row r="373" spans="1:2" x14ac:dyDescent="0.25">
      <c r="A373" s="2">
        <v>45831</v>
      </c>
      <c r="B373">
        <v>3368.8820000000001</v>
      </c>
    </row>
    <row r="374" spans="1:2" x14ac:dyDescent="0.25">
      <c r="A374" s="2">
        <v>45832</v>
      </c>
      <c r="B374">
        <v>3324.2</v>
      </c>
    </row>
    <row r="375" spans="1:2" x14ac:dyDescent="0.25">
      <c r="A375" s="2">
        <v>45833</v>
      </c>
      <c r="B375">
        <v>3332.4650000000001</v>
      </c>
    </row>
    <row r="376" spans="1:2" x14ac:dyDescent="0.25">
      <c r="A376" s="2">
        <v>45834</v>
      </c>
      <c r="B376">
        <v>3328.0650000000001</v>
      </c>
    </row>
    <row r="377" spans="1:2" x14ac:dyDescent="0.25">
      <c r="A377" s="2">
        <v>45835</v>
      </c>
      <c r="B377">
        <v>3274.248</v>
      </c>
    </row>
    <row r="378" spans="1:2" x14ac:dyDescent="0.25">
      <c r="A378" s="2">
        <v>45838</v>
      </c>
      <c r="B378">
        <v>3303.69</v>
      </c>
    </row>
    <row r="379" spans="1:2" x14ac:dyDescent="0.25">
      <c r="A379" s="2">
        <v>45839</v>
      </c>
      <c r="B379">
        <v>3339.2060000000001</v>
      </c>
    </row>
    <row r="380" spans="1:2" x14ac:dyDescent="0.25">
      <c r="A380" s="2">
        <v>45840</v>
      </c>
      <c r="B380">
        <v>3357.355</v>
      </c>
    </row>
    <row r="381" spans="1:2" x14ac:dyDescent="0.25">
      <c r="A381" s="2">
        <v>45841</v>
      </c>
      <c r="B381">
        <v>3326.5650000000001</v>
      </c>
    </row>
    <row r="382" spans="1:2" x14ac:dyDescent="0.25">
      <c r="A382" s="2">
        <v>45842</v>
      </c>
      <c r="B382">
        <v>3336.64</v>
      </c>
    </row>
    <row r="383" spans="1:2" x14ac:dyDescent="0.25">
      <c r="A383" s="2">
        <v>45845</v>
      </c>
      <c r="B383">
        <v>3335.61</v>
      </c>
    </row>
    <row r="384" spans="1:2" x14ac:dyDescent="0.25">
      <c r="A384" s="2">
        <v>45846</v>
      </c>
      <c r="B384">
        <v>3300.7</v>
      </c>
    </row>
    <row r="385" spans="1:2" x14ac:dyDescent="0.25">
      <c r="A385" s="2">
        <v>45847</v>
      </c>
      <c r="B385">
        <v>3313.723</v>
      </c>
    </row>
    <row r="386" spans="1:2" x14ac:dyDescent="0.25">
      <c r="A386" s="2">
        <v>45848</v>
      </c>
      <c r="B386">
        <v>3323.07</v>
      </c>
    </row>
    <row r="387" spans="1:2" x14ac:dyDescent="0.25">
      <c r="A387" s="2">
        <v>45849</v>
      </c>
      <c r="B387">
        <v>3355.9050000000002</v>
      </c>
    </row>
    <row r="388" spans="1:2" x14ac:dyDescent="0.25">
      <c r="A388" s="2">
        <v>45852</v>
      </c>
      <c r="B388">
        <v>3343.8</v>
      </c>
    </row>
    <row r="389" spans="1:2" x14ac:dyDescent="0.25">
      <c r="A389" s="2">
        <v>45853</v>
      </c>
      <c r="B389">
        <v>3322.63</v>
      </c>
    </row>
    <row r="390" spans="1:2" x14ac:dyDescent="0.25">
      <c r="A390" s="2">
        <v>45854</v>
      </c>
      <c r="B390">
        <v>3346.585</v>
      </c>
    </row>
    <row r="391" spans="1:2" x14ac:dyDescent="0.25">
      <c r="A391" s="2">
        <v>45855</v>
      </c>
      <c r="B391">
        <v>3338.9520000000002</v>
      </c>
    </row>
    <row r="392" spans="1:2" x14ac:dyDescent="0.25">
      <c r="A392" s="2">
        <v>45856</v>
      </c>
      <c r="B392">
        <v>3350.395</v>
      </c>
    </row>
    <row r="393" spans="1:2" x14ac:dyDescent="0.25">
      <c r="A393" s="2">
        <v>45859</v>
      </c>
      <c r="B393">
        <v>3395.8</v>
      </c>
    </row>
    <row r="394" spans="1:2" x14ac:dyDescent="0.25">
      <c r="A394" s="2">
        <v>45860</v>
      </c>
      <c r="B394">
        <v>3431.498</v>
      </c>
    </row>
    <row r="395" spans="1:2" x14ac:dyDescent="0.25">
      <c r="A395" s="2">
        <v>45861</v>
      </c>
      <c r="B395">
        <v>3387.7849999999999</v>
      </c>
    </row>
    <row r="396" spans="1:2" x14ac:dyDescent="0.25">
      <c r="A396" s="2">
        <v>45862</v>
      </c>
      <c r="B396">
        <v>3368.1550000000002</v>
      </c>
    </row>
    <row r="397" spans="1:2" x14ac:dyDescent="0.25">
      <c r="A397" s="2">
        <v>45863</v>
      </c>
      <c r="B397">
        <v>3337.1750000000002</v>
      </c>
    </row>
    <row r="398" spans="1:2" x14ac:dyDescent="0.25">
      <c r="A398" s="2">
        <v>45866</v>
      </c>
      <c r="B398">
        <v>3314.645</v>
      </c>
    </row>
    <row r="399" spans="1:2" x14ac:dyDescent="0.25">
      <c r="A399" s="2">
        <v>45867</v>
      </c>
      <c r="B399">
        <v>3326.8429999999998</v>
      </c>
    </row>
    <row r="400" spans="1:2" x14ac:dyDescent="0.25">
      <c r="A400" s="2">
        <v>45868</v>
      </c>
      <c r="B400">
        <v>3275.252</v>
      </c>
    </row>
    <row r="401" spans="1:2" x14ac:dyDescent="0.25">
      <c r="A401" s="2">
        <v>45869</v>
      </c>
      <c r="B401">
        <v>3290.3249999999998</v>
      </c>
    </row>
    <row r="402" spans="1:2" x14ac:dyDescent="0.25">
      <c r="A402" s="2">
        <v>45870</v>
      </c>
      <c r="B402">
        <v>3362.8829999999998</v>
      </c>
    </row>
    <row r="403" spans="1:2" x14ac:dyDescent="0.25">
      <c r="A403" s="2">
        <v>45873</v>
      </c>
      <c r="B403">
        <v>3373.375</v>
      </c>
    </row>
    <row r="404" spans="1:2" x14ac:dyDescent="0.25">
      <c r="A404" s="2">
        <v>45874</v>
      </c>
      <c r="B404">
        <v>3381.2649999999999</v>
      </c>
    </row>
    <row r="405" spans="1:2" x14ac:dyDescent="0.25">
      <c r="A405" s="2">
        <v>45875</v>
      </c>
      <c r="B405">
        <v>3369.0419999999999</v>
      </c>
    </row>
    <row r="406" spans="1:2" x14ac:dyDescent="0.25">
      <c r="A406" s="2">
        <v>45876</v>
      </c>
      <c r="B406">
        <v>3397.31</v>
      </c>
    </row>
    <row r="407" spans="1:2" x14ac:dyDescent="0.25">
      <c r="A407" s="2">
        <v>45877</v>
      </c>
      <c r="B407">
        <v>3398.78</v>
      </c>
    </row>
    <row r="408" spans="1:2" x14ac:dyDescent="0.25">
      <c r="A408" s="2">
        <v>45880</v>
      </c>
      <c r="B408">
        <v>3344.8330000000001</v>
      </c>
    </row>
    <row r="409" spans="1:2" x14ac:dyDescent="0.25">
      <c r="A409" s="2">
        <v>45881</v>
      </c>
      <c r="B409">
        <v>3346.2</v>
      </c>
    </row>
    <row r="410" spans="1:2" x14ac:dyDescent="0.25">
      <c r="A410" s="2">
        <v>45882</v>
      </c>
      <c r="B410">
        <v>3354.73</v>
      </c>
    </row>
    <row r="411" spans="1:2" x14ac:dyDescent="0.25">
      <c r="A411" s="2">
        <v>45883</v>
      </c>
      <c r="B411">
        <v>3336.5</v>
      </c>
    </row>
    <row r="412" spans="1:2" x14ac:dyDescent="0.25">
      <c r="A412" s="2">
        <v>45884</v>
      </c>
      <c r="B412">
        <v>3335.39</v>
      </c>
    </row>
    <row r="413" spans="1:2" x14ac:dyDescent="0.25">
      <c r="A413" s="2">
        <v>45887</v>
      </c>
      <c r="B413">
        <v>3330.5450000000001</v>
      </c>
    </row>
    <row r="414" spans="1:2" x14ac:dyDescent="0.25">
      <c r="A414" s="2">
        <v>45888</v>
      </c>
      <c r="B414">
        <v>3315.4650000000001</v>
      </c>
    </row>
    <row r="415" spans="1:2" x14ac:dyDescent="0.25">
      <c r="A415" s="2">
        <v>45889</v>
      </c>
      <c r="B415">
        <v>3347.105</v>
      </c>
    </row>
    <row r="416" spans="1:2" x14ac:dyDescent="0.25">
      <c r="A416" s="2">
        <v>45890</v>
      </c>
      <c r="B416">
        <v>3338.8150000000001</v>
      </c>
    </row>
    <row r="417" spans="1:2" x14ac:dyDescent="0.25">
      <c r="A417" s="2">
        <v>45891</v>
      </c>
      <c r="B417">
        <v>3372.105</v>
      </c>
    </row>
    <row r="418" spans="1:2" x14ac:dyDescent="0.25">
      <c r="A418" s="2">
        <v>45894</v>
      </c>
      <c r="B418">
        <v>3366.79</v>
      </c>
    </row>
    <row r="419" spans="1:2" x14ac:dyDescent="0.25">
      <c r="A419" s="2">
        <v>45895</v>
      </c>
      <c r="B419">
        <v>3392.875</v>
      </c>
    </row>
    <row r="420" spans="1:2" x14ac:dyDescent="0.25">
      <c r="A420" s="2">
        <v>45896</v>
      </c>
      <c r="B420">
        <v>3397.4250000000002</v>
      </c>
    </row>
    <row r="421" spans="1:2" x14ac:dyDescent="0.25">
      <c r="A421" s="2">
        <v>45897</v>
      </c>
      <c r="B421">
        <v>3417.2</v>
      </c>
    </row>
    <row r="422" spans="1:2" x14ac:dyDescent="0.25">
      <c r="A422" s="2">
        <v>45898</v>
      </c>
      <c r="B422">
        <v>3447.9949999999999</v>
      </c>
    </row>
    <row r="423" spans="1:2" x14ac:dyDescent="0.25">
      <c r="A423" s="2">
        <v>45901</v>
      </c>
      <c r="B423">
        <v>3476.47</v>
      </c>
    </row>
    <row r="424" spans="1:2" x14ac:dyDescent="0.25">
      <c r="A424" s="2">
        <v>45902</v>
      </c>
      <c r="B424">
        <v>3533.7350000000001</v>
      </c>
    </row>
    <row r="425" spans="1:2" x14ac:dyDescent="0.25">
      <c r="A425" s="2">
        <v>45903</v>
      </c>
      <c r="B425">
        <v>3559.4349999999999</v>
      </c>
    </row>
    <row r="426" spans="1:2" x14ac:dyDescent="0.25">
      <c r="A426" s="2">
        <v>45904</v>
      </c>
      <c r="B426">
        <v>3546.17</v>
      </c>
    </row>
    <row r="427" spans="1:2" x14ac:dyDescent="0.25">
      <c r="A427" s="2">
        <v>45905</v>
      </c>
      <c r="B427">
        <v>3586.8150000000001</v>
      </c>
    </row>
    <row r="428" spans="1:2" x14ac:dyDescent="0.25">
      <c r="A428" s="2">
        <v>45908</v>
      </c>
      <c r="B428">
        <v>3635.8449999999998</v>
      </c>
    </row>
    <row r="429" spans="1:2" x14ac:dyDescent="0.25">
      <c r="A429" s="2">
        <v>45909</v>
      </c>
      <c r="B429">
        <v>3626.48</v>
      </c>
    </row>
    <row r="430" spans="1:2" x14ac:dyDescent="0.25">
      <c r="A430" s="2">
        <v>45910</v>
      </c>
      <c r="B430">
        <v>3640.7420000000002</v>
      </c>
    </row>
    <row r="431" spans="1:2" x14ac:dyDescent="0.25">
      <c r="A431" s="2">
        <v>45911</v>
      </c>
      <c r="B431">
        <v>3634.0929999999998</v>
      </c>
    </row>
    <row r="432" spans="1:2" x14ac:dyDescent="0.25">
      <c r="A432" s="2">
        <v>45912</v>
      </c>
      <c r="B432">
        <v>3643.125</v>
      </c>
    </row>
    <row r="433" spans="1:2" x14ac:dyDescent="0.25">
      <c r="A433" s="2">
        <v>45915</v>
      </c>
      <c r="B433">
        <v>3679.1329999999998</v>
      </c>
    </row>
    <row r="434" spans="1:2" x14ac:dyDescent="0.25">
      <c r="A434" s="2">
        <v>45916</v>
      </c>
      <c r="B434">
        <v>3689.8020000000001</v>
      </c>
    </row>
    <row r="435" spans="1:2" x14ac:dyDescent="0.25">
      <c r="A435" s="2">
        <v>45917</v>
      </c>
      <c r="B435">
        <v>3660.0419999999999</v>
      </c>
    </row>
    <row r="436" spans="1:2" x14ac:dyDescent="0.25">
      <c r="A436" s="2">
        <v>45918</v>
      </c>
      <c r="B436">
        <v>3644.3620000000001</v>
      </c>
    </row>
    <row r="437" spans="1:2" x14ac:dyDescent="0.25">
      <c r="A437" s="2">
        <v>45919</v>
      </c>
      <c r="B437">
        <v>3684.9749999999999</v>
      </c>
    </row>
    <row r="438" spans="1:2" x14ac:dyDescent="0.25">
      <c r="A438" s="2">
        <v>45922</v>
      </c>
      <c r="B438">
        <v>3746.4749999999999</v>
      </c>
    </row>
    <row r="439" spans="1:2" x14ac:dyDescent="0.25">
      <c r="A439" s="2">
        <v>45923</v>
      </c>
      <c r="B439">
        <v>3764.192</v>
      </c>
    </row>
    <row r="440" spans="1:2" x14ac:dyDescent="0.25">
      <c r="A440" s="2">
        <v>45924</v>
      </c>
      <c r="B440">
        <v>3736.2919999999999</v>
      </c>
    </row>
    <row r="441" spans="1:2" x14ac:dyDescent="0.25">
      <c r="A441" s="2">
        <v>45925</v>
      </c>
      <c r="B441">
        <v>3749.37</v>
      </c>
    </row>
    <row r="442" spans="1:2" x14ac:dyDescent="0.25">
      <c r="A442" s="2">
        <v>45926</v>
      </c>
      <c r="B442">
        <v>3760.2350000000001</v>
      </c>
    </row>
    <row r="443" spans="1:2" x14ac:dyDescent="0.25">
      <c r="A443" s="2">
        <v>45929</v>
      </c>
      <c r="B443">
        <v>3833.933</v>
      </c>
    </row>
    <row r="444" spans="1:2" x14ac:dyDescent="0.25">
      <c r="A444" s="2">
        <v>45930</v>
      </c>
      <c r="B444">
        <v>3858.5120000000002</v>
      </c>
    </row>
    <row r="445" spans="1:2" x14ac:dyDescent="0.25">
      <c r="A445" s="2">
        <v>45931</v>
      </c>
      <c r="B445">
        <v>3865.8020000000001</v>
      </c>
    </row>
    <row r="446" spans="1:2" x14ac:dyDescent="0.25">
      <c r="A446" s="2">
        <v>45932</v>
      </c>
      <c r="B446">
        <v>3856.53</v>
      </c>
    </row>
    <row r="447" spans="1:2" x14ac:dyDescent="0.25">
      <c r="A447" s="2">
        <v>45933</v>
      </c>
      <c r="B447">
        <v>3886.835</v>
      </c>
    </row>
    <row r="448" spans="1:2" x14ac:dyDescent="0.25">
      <c r="A448" s="2">
        <v>45936</v>
      </c>
      <c r="B448">
        <v>3961.09</v>
      </c>
    </row>
    <row r="449" spans="1:2" x14ac:dyDescent="0.25">
      <c r="A449" s="2">
        <v>45937</v>
      </c>
      <c r="B449">
        <v>3983.82</v>
      </c>
    </row>
    <row r="450" spans="1:2" x14ac:dyDescent="0.25">
      <c r="A450" s="2">
        <v>45938</v>
      </c>
      <c r="B450">
        <v>4038.9</v>
      </c>
    </row>
    <row r="451" spans="1:2" x14ac:dyDescent="0.25">
      <c r="A451" s="2">
        <v>45939</v>
      </c>
      <c r="B451">
        <v>3976.2950000000001</v>
      </c>
    </row>
    <row r="452" spans="1:2" x14ac:dyDescent="0.25">
      <c r="A452" s="2">
        <v>45940</v>
      </c>
      <c r="B452">
        <v>4018.2959999999998</v>
      </c>
    </row>
    <row r="453" spans="1:2" x14ac:dyDescent="0.25">
      <c r="A453" s="2">
        <v>45943</v>
      </c>
      <c r="B453">
        <v>4110.7030000000004</v>
      </c>
    </row>
    <row r="454" spans="1:2" x14ac:dyDescent="0.25">
      <c r="A454" s="2">
        <v>45944</v>
      </c>
      <c r="B454">
        <v>4142.3159999999998</v>
      </c>
    </row>
    <row r="455" spans="1:2" x14ac:dyDescent="0.25">
      <c r="A455" s="2">
        <v>45945</v>
      </c>
      <c r="B455">
        <v>4208.5860000000002</v>
      </c>
    </row>
    <row r="456" spans="1:2" x14ac:dyDescent="0.25">
      <c r="A456" s="2">
        <v>45946</v>
      </c>
      <c r="B456">
        <v>4326.1840000000002</v>
      </c>
    </row>
    <row r="457" spans="1:2" x14ac:dyDescent="0.25">
      <c r="A457" s="2">
        <v>45947</v>
      </c>
      <c r="B457">
        <v>4249.9769999999999</v>
      </c>
    </row>
    <row r="458" spans="1:2" x14ac:dyDescent="0.25">
      <c r="A458" s="2">
        <v>45950</v>
      </c>
      <c r="B458">
        <v>4356.5039999999999</v>
      </c>
    </row>
    <row r="459" spans="1:2" x14ac:dyDescent="0.25">
      <c r="A459" s="2">
        <v>45951</v>
      </c>
      <c r="B459">
        <v>4125.1019999999999</v>
      </c>
    </row>
    <row r="460" spans="1:2" x14ac:dyDescent="0.25">
      <c r="A460" s="2">
        <v>45952</v>
      </c>
      <c r="B460">
        <v>4094.07</v>
      </c>
    </row>
    <row r="461" spans="1:2" x14ac:dyDescent="0.25">
      <c r="A461" s="2">
        <v>45953</v>
      </c>
      <c r="B461">
        <v>4126.1719999999996</v>
      </c>
    </row>
    <row r="462" spans="1:2" x14ac:dyDescent="0.25">
      <c r="A462" s="2">
        <v>45954</v>
      </c>
      <c r="B462">
        <v>4112.1019999999999</v>
      </c>
    </row>
    <row r="463" spans="1:2" x14ac:dyDescent="0.25">
      <c r="A463" s="2">
        <v>45957</v>
      </c>
      <c r="B463">
        <v>3981.5929999999998</v>
      </c>
    </row>
    <row r="464" spans="1:2" x14ac:dyDescent="0.25">
      <c r="A464" s="2">
        <v>45958</v>
      </c>
      <c r="B464">
        <v>3952.585</v>
      </c>
    </row>
    <row r="465" spans="1:2" x14ac:dyDescent="0.25">
      <c r="A465" s="2">
        <v>45959</v>
      </c>
      <c r="B465">
        <v>3930.38</v>
      </c>
    </row>
    <row r="466" spans="1:2" x14ac:dyDescent="0.25">
      <c r="A466" s="2">
        <v>45960</v>
      </c>
      <c r="B466">
        <v>4024.47</v>
      </c>
    </row>
    <row r="467" spans="1:2" x14ac:dyDescent="0.25">
      <c r="A467" s="2">
        <v>45961</v>
      </c>
      <c r="B467">
        <v>4002.28</v>
      </c>
    </row>
    <row r="468" spans="1:2" x14ac:dyDescent="0.25">
      <c r="A468" s="2">
        <v>45964</v>
      </c>
      <c r="B468">
        <v>4001.67</v>
      </c>
    </row>
    <row r="469" spans="1:2" x14ac:dyDescent="0.25">
      <c r="A469" s="2">
        <v>45965</v>
      </c>
      <c r="B469">
        <v>3932.0450000000001</v>
      </c>
    </row>
    <row r="470" spans="1:2" x14ac:dyDescent="0.25">
      <c r="A470" s="2">
        <v>45966</v>
      </c>
      <c r="B470">
        <v>3982.6149999999998</v>
      </c>
    </row>
    <row r="471" spans="1:2" x14ac:dyDescent="0.25">
      <c r="A471" s="2">
        <v>45967</v>
      </c>
      <c r="B471">
        <v>3977.8649999999998</v>
      </c>
    </row>
    <row r="472" spans="1:2" x14ac:dyDescent="0.25">
      <c r="A472" s="2">
        <v>45968</v>
      </c>
      <c r="B472">
        <v>3999.72</v>
      </c>
    </row>
    <row r="473" spans="1:2" x14ac:dyDescent="0.25">
      <c r="A473" s="2">
        <v>45971</v>
      </c>
      <c r="B473">
        <v>4115.8950000000004</v>
      </c>
    </row>
    <row r="474" spans="1:2" x14ac:dyDescent="0.25">
      <c r="A474" s="2">
        <v>45972</v>
      </c>
      <c r="B474">
        <v>4126.6840000000002</v>
      </c>
    </row>
    <row r="475" spans="1:2" x14ac:dyDescent="0.25">
      <c r="A475" s="2">
        <v>45973</v>
      </c>
      <c r="B475">
        <v>4198.7340000000004</v>
      </c>
    </row>
    <row r="476" spans="1:2" x14ac:dyDescent="0.25">
      <c r="A476" s="2">
        <v>45974</v>
      </c>
      <c r="B476">
        <v>4171.4610000000002</v>
      </c>
    </row>
    <row r="477" spans="1:2" x14ac:dyDescent="0.25">
      <c r="A477" s="2">
        <v>45975</v>
      </c>
      <c r="B477">
        <v>4079.58</v>
      </c>
    </row>
    <row r="478" spans="1:2" x14ac:dyDescent="0.25">
      <c r="A478" s="2">
        <v>45978</v>
      </c>
      <c r="B478">
        <v>4044.605</v>
      </c>
    </row>
    <row r="479" spans="1:2" x14ac:dyDescent="0.25">
      <c r="A479" s="2">
        <v>45979</v>
      </c>
      <c r="B479">
        <v>4067.875</v>
      </c>
    </row>
    <row r="480" spans="1:2" x14ac:dyDescent="0.25">
      <c r="A480" s="2">
        <v>45980</v>
      </c>
      <c r="B480">
        <v>4081.66</v>
      </c>
    </row>
    <row r="481" spans="1:2" x14ac:dyDescent="0.25">
      <c r="A481" s="2">
        <v>45981</v>
      </c>
      <c r="B481">
        <v>4077.4949999999999</v>
      </c>
    </row>
    <row r="482" spans="1:2" x14ac:dyDescent="0.25">
      <c r="A482" s="2">
        <v>45982</v>
      </c>
      <c r="B482">
        <v>4065.895</v>
      </c>
    </row>
    <row r="483" spans="1:2" x14ac:dyDescent="0.25">
      <c r="A483" s="2">
        <v>45985</v>
      </c>
      <c r="B483">
        <v>4139.6949999999997</v>
      </c>
    </row>
    <row r="484" spans="1:2" x14ac:dyDescent="0.25">
      <c r="A484" s="2">
        <v>45986</v>
      </c>
      <c r="B484">
        <v>4131.1480000000001</v>
      </c>
    </row>
    <row r="485" spans="1:2" x14ac:dyDescent="0.25">
      <c r="A485" s="2">
        <v>45987</v>
      </c>
      <c r="B485">
        <v>4164.5940000000001</v>
      </c>
    </row>
    <row r="486" spans="1:2" x14ac:dyDescent="0.25">
      <c r="A486" s="2">
        <v>45988</v>
      </c>
      <c r="B486">
        <v>4157.57</v>
      </c>
    </row>
    <row r="487" spans="1:2" x14ac:dyDescent="0.25">
      <c r="A487" s="2">
        <v>45989</v>
      </c>
      <c r="B487">
        <v>4230.625</v>
      </c>
    </row>
    <row r="488" spans="1:2" x14ac:dyDescent="0.25">
      <c r="A488" s="2">
        <v>45992</v>
      </c>
      <c r="B488">
        <v>4232.7269999999999</v>
      </c>
    </row>
    <row r="489" spans="1:2" x14ac:dyDescent="0.25">
      <c r="A489" s="2">
        <v>45993</v>
      </c>
      <c r="B489">
        <v>4208.1409999999996</v>
      </c>
    </row>
    <row r="490" spans="1:2" x14ac:dyDescent="0.25">
      <c r="A490" s="2">
        <v>45994</v>
      </c>
      <c r="B490">
        <v>4206.2150000000001</v>
      </c>
    </row>
    <row r="491" spans="1:2" x14ac:dyDescent="0.25">
      <c r="A491" s="2">
        <v>45995</v>
      </c>
      <c r="B491">
        <v>4208.6909999999998</v>
      </c>
    </row>
    <row r="492" spans="1:2" x14ac:dyDescent="0.25">
      <c r="A492" s="2">
        <v>45996</v>
      </c>
      <c r="B492">
        <v>4197.1289999999999</v>
      </c>
    </row>
    <row r="493" spans="1:2" x14ac:dyDescent="0.25">
      <c r="A493" s="2">
        <v>45999</v>
      </c>
      <c r="B493">
        <v>4189.0469999999996</v>
      </c>
    </row>
    <row r="494" spans="1:2" x14ac:dyDescent="0.25">
      <c r="A494" s="2">
        <v>46000</v>
      </c>
      <c r="B494">
        <v>4209.5389999999998</v>
      </c>
    </row>
    <row r="495" spans="1:2" x14ac:dyDescent="0.25">
      <c r="A495" s="2">
        <v>46001</v>
      </c>
      <c r="B495">
        <v>4228.5469999999996</v>
      </c>
    </row>
    <row r="496" spans="1:2" x14ac:dyDescent="0.25">
      <c r="A496" s="2">
        <v>46002</v>
      </c>
      <c r="B496">
        <v>4283.2809999999999</v>
      </c>
    </row>
    <row r="497" spans="1:2" x14ac:dyDescent="0.25">
      <c r="A497" s="2">
        <v>46003</v>
      </c>
      <c r="B497">
        <v>4302.43</v>
      </c>
    </row>
    <row r="498" spans="1:2" x14ac:dyDescent="0.25">
      <c r="A498" s="2">
        <v>46006</v>
      </c>
      <c r="B498">
        <v>4302.6949999999997</v>
      </c>
    </row>
    <row r="499" spans="1:2" x14ac:dyDescent="0.25">
      <c r="A499" s="2">
        <v>46007</v>
      </c>
      <c r="B499">
        <v>4303.8010000000004</v>
      </c>
    </row>
    <row r="500" spans="1:2" x14ac:dyDescent="0.25">
      <c r="A500" s="2">
        <v>46008</v>
      </c>
      <c r="B500">
        <v>4341.0780000000004</v>
      </c>
    </row>
    <row r="501" spans="1:2" x14ac:dyDescent="0.25">
      <c r="A501" s="2">
        <v>46009</v>
      </c>
      <c r="B501">
        <v>4332.3950000000004</v>
      </c>
    </row>
    <row r="502" spans="1:2" x14ac:dyDescent="0.25">
      <c r="A502" s="2">
        <v>46010</v>
      </c>
      <c r="B502">
        <v>4338.5469999999996</v>
      </c>
    </row>
    <row r="503" spans="1:2" x14ac:dyDescent="0.25">
      <c r="A503" s="2">
        <v>46013</v>
      </c>
      <c r="B503">
        <v>4445.9449999999997</v>
      </c>
    </row>
    <row r="504" spans="1:2" x14ac:dyDescent="0.25">
      <c r="A504" s="2">
        <v>46014</v>
      </c>
      <c r="B504">
        <v>4488.8159999999998</v>
      </c>
    </row>
    <row r="505" spans="1:2" x14ac:dyDescent="0.25">
      <c r="A505" s="2">
        <v>46015</v>
      </c>
      <c r="B505">
        <v>4479.6369999999997</v>
      </c>
    </row>
    <row r="506" spans="1:2" x14ac:dyDescent="0.25">
      <c r="A506" s="2">
        <v>46016</v>
      </c>
      <c r="B506">
        <v>4479.6369999999997</v>
      </c>
    </row>
    <row r="507" spans="1:2" x14ac:dyDescent="0.25">
      <c r="A507" s="2">
        <v>46017</v>
      </c>
      <c r="B507">
        <v>4532.625</v>
      </c>
    </row>
    <row r="508" spans="1:2" x14ac:dyDescent="0.25">
      <c r="A508" s="2">
        <v>46020</v>
      </c>
      <c r="B508">
        <v>4332.0780000000004</v>
      </c>
    </row>
    <row r="509" spans="1:2" x14ac:dyDescent="0.25">
      <c r="A509" s="2">
        <v>46021</v>
      </c>
      <c r="B509">
        <v>4346.5119999999997</v>
      </c>
    </row>
    <row r="510" spans="1:2" x14ac:dyDescent="0.25">
      <c r="A510" s="2">
        <v>46022</v>
      </c>
      <c r="B510">
        <v>4315.0940000000001</v>
      </c>
    </row>
    <row r="511" spans="1:2" x14ac:dyDescent="0.25">
      <c r="A511" s="2">
        <v>46023</v>
      </c>
      <c r="B511">
        <v>4315.0940000000001</v>
      </c>
    </row>
    <row r="512" spans="1:2" x14ac:dyDescent="0.25">
      <c r="A512" s="2">
        <v>46024</v>
      </c>
      <c r="B512">
        <v>4330.4960000000001</v>
      </c>
    </row>
    <row r="513" spans="1:2" x14ac:dyDescent="0.25">
      <c r="A513" s="2">
        <v>46027</v>
      </c>
      <c r="B513">
        <v>4448.4690000000001</v>
      </c>
    </row>
    <row r="514" spans="1:2" x14ac:dyDescent="0.25">
      <c r="A514" s="2">
        <v>46028</v>
      </c>
      <c r="B514">
        <v>4497.3440000000001</v>
      </c>
    </row>
    <row r="515" spans="1:2" x14ac:dyDescent="0.25">
      <c r="A515" s="2">
        <v>46029</v>
      </c>
      <c r="B515">
        <v>4453.0389999999998</v>
      </c>
    </row>
    <row r="516" spans="1:2" x14ac:dyDescent="0.25">
      <c r="A516" s="2">
        <v>46030</v>
      </c>
      <c r="B516">
        <v>4476.7299999999996</v>
      </c>
    </row>
    <row r="517" spans="1:2" x14ac:dyDescent="0.25">
      <c r="A517" s="2">
        <v>46031</v>
      </c>
      <c r="B517">
        <v>4510.4489999999996</v>
      </c>
    </row>
    <row r="518" spans="1:2" x14ac:dyDescent="0.25">
      <c r="A518" s="2">
        <v>46034</v>
      </c>
      <c r="B518">
        <v>4593.9960000000001</v>
      </c>
    </row>
    <row r="519" spans="1:2" x14ac:dyDescent="0.25">
      <c r="A519" s="2">
        <v>46035</v>
      </c>
      <c r="B519">
        <v>4587.9960000000001</v>
      </c>
    </row>
    <row r="520" spans="1:2" x14ac:dyDescent="0.25">
      <c r="A520" s="2">
        <v>46036</v>
      </c>
      <c r="B520">
        <v>4620.8360000000002</v>
      </c>
    </row>
    <row r="521" spans="1:2" x14ac:dyDescent="0.25">
      <c r="A521" s="2">
        <v>46037</v>
      </c>
      <c r="B521">
        <v>4614.9059999999999</v>
      </c>
    </row>
    <row r="522" spans="1:2" x14ac:dyDescent="0.25">
      <c r="A522" s="2">
        <v>46038</v>
      </c>
      <c r="B522">
        <v>4595.1019999999999</v>
      </c>
    </row>
    <row r="523" spans="1:2" x14ac:dyDescent="0.25">
      <c r="A523" s="2">
        <v>46041</v>
      </c>
      <c r="B523">
        <v>4671.0200000000004</v>
      </c>
    </row>
    <row r="524" spans="1:2" x14ac:dyDescent="0.25">
      <c r="A524" s="2">
        <v>46042</v>
      </c>
      <c r="B524">
        <v>4763.4880000000003</v>
      </c>
    </row>
    <row r="525" spans="1:2" x14ac:dyDescent="0.25">
      <c r="A525" s="2">
        <v>46043</v>
      </c>
      <c r="B525">
        <v>4836.6719999999996</v>
      </c>
    </row>
    <row r="526" spans="1:2" x14ac:dyDescent="0.25">
      <c r="A526" s="2">
        <v>46044</v>
      </c>
      <c r="B526">
        <v>4936.7460000000001</v>
      </c>
    </row>
    <row r="527" spans="1:2" x14ac:dyDescent="0.25">
      <c r="A527" s="2">
        <v>46045</v>
      </c>
      <c r="B527">
        <v>4982.9059999999999</v>
      </c>
    </row>
    <row r="528" spans="1:2" x14ac:dyDescent="0.25">
      <c r="A528" s="2">
        <v>46048</v>
      </c>
      <c r="B528">
        <v>5015.3440000000001</v>
      </c>
    </row>
    <row r="529" spans="1:2" x14ac:dyDescent="0.25">
      <c r="A529" s="2">
        <v>46049</v>
      </c>
      <c r="B529">
        <v>5189.6210000000001</v>
      </c>
    </row>
    <row r="530" spans="1:2" x14ac:dyDescent="0.25">
      <c r="A530" s="2">
        <v>46050</v>
      </c>
      <c r="B530">
        <v>5400.2460000000001</v>
      </c>
    </row>
  </sheetData>
  <pageMargins left="0.7" right="0.7" top="0.75" bottom="0.75" header="0.3" footer="0.3"/>
  <headerFooter>
    <oddHeader>&amp;L&amp;"Calibri"&amp;12&amp;K000000 Internal&amp;1#_x000D_</oddHeader>
  </headerFooter>
  <customProperties>
    <customPr name="REFI_OFFICE_FUNCTION_DATA" r:id="rId1"/>
  </customProperti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925AF-3DE7-4AA5-8EE5-7930D8D898E5}">
  <dimension ref="A1:B530"/>
  <sheetViews>
    <sheetView topLeftCell="A480" workbookViewId="0">
      <selection activeCell="B273" sqref="B273:B530"/>
    </sheetView>
  </sheetViews>
  <sheetFormatPr defaultRowHeight="15" x14ac:dyDescent="0.25"/>
  <cols>
    <col min="1" max="1" width="15.85546875" customWidth="1"/>
    <col min="2" max="2" width="10.42578125" bestFit="1" customWidth="1"/>
  </cols>
  <sheetData>
    <row r="1" spans="1:2" x14ac:dyDescent="0.25">
      <c r="A1" t="str">
        <f>_xll.DSGRID("SILVCSP","P","-2Y","","Daily","RowHeader=true;ColHeader=true;Heading=true;Code=true;Curn=true;DispSeriesDescription=true;YearlyTSFormat=false;QuarterlyTSFormat=false;MonthlyTSFormat=true")</f>
        <v>Start</v>
      </c>
      <c r="B1" s="2">
        <v>45317</v>
      </c>
    </row>
    <row r="2" spans="1:2" x14ac:dyDescent="0.25">
      <c r="A2" s="1" t="s">
        <v>0</v>
      </c>
      <c r="B2" s="2">
        <v>46050</v>
      </c>
    </row>
    <row r="3" spans="1:2" x14ac:dyDescent="0.25">
      <c r="A3" s="1" t="s">
        <v>1</v>
      </c>
      <c r="B3" s="1" t="s">
        <v>2</v>
      </c>
    </row>
    <row r="4" spans="1:2" x14ac:dyDescent="0.25">
      <c r="A4" s="1" t="s">
        <v>3</v>
      </c>
      <c r="B4" s="1" t="s">
        <v>9</v>
      </c>
    </row>
    <row r="5" spans="1:2" x14ac:dyDescent="0.25">
      <c r="A5" s="1" t="s">
        <v>4</v>
      </c>
      <c r="B5" s="1" t="s">
        <v>10</v>
      </c>
    </row>
    <row r="6" spans="1:2" x14ac:dyDescent="0.25">
      <c r="A6" s="1" t="s">
        <v>5</v>
      </c>
      <c r="B6" s="1" t="s">
        <v>6</v>
      </c>
    </row>
    <row r="7" spans="1:2" x14ac:dyDescent="0.25">
      <c r="A7" s="2">
        <v>45317</v>
      </c>
      <c r="B7">
        <v>22.797999999999998</v>
      </c>
    </row>
    <row r="8" spans="1:2" x14ac:dyDescent="0.25">
      <c r="A8" s="2">
        <v>45320</v>
      </c>
      <c r="B8">
        <v>23.201000000000001</v>
      </c>
    </row>
    <row r="9" spans="1:2" x14ac:dyDescent="0.25">
      <c r="A9" s="2">
        <v>45321</v>
      </c>
      <c r="B9">
        <v>23.165600000000001</v>
      </c>
    </row>
    <row r="10" spans="1:2" x14ac:dyDescent="0.25">
      <c r="A10" s="2">
        <v>45322</v>
      </c>
      <c r="B10">
        <v>22.917999999999999</v>
      </c>
    </row>
    <row r="11" spans="1:2" x14ac:dyDescent="0.25">
      <c r="A11" s="2">
        <v>45323</v>
      </c>
      <c r="B11">
        <v>23.175899999999999</v>
      </c>
    </row>
    <row r="12" spans="1:2" x14ac:dyDescent="0.25">
      <c r="A12" s="2">
        <v>45324</v>
      </c>
      <c r="B12">
        <v>22.684000000000001</v>
      </c>
    </row>
    <row r="13" spans="1:2" x14ac:dyDescent="0.25">
      <c r="A13" s="2">
        <v>45327</v>
      </c>
      <c r="B13">
        <v>22.359500000000001</v>
      </c>
    </row>
    <row r="14" spans="1:2" x14ac:dyDescent="0.25">
      <c r="A14" s="2">
        <v>45328</v>
      </c>
      <c r="B14">
        <v>22.425699999999999</v>
      </c>
    </row>
    <row r="15" spans="1:2" x14ac:dyDescent="0.25">
      <c r="A15" s="2">
        <v>45329</v>
      </c>
      <c r="B15">
        <v>22.209599999999998</v>
      </c>
    </row>
    <row r="16" spans="1:2" x14ac:dyDescent="0.25">
      <c r="A16" s="2">
        <v>45330</v>
      </c>
      <c r="B16">
        <v>22.578199999999999</v>
      </c>
    </row>
    <row r="17" spans="1:2" x14ac:dyDescent="0.25">
      <c r="A17" s="2">
        <v>45331</v>
      </c>
      <c r="B17">
        <v>22.6172</v>
      </c>
    </row>
    <row r="18" spans="1:2" x14ac:dyDescent="0.25">
      <c r="A18" s="2">
        <v>45334</v>
      </c>
      <c r="B18">
        <v>22.692599999999999</v>
      </c>
    </row>
    <row r="19" spans="1:2" x14ac:dyDescent="0.25">
      <c r="A19" s="2">
        <v>45335</v>
      </c>
      <c r="B19">
        <v>22.099</v>
      </c>
    </row>
    <row r="20" spans="1:2" x14ac:dyDescent="0.25">
      <c r="A20" s="2">
        <v>45336</v>
      </c>
      <c r="B20">
        <v>22.3718</v>
      </c>
    </row>
    <row r="21" spans="1:2" x14ac:dyDescent="0.25">
      <c r="A21" s="2">
        <v>45337</v>
      </c>
      <c r="B21">
        <v>22.9255</v>
      </c>
    </row>
    <row r="22" spans="1:2" x14ac:dyDescent="0.25">
      <c r="A22" s="2">
        <v>45338</v>
      </c>
      <c r="B22">
        <v>23.413900000000002</v>
      </c>
    </row>
    <row r="23" spans="1:2" x14ac:dyDescent="0.25">
      <c r="A23" s="2">
        <v>45341</v>
      </c>
      <c r="B23">
        <v>22.984999999999999</v>
      </c>
    </row>
    <row r="24" spans="1:2" x14ac:dyDescent="0.25">
      <c r="A24" s="2">
        <v>45342</v>
      </c>
      <c r="B24">
        <v>22.9892</v>
      </c>
    </row>
    <row r="25" spans="1:2" x14ac:dyDescent="0.25">
      <c r="A25" s="2">
        <v>45343</v>
      </c>
      <c r="B25">
        <v>22.874500000000001</v>
      </c>
    </row>
    <row r="26" spans="1:2" x14ac:dyDescent="0.25">
      <c r="A26" s="2">
        <v>45344</v>
      </c>
      <c r="B26">
        <v>22.7545</v>
      </c>
    </row>
    <row r="27" spans="1:2" x14ac:dyDescent="0.25">
      <c r="A27" s="2">
        <v>45345</v>
      </c>
      <c r="B27">
        <v>22.944800000000001</v>
      </c>
    </row>
    <row r="28" spans="1:2" x14ac:dyDescent="0.25">
      <c r="A28" s="2">
        <v>45348</v>
      </c>
      <c r="B28">
        <v>22.515999999999998</v>
      </c>
    </row>
    <row r="29" spans="1:2" x14ac:dyDescent="0.25">
      <c r="A29" s="2">
        <v>45349</v>
      </c>
      <c r="B29">
        <v>22.4556</v>
      </c>
    </row>
    <row r="30" spans="1:2" x14ac:dyDescent="0.25">
      <c r="A30" s="2">
        <v>45350</v>
      </c>
      <c r="B30">
        <v>22.462800000000001</v>
      </c>
    </row>
    <row r="31" spans="1:2" x14ac:dyDescent="0.25">
      <c r="A31" s="2">
        <v>45351</v>
      </c>
      <c r="B31">
        <v>22.669699999999999</v>
      </c>
    </row>
    <row r="32" spans="1:2" x14ac:dyDescent="0.25">
      <c r="A32" s="2">
        <v>45352</v>
      </c>
      <c r="B32">
        <v>23.149799999999999</v>
      </c>
    </row>
    <row r="33" spans="1:2" x14ac:dyDescent="0.25">
      <c r="A33" s="2">
        <v>45355</v>
      </c>
      <c r="B33">
        <v>23.898700000000002</v>
      </c>
    </row>
    <row r="34" spans="1:2" x14ac:dyDescent="0.25">
      <c r="A34" s="2">
        <v>45356</v>
      </c>
      <c r="B34">
        <v>23.680199999999999</v>
      </c>
    </row>
    <row r="35" spans="1:2" x14ac:dyDescent="0.25">
      <c r="A35" s="2">
        <v>45357</v>
      </c>
      <c r="B35">
        <v>24.163699999999999</v>
      </c>
    </row>
    <row r="36" spans="1:2" x14ac:dyDescent="0.25">
      <c r="A36" s="2">
        <v>45358</v>
      </c>
      <c r="B36">
        <v>24.3186</v>
      </c>
    </row>
    <row r="37" spans="1:2" x14ac:dyDescent="0.25">
      <c r="A37" s="2">
        <v>45359</v>
      </c>
      <c r="B37">
        <v>24.318999999999999</v>
      </c>
    </row>
    <row r="38" spans="1:2" x14ac:dyDescent="0.25">
      <c r="A38" s="2">
        <v>45362</v>
      </c>
      <c r="B38">
        <v>24.445</v>
      </c>
    </row>
    <row r="39" spans="1:2" x14ac:dyDescent="0.25">
      <c r="A39" s="2">
        <v>45363</v>
      </c>
      <c r="B39">
        <v>24.195</v>
      </c>
    </row>
    <row r="40" spans="1:2" x14ac:dyDescent="0.25">
      <c r="A40" s="2">
        <v>45364</v>
      </c>
      <c r="B40">
        <v>25.065000000000001</v>
      </c>
    </row>
    <row r="41" spans="1:2" x14ac:dyDescent="0.25">
      <c r="A41" s="2">
        <v>45365</v>
      </c>
      <c r="B41">
        <v>24.844999999999999</v>
      </c>
    </row>
    <row r="42" spans="1:2" x14ac:dyDescent="0.25">
      <c r="A42" s="2">
        <v>45366</v>
      </c>
      <c r="B42">
        <v>25.1874</v>
      </c>
    </row>
    <row r="43" spans="1:2" x14ac:dyDescent="0.25">
      <c r="A43" s="2">
        <v>45369</v>
      </c>
      <c r="B43">
        <v>25.06</v>
      </c>
    </row>
    <row r="44" spans="1:2" x14ac:dyDescent="0.25">
      <c r="A44" s="2">
        <v>45370</v>
      </c>
      <c r="B44">
        <v>24.94</v>
      </c>
    </row>
    <row r="45" spans="1:2" x14ac:dyDescent="0.25">
      <c r="A45" s="2">
        <v>45371</v>
      </c>
      <c r="B45">
        <v>25.64</v>
      </c>
    </row>
    <row r="46" spans="1:2" x14ac:dyDescent="0.25">
      <c r="A46" s="2">
        <v>45372</v>
      </c>
      <c r="B46">
        <v>24.79</v>
      </c>
    </row>
    <row r="47" spans="1:2" x14ac:dyDescent="0.25">
      <c r="A47" s="2">
        <v>45373</v>
      </c>
      <c r="B47">
        <v>24.675699999999999</v>
      </c>
    </row>
    <row r="48" spans="1:2" x14ac:dyDescent="0.25">
      <c r="A48" s="2">
        <v>45376</v>
      </c>
      <c r="B48">
        <v>24.681100000000001</v>
      </c>
    </row>
    <row r="49" spans="1:2" x14ac:dyDescent="0.25">
      <c r="A49" s="2">
        <v>45377</v>
      </c>
      <c r="B49">
        <v>24.454999999999998</v>
      </c>
    </row>
    <row r="50" spans="1:2" x14ac:dyDescent="0.25">
      <c r="A50" s="2">
        <v>45378</v>
      </c>
      <c r="B50">
        <v>24.69</v>
      </c>
    </row>
    <row r="51" spans="1:2" x14ac:dyDescent="0.25">
      <c r="A51" s="2">
        <v>45379</v>
      </c>
      <c r="B51">
        <v>24.976900000000001</v>
      </c>
    </row>
    <row r="52" spans="1:2" x14ac:dyDescent="0.25">
      <c r="A52" s="2">
        <v>45380</v>
      </c>
      <c r="B52">
        <v>24.976900000000001</v>
      </c>
    </row>
    <row r="53" spans="1:2" x14ac:dyDescent="0.25">
      <c r="A53" s="2">
        <v>45383</v>
      </c>
      <c r="B53">
        <v>25.11</v>
      </c>
    </row>
    <row r="54" spans="1:2" x14ac:dyDescent="0.25">
      <c r="A54" s="2">
        <v>45384</v>
      </c>
      <c r="B54">
        <v>26.135000000000002</v>
      </c>
    </row>
    <row r="55" spans="1:2" x14ac:dyDescent="0.25">
      <c r="A55" s="2">
        <v>45385</v>
      </c>
      <c r="B55">
        <v>27.24</v>
      </c>
    </row>
    <row r="56" spans="1:2" x14ac:dyDescent="0.25">
      <c r="A56" s="2">
        <v>45386</v>
      </c>
      <c r="B56">
        <v>26.965</v>
      </c>
    </row>
    <row r="57" spans="1:2" x14ac:dyDescent="0.25">
      <c r="A57" s="2">
        <v>45387</v>
      </c>
      <c r="B57">
        <v>27.504999999999999</v>
      </c>
    </row>
    <row r="58" spans="1:2" x14ac:dyDescent="0.25">
      <c r="A58" s="2">
        <v>45390</v>
      </c>
      <c r="B58">
        <v>27.8522</v>
      </c>
    </row>
    <row r="59" spans="1:2" x14ac:dyDescent="0.25">
      <c r="A59" s="2">
        <v>45391</v>
      </c>
      <c r="B59">
        <v>28.162099999999999</v>
      </c>
    </row>
    <row r="60" spans="1:2" x14ac:dyDescent="0.25">
      <c r="A60" s="2">
        <v>45392</v>
      </c>
      <c r="B60">
        <v>27.995000000000001</v>
      </c>
    </row>
    <row r="61" spans="1:2" x14ac:dyDescent="0.25">
      <c r="A61" s="2">
        <v>45393</v>
      </c>
      <c r="B61">
        <v>28.495000000000001</v>
      </c>
    </row>
    <row r="62" spans="1:2" x14ac:dyDescent="0.25">
      <c r="A62" s="2">
        <v>45394</v>
      </c>
      <c r="B62">
        <v>27.9</v>
      </c>
    </row>
    <row r="63" spans="1:2" x14ac:dyDescent="0.25">
      <c r="A63" s="2">
        <v>45397</v>
      </c>
      <c r="B63">
        <v>28.91</v>
      </c>
    </row>
    <row r="64" spans="1:2" x14ac:dyDescent="0.25">
      <c r="A64" s="2">
        <v>45398</v>
      </c>
      <c r="B64">
        <v>28.0975</v>
      </c>
    </row>
    <row r="65" spans="1:2" x14ac:dyDescent="0.25">
      <c r="A65" s="2">
        <v>45399</v>
      </c>
      <c r="B65">
        <v>28.24</v>
      </c>
    </row>
    <row r="66" spans="1:2" x14ac:dyDescent="0.25">
      <c r="A66" s="2">
        <v>45400</v>
      </c>
      <c r="B66">
        <v>28.235499999999998</v>
      </c>
    </row>
    <row r="67" spans="1:2" x14ac:dyDescent="0.25">
      <c r="A67" s="2">
        <v>45401</v>
      </c>
      <c r="B67">
        <v>28.6783</v>
      </c>
    </row>
    <row r="68" spans="1:2" x14ac:dyDescent="0.25">
      <c r="A68" s="2">
        <v>45404</v>
      </c>
      <c r="B68">
        <v>27.215</v>
      </c>
    </row>
    <row r="69" spans="1:2" x14ac:dyDescent="0.25">
      <c r="A69" s="2">
        <v>45405</v>
      </c>
      <c r="B69">
        <v>27.305</v>
      </c>
    </row>
    <row r="70" spans="1:2" x14ac:dyDescent="0.25">
      <c r="A70" s="2">
        <v>45406</v>
      </c>
      <c r="B70">
        <v>27.2</v>
      </c>
    </row>
    <row r="71" spans="1:2" x14ac:dyDescent="0.25">
      <c r="A71" s="2">
        <v>45407</v>
      </c>
      <c r="B71">
        <v>27.436900000000001</v>
      </c>
    </row>
    <row r="72" spans="1:2" x14ac:dyDescent="0.25">
      <c r="A72" s="2">
        <v>45408</v>
      </c>
      <c r="B72">
        <v>27.19</v>
      </c>
    </row>
    <row r="73" spans="1:2" x14ac:dyDescent="0.25">
      <c r="A73" s="2">
        <v>45411</v>
      </c>
      <c r="B73">
        <v>27.145</v>
      </c>
    </row>
    <row r="74" spans="1:2" x14ac:dyDescent="0.25">
      <c r="A74" s="2">
        <v>45412</v>
      </c>
      <c r="B74">
        <v>26.305</v>
      </c>
    </row>
    <row r="75" spans="1:2" x14ac:dyDescent="0.25">
      <c r="A75" s="2">
        <v>45413</v>
      </c>
      <c r="B75">
        <v>26.664999999999999</v>
      </c>
    </row>
    <row r="76" spans="1:2" x14ac:dyDescent="0.25">
      <c r="A76" s="2">
        <v>45414</v>
      </c>
      <c r="B76">
        <v>26.72</v>
      </c>
    </row>
    <row r="77" spans="1:2" x14ac:dyDescent="0.25">
      <c r="A77" s="2">
        <v>45415</v>
      </c>
      <c r="B77">
        <v>26.56</v>
      </c>
    </row>
    <row r="78" spans="1:2" x14ac:dyDescent="0.25">
      <c r="A78" s="2">
        <v>45418</v>
      </c>
      <c r="B78">
        <v>27.48</v>
      </c>
    </row>
    <row r="79" spans="1:2" x14ac:dyDescent="0.25">
      <c r="A79" s="2">
        <v>45419</v>
      </c>
      <c r="B79">
        <v>27.254999999999999</v>
      </c>
    </row>
    <row r="80" spans="1:2" x14ac:dyDescent="0.25">
      <c r="A80" s="2">
        <v>45420</v>
      </c>
      <c r="B80">
        <v>27.364999999999998</v>
      </c>
    </row>
    <row r="81" spans="1:2" x14ac:dyDescent="0.25">
      <c r="A81" s="2">
        <v>45421</v>
      </c>
      <c r="B81">
        <v>28.36</v>
      </c>
    </row>
    <row r="82" spans="1:2" x14ac:dyDescent="0.25">
      <c r="A82" s="2">
        <v>45422</v>
      </c>
      <c r="B82">
        <v>28.1675</v>
      </c>
    </row>
    <row r="83" spans="1:2" x14ac:dyDescent="0.25">
      <c r="A83" s="2">
        <v>45425</v>
      </c>
      <c r="B83">
        <v>28.215</v>
      </c>
    </row>
    <row r="84" spans="1:2" x14ac:dyDescent="0.25">
      <c r="A84" s="2">
        <v>45426</v>
      </c>
      <c r="B84">
        <v>28.614999999999998</v>
      </c>
    </row>
    <row r="85" spans="1:2" x14ac:dyDescent="0.25">
      <c r="A85" s="2">
        <v>45427</v>
      </c>
      <c r="B85">
        <v>29.725000000000001</v>
      </c>
    </row>
    <row r="86" spans="1:2" x14ac:dyDescent="0.25">
      <c r="A86" s="2">
        <v>45428</v>
      </c>
      <c r="B86">
        <v>29.63</v>
      </c>
    </row>
    <row r="87" spans="1:2" x14ac:dyDescent="0.25">
      <c r="A87" s="2">
        <v>45429</v>
      </c>
      <c r="B87">
        <v>31.515000000000001</v>
      </c>
    </row>
    <row r="88" spans="1:2" x14ac:dyDescent="0.25">
      <c r="A88" s="2">
        <v>45432</v>
      </c>
      <c r="B88">
        <v>31.85</v>
      </c>
    </row>
    <row r="89" spans="1:2" x14ac:dyDescent="0.25">
      <c r="A89" s="2">
        <v>45433</v>
      </c>
      <c r="B89">
        <v>31.984999999999999</v>
      </c>
    </row>
    <row r="90" spans="1:2" x14ac:dyDescent="0.25">
      <c r="A90" s="2">
        <v>45434</v>
      </c>
      <c r="B90">
        <v>30.779299999999999</v>
      </c>
    </row>
    <row r="91" spans="1:2" x14ac:dyDescent="0.25">
      <c r="A91" s="2">
        <v>45435</v>
      </c>
      <c r="B91">
        <v>30.13</v>
      </c>
    </row>
    <row r="92" spans="1:2" x14ac:dyDescent="0.25">
      <c r="A92" s="2">
        <v>45436</v>
      </c>
      <c r="B92">
        <v>30.351500000000001</v>
      </c>
    </row>
    <row r="93" spans="1:2" x14ac:dyDescent="0.25">
      <c r="A93" s="2">
        <v>45439</v>
      </c>
      <c r="B93">
        <v>31.704999999999998</v>
      </c>
    </row>
    <row r="94" spans="1:2" x14ac:dyDescent="0.25">
      <c r="A94" s="2">
        <v>45440</v>
      </c>
      <c r="B94">
        <v>32.134999999999998</v>
      </c>
    </row>
    <row r="95" spans="1:2" x14ac:dyDescent="0.25">
      <c r="A95" s="2">
        <v>45441</v>
      </c>
      <c r="B95">
        <v>31.970500000000001</v>
      </c>
    </row>
    <row r="96" spans="1:2" x14ac:dyDescent="0.25">
      <c r="A96" s="2">
        <v>45442</v>
      </c>
      <c r="B96">
        <v>31.204999999999998</v>
      </c>
    </row>
    <row r="97" spans="1:2" x14ac:dyDescent="0.25">
      <c r="A97" s="2">
        <v>45443</v>
      </c>
      <c r="B97">
        <v>30.395</v>
      </c>
    </row>
    <row r="98" spans="1:2" x14ac:dyDescent="0.25">
      <c r="A98" s="2">
        <v>45446</v>
      </c>
      <c r="B98">
        <v>30.785</v>
      </c>
    </row>
    <row r="99" spans="1:2" x14ac:dyDescent="0.25">
      <c r="A99" s="2">
        <v>45447</v>
      </c>
      <c r="B99">
        <v>29.504999999999999</v>
      </c>
    </row>
    <row r="100" spans="1:2" x14ac:dyDescent="0.25">
      <c r="A100" s="2">
        <v>45448</v>
      </c>
      <c r="B100">
        <v>30.035</v>
      </c>
    </row>
    <row r="101" spans="1:2" x14ac:dyDescent="0.25">
      <c r="A101" s="2">
        <v>45449</v>
      </c>
      <c r="B101">
        <v>31.324999999999999</v>
      </c>
    </row>
    <row r="102" spans="1:2" x14ac:dyDescent="0.25">
      <c r="A102" s="2">
        <v>45450</v>
      </c>
      <c r="B102">
        <v>29.195</v>
      </c>
    </row>
    <row r="103" spans="1:2" x14ac:dyDescent="0.25">
      <c r="A103" s="2">
        <v>45453</v>
      </c>
      <c r="B103">
        <v>29.795000000000002</v>
      </c>
    </row>
    <row r="104" spans="1:2" x14ac:dyDescent="0.25">
      <c r="A104" s="2">
        <v>45454</v>
      </c>
      <c r="B104">
        <v>29.285</v>
      </c>
    </row>
    <row r="105" spans="1:2" x14ac:dyDescent="0.25">
      <c r="A105" s="2">
        <v>45455</v>
      </c>
      <c r="B105">
        <v>29.725000000000001</v>
      </c>
    </row>
    <row r="106" spans="1:2" x14ac:dyDescent="0.25">
      <c r="A106" s="2">
        <v>45456</v>
      </c>
      <c r="B106">
        <v>29.024999999999999</v>
      </c>
    </row>
    <row r="107" spans="1:2" x14ac:dyDescent="0.25">
      <c r="A107" s="2">
        <v>45457</v>
      </c>
      <c r="B107">
        <v>29.565000000000001</v>
      </c>
    </row>
    <row r="108" spans="1:2" x14ac:dyDescent="0.25">
      <c r="A108" s="2">
        <v>45460</v>
      </c>
      <c r="B108">
        <v>29.52</v>
      </c>
    </row>
    <row r="109" spans="1:2" x14ac:dyDescent="0.25">
      <c r="A109" s="2">
        <v>45461</v>
      </c>
      <c r="B109">
        <v>29.545000000000002</v>
      </c>
    </row>
    <row r="110" spans="1:2" x14ac:dyDescent="0.25">
      <c r="A110" s="2">
        <v>45462</v>
      </c>
      <c r="B110">
        <v>29.7605</v>
      </c>
    </row>
    <row r="111" spans="1:2" x14ac:dyDescent="0.25">
      <c r="A111" s="2">
        <v>45463</v>
      </c>
      <c r="B111">
        <v>30.734999999999999</v>
      </c>
    </row>
    <row r="112" spans="1:2" x14ac:dyDescent="0.25">
      <c r="A112" s="2">
        <v>45464</v>
      </c>
      <c r="B112">
        <v>29.54</v>
      </c>
    </row>
    <row r="113" spans="1:2" x14ac:dyDescent="0.25">
      <c r="A113" s="2">
        <v>45467</v>
      </c>
      <c r="B113">
        <v>29.66</v>
      </c>
    </row>
    <row r="114" spans="1:2" x14ac:dyDescent="0.25">
      <c r="A114" s="2">
        <v>45468</v>
      </c>
      <c r="B114">
        <v>28.94</v>
      </c>
    </row>
    <row r="115" spans="1:2" x14ac:dyDescent="0.25">
      <c r="A115" s="2">
        <v>45469</v>
      </c>
      <c r="B115">
        <v>28.7698</v>
      </c>
    </row>
    <row r="116" spans="1:2" x14ac:dyDescent="0.25">
      <c r="A116" s="2">
        <v>45470</v>
      </c>
      <c r="B116">
        <v>29.085000000000001</v>
      </c>
    </row>
    <row r="117" spans="1:2" x14ac:dyDescent="0.25">
      <c r="A117" s="2">
        <v>45471</v>
      </c>
      <c r="B117">
        <v>29.1401</v>
      </c>
    </row>
    <row r="118" spans="1:2" x14ac:dyDescent="0.25">
      <c r="A118" s="2">
        <v>45474</v>
      </c>
      <c r="B118">
        <v>29.465</v>
      </c>
    </row>
    <row r="119" spans="1:2" x14ac:dyDescent="0.25">
      <c r="A119" s="2">
        <v>45475</v>
      </c>
      <c r="B119">
        <v>29.535</v>
      </c>
    </row>
    <row r="120" spans="1:2" x14ac:dyDescent="0.25">
      <c r="A120" s="2">
        <v>45476</v>
      </c>
      <c r="B120">
        <v>30.495000000000001</v>
      </c>
    </row>
    <row r="121" spans="1:2" x14ac:dyDescent="0.25">
      <c r="A121" s="2">
        <v>45477</v>
      </c>
      <c r="B121">
        <v>30.41</v>
      </c>
    </row>
    <row r="122" spans="1:2" x14ac:dyDescent="0.25">
      <c r="A122" s="2">
        <v>45478</v>
      </c>
      <c r="B122">
        <v>31.2254</v>
      </c>
    </row>
    <row r="123" spans="1:2" x14ac:dyDescent="0.25">
      <c r="A123" s="2">
        <v>45481</v>
      </c>
      <c r="B123">
        <v>30.815000000000001</v>
      </c>
    </row>
    <row r="124" spans="1:2" x14ac:dyDescent="0.25">
      <c r="A124" s="2">
        <v>45482</v>
      </c>
      <c r="B124">
        <v>30.802499999999998</v>
      </c>
    </row>
    <row r="125" spans="1:2" x14ac:dyDescent="0.25">
      <c r="A125" s="2">
        <v>45483</v>
      </c>
      <c r="B125">
        <v>30.8155</v>
      </c>
    </row>
    <row r="126" spans="1:2" x14ac:dyDescent="0.25">
      <c r="A126" s="2">
        <v>45484</v>
      </c>
      <c r="B126">
        <v>31.46</v>
      </c>
    </row>
    <row r="127" spans="1:2" x14ac:dyDescent="0.25">
      <c r="A127" s="2">
        <v>45485</v>
      </c>
      <c r="B127">
        <v>30.795000000000002</v>
      </c>
    </row>
    <row r="128" spans="1:2" x14ac:dyDescent="0.25">
      <c r="A128" s="2">
        <v>45488</v>
      </c>
      <c r="B128">
        <v>31.035</v>
      </c>
    </row>
    <row r="129" spans="1:2" x14ac:dyDescent="0.25">
      <c r="A129" s="2">
        <v>45489</v>
      </c>
      <c r="B129">
        <v>31.405000000000001</v>
      </c>
    </row>
    <row r="130" spans="1:2" x14ac:dyDescent="0.25">
      <c r="A130" s="2">
        <v>45490</v>
      </c>
      <c r="B130">
        <v>30.300999999999998</v>
      </c>
    </row>
    <row r="131" spans="1:2" x14ac:dyDescent="0.25">
      <c r="A131" s="2">
        <v>45491</v>
      </c>
      <c r="B131">
        <v>30.094999999999999</v>
      </c>
    </row>
    <row r="132" spans="1:2" x14ac:dyDescent="0.25">
      <c r="A132" s="2">
        <v>45492</v>
      </c>
      <c r="B132">
        <v>29.285</v>
      </c>
    </row>
    <row r="133" spans="1:2" x14ac:dyDescent="0.25">
      <c r="A133" s="2">
        <v>45495</v>
      </c>
      <c r="B133">
        <v>29.225000000000001</v>
      </c>
    </row>
    <row r="134" spans="1:2" x14ac:dyDescent="0.25">
      <c r="A134" s="2">
        <v>45496</v>
      </c>
      <c r="B134">
        <v>29.245000000000001</v>
      </c>
    </row>
    <row r="135" spans="1:2" x14ac:dyDescent="0.25">
      <c r="A135" s="2">
        <v>45497</v>
      </c>
      <c r="B135">
        <v>29.015000000000001</v>
      </c>
    </row>
    <row r="136" spans="1:2" x14ac:dyDescent="0.25">
      <c r="A136" s="2">
        <v>45498</v>
      </c>
      <c r="B136">
        <v>27.988800000000001</v>
      </c>
    </row>
    <row r="137" spans="1:2" x14ac:dyDescent="0.25">
      <c r="A137" s="2">
        <v>45499</v>
      </c>
      <c r="B137">
        <v>27.914999999999999</v>
      </c>
    </row>
    <row r="138" spans="1:2" x14ac:dyDescent="0.25">
      <c r="A138" s="2">
        <v>45502</v>
      </c>
      <c r="B138">
        <v>27.885000000000002</v>
      </c>
    </row>
    <row r="139" spans="1:2" x14ac:dyDescent="0.25">
      <c r="A139" s="2">
        <v>45503</v>
      </c>
      <c r="B139">
        <v>28.414999999999999</v>
      </c>
    </row>
    <row r="140" spans="1:2" x14ac:dyDescent="0.25">
      <c r="A140" s="2">
        <v>45504</v>
      </c>
      <c r="B140">
        <v>29.065000000000001</v>
      </c>
    </row>
    <row r="141" spans="1:2" x14ac:dyDescent="0.25">
      <c r="A141" s="2">
        <v>45505</v>
      </c>
      <c r="B141">
        <v>28.574999999999999</v>
      </c>
    </row>
    <row r="142" spans="1:2" x14ac:dyDescent="0.25">
      <c r="A142" s="2">
        <v>45506</v>
      </c>
      <c r="B142">
        <v>28.565000000000001</v>
      </c>
    </row>
    <row r="143" spans="1:2" x14ac:dyDescent="0.25">
      <c r="A143" s="2">
        <v>45509</v>
      </c>
      <c r="B143">
        <v>27.3</v>
      </c>
    </row>
    <row r="144" spans="1:2" x14ac:dyDescent="0.25">
      <c r="A144" s="2">
        <v>45510</v>
      </c>
      <c r="B144">
        <v>27.065000000000001</v>
      </c>
    </row>
    <row r="145" spans="1:2" x14ac:dyDescent="0.25">
      <c r="A145" s="2">
        <v>45511</v>
      </c>
      <c r="B145">
        <v>26.604099999999999</v>
      </c>
    </row>
    <row r="146" spans="1:2" x14ac:dyDescent="0.25">
      <c r="A146" s="2">
        <v>45512</v>
      </c>
      <c r="B146">
        <v>27.59</v>
      </c>
    </row>
    <row r="147" spans="1:2" x14ac:dyDescent="0.25">
      <c r="A147" s="2">
        <v>45513</v>
      </c>
      <c r="B147">
        <v>27.4617</v>
      </c>
    </row>
    <row r="148" spans="1:2" x14ac:dyDescent="0.25">
      <c r="A148" s="2">
        <v>45516</v>
      </c>
      <c r="B148">
        <v>28.035</v>
      </c>
    </row>
    <row r="149" spans="1:2" x14ac:dyDescent="0.25">
      <c r="A149" s="2">
        <v>45517</v>
      </c>
      <c r="B149">
        <v>27.8537</v>
      </c>
    </row>
    <row r="150" spans="1:2" x14ac:dyDescent="0.25">
      <c r="A150" s="2">
        <v>45518</v>
      </c>
      <c r="B150">
        <v>27.614999999999998</v>
      </c>
    </row>
    <row r="151" spans="1:2" x14ac:dyDescent="0.25">
      <c r="A151" s="2">
        <v>45519</v>
      </c>
      <c r="B151">
        <v>28.414999999999999</v>
      </c>
    </row>
    <row r="152" spans="1:2" x14ac:dyDescent="0.25">
      <c r="A152" s="2">
        <v>45520</v>
      </c>
      <c r="B152">
        <v>29.032499999999999</v>
      </c>
    </row>
    <row r="153" spans="1:2" x14ac:dyDescent="0.25">
      <c r="A153" s="2">
        <v>45523</v>
      </c>
      <c r="B153">
        <v>29.5</v>
      </c>
    </row>
    <row r="154" spans="1:2" x14ac:dyDescent="0.25">
      <c r="A154" s="2">
        <v>45524</v>
      </c>
      <c r="B154">
        <v>29.435400000000001</v>
      </c>
    </row>
    <row r="155" spans="1:2" x14ac:dyDescent="0.25">
      <c r="A155" s="2">
        <v>45525</v>
      </c>
      <c r="B155">
        <v>29.65</v>
      </c>
    </row>
    <row r="156" spans="1:2" x14ac:dyDescent="0.25">
      <c r="A156" s="2">
        <v>45526</v>
      </c>
      <c r="B156">
        <v>29.01</v>
      </c>
    </row>
    <row r="157" spans="1:2" x14ac:dyDescent="0.25">
      <c r="A157" s="2">
        <v>45527</v>
      </c>
      <c r="B157">
        <v>29.837499999999999</v>
      </c>
    </row>
    <row r="158" spans="1:2" x14ac:dyDescent="0.25">
      <c r="A158" s="2">
        <v>45530</v>
      </c>
      <c r="B158">
        <v>29.925000000000001</v>
      </c>
    </row>
    <row r="159" spans="1:2" x14ac:dyDescent="0.25">
      <c r="A159" s="2">
        <v>45531</v>
      </c>
      <c r="B159">
        <v>30.015000000000001</v>
      </c>
    </row>
    <row r="160" spans="1:2" x14ac:dyDescent="0.25">
      <c r="A160" s="2">
        <v>45532</v>
      </c>
      <c r="B160">
        <v>29.135000000000002</v>
      </c>
    </row>
    <row r="161" spans="1:2" x14ac:dyDescent="0.25">
      <c r="A161" s="2">
        <v>45533</v>
      </c>
      <c r="B161">
        <v>29.465</v>
      </c>
    </row>
    <row r="162" spans="1:2" x14ac:dyDescent="0.25">
      <c r="A162" s="2">
        <v>45534</v>
      </c>
      <c r="B162">
        <v>28.857199999999999</v>
      </c>
    </row>
    <row r="163" spans="1:2" x14ac:dyDescent="0.25">
      <c r="A163" s="2">
        <v>45537</v>
      </c>
      <c r="B163">
        <v>28.52</v>
      </c>
    </row>
    <row r="164" spans="1:2" x14ac:dyDescent="0.25">
      <c r="A164" s="2">
        <v>45538</v>
      </c>
      <c r="B164">
        <v>28.074999999999999</v>
      </c>
    </row>
    <row r="165" spans="1:2" x14ac:dyDescent="0.25">
      <c r="A165" s="2">
        <v>45539</v>
      </c>
      <c r="B165">
        <v>28.31</v>
      </c>
    </row>
    <row r="166" spans="1:2" x14ac:dyDescent="0.25">
      <c r="A166" s="2">
        <v>45540</v>
      </c>
      <c r="B166">
        <v>28.8231</v>
      </c>
    </row>
    <row r="167" spans="1:2" x14ac:dyDescent="0.25">
      <c r="A167" s="2">
        <v>45541</v>
      </c>
      <c r="B167">
        <v>27.945</v>
      </c>
    </row>
    <row r="168" spans="1:2" x14ac:dyDescent="0.25">
      <c r="A168" s="2">
        <v>45544</v>
      </c>
      <c r="B168">
        <v>28.375</v>
      </c>
    </row>
    <row r="169" spans="1:2" x14ac:dyDescent="0.25">
      <c r="A169" s="2">
        <v>45545</v>
      </c>
      <c r="B169">
        <v>28.405000000000001</v>
      </c>
    </row>
    <row r="170" spans="1:2" x14ac:dyDescent="0.25">
      <c r="A170" s="2">
        <v>45546</v>
      </c>
      <c r="B170">
        <v>28.71</v>
      </c>
    </row>
    <row r="171" spans="1:2" x14ac:dyDescent="0.25">
      <c r="A171" s="2">
        <v>45547</v>
      </c>
      <c r="B171">
        <v>29.934999999999999</v>
      </c>
    </row>
    <row r="172" spans="1:2" x14ac:dyDescent="0.25">
      <c r="A172" s="2">
        <v>45548</v>
      </c>
      <c r="B172">
        <v>30.677499999999998</v>
      </c>
    </row>
    <row r="173" spans="1:2" x14ac:dyDescent="0.25">
      <c r="A173" s="2">
        <v>45551</v>
      </c>
      <c r="B173">
        <v>30.785</v>
      </c>
    </row>
    <row r="174" spans="1:2" x14ac:dyDescent="0.25">
      <c r="A174" s="2">
        <v>45552</v>
      </c>
      <c r="B174">
        <v>30.76</v>
      </c>
    </row>
    <row r="175" spans="1:2" x14ac:dyDescent="0.25">
      <c r="A175" s="2">
        <v>45553</v>
      </c>
      <c r="B175">
        <v>30.085000000000001</v>
      </c>
    </row>
    <row r="176" spans="1:2" x14ac:dyDescent="0.25">
      <c r="A176" s="2">
        <v>45554</v>
      </c>
      <c r="B176">
        <v>30.81</v>
      </c>
    </row>
    <row r="177" spans="1:2" x14ac:dyDescent="0.25">
      <c r="A177" s="2">
        <v>45555</v>
      </c>
      <c r="B177">
        <v>31.137499999999999</v>
      </c>
    </row>
    <row r="178" spans="1:2" x14ac:dyDescent="0.25">
      <c r="A178" s="2">
        <v>45558</v>
      </c>
      <c r="B178">
        <v>30.695</v>
      </c>
    </row>
    <row r="179" spans="1:2" x14ac:dyDescent="0.25">
      <c r="A179" s="2">
        <v>45559</v>
      </c>
      <c r="B179">
        <v>32.155000000000001</v>
      </c>
    </row>
    <row r="180" spans="1:2" x14ac:dyDescent="0.25">
      <c r="A180" s="2">
        <v>45560</v>
      </c>
      <c r="B180">
        <v>31.87</v>
      </c>
    </row>
    <row r="181" spans="1:2" x14ac:dyDescent="0.25">
      <c r="A181" s="2">
        <v>45561</v>
      </c>
      <c r="B181">
        <v>32.049999999999997</v>
      </c>
    </row>
    <row r="182" spans="1:2" x14ac:dyDescent="0.25">
      <c r="A182" s="2">
        <v>45562</v>
      </c>
      <c r="B182">
        <v>31.645</v>
      </c>
    </row>
    <row r="183" spans="1:2" x14ac:dyDescent="0.25">
      <c r="A183" s="2">
        <v>45565</v>
      </c>
      <c r="B183">
        <v>31.175000000000001</v>
      </c>
    </row>
    <row r="184" spans="1:2" x14ac:dyDescent="0.25">
      <c r="A184" s="2">
        <v>45566</v>
      </c>
      <c r="B184">
        <v>31.434999999999999</v>
      </c>
    </row>
    <row r="185" spans="1:2" x14ac:dyDescent="0.25">
      <c r="A185" s="2">
        <v>45567</v>
      </c>
      <c r="B185">
        <v>31.89</v>
      </c>
    </row>
    <row r="186" spans="1:2" x14ac:dyDescent="0.25">
      <c r="A186" s="2">
        <v>45568</v>
      </c>
      <c r="B186">
        <v>32.075000000000003</v>
      </c>
    </row>
    <row r="187" spans="1:2" x14ac:dyDescent="0.25">
      <c r="A187" s="2">
        <v>45569</v>
      </c>
      <c r="B187">
        <v>32.195</v>
      </c>
    </row>
    <row r="188" spans="1:2" x14ac:dyDescent="0.25">
      <c r="A188" s="2">
        <v>45572</v>
      </c>
      <c r="B188">
        <v>31.745000000000001</v>
      </c>
    </row>
    <row r="189" spans="1:2" x14ac:dyDescent="0.25">
      <c r="A189" s="2">
        <v>45573</v>
      </c>
      <c r="B189">
        <v>30.725000000000001</v>
      </c>
    </row>
    <row r="190" spans="1:2" x14ac:dyDescent="0.25">
      <c r="A190" s="2">
        <v>45574</v>
      </c>
      <c r="B190">
        <v>30.535</v>
      </c>
    </row>
    <row r="191" spans="1:2" x14ac:dyDescent="0.25">
      <c r="A191" s="2">
        <v>45575</v>
      </c>
      <c r="B191">
        <v>31.215</v>
      </c>
    </row>
    <row r="192" spans="1:2" x14ac:dyDescent="0.25">
      <c r="A192" s="2">
        <v>45576</v>
      </c>
      <c r="B192">
        <v>31.530100000000001</v>
      </c>
    </row>
    <row r="193" spans="1:2" x14ac:dyDescent="0.25">
      <c r="A193" s="2">
        <v>45579</v>
      </c>
      <c r="B193">
        <v>31.195</v>
      </c>
    </row>
    <row r="194" spans="1:2" x14ac:dyDescent="0.25">
      <c r="A194" s="2">
        <v>45580</v>
      </c>
      <c r="B194">
        <v>31.495000000000001</v>
      </c>
    </row>
    <row r="195" spans="1:2" x14ac:dyDescent="0.25">
      <c r="A195" s="2">
        <v>45581</v>
      </c>
      <c r="B195">
        <v>31.695</v>
      </c>
    </row>
    <row r="196" spans="1:2" x14ac:dyDescent="0.25">
      <c r="A196" s="2">
        <v>45582</v>
      </c>
      <c r="B196">
        <v>31.72</v>
      </c>
    </row>
    <row r="197" spans="1:2" x14ac:dyDescent="0.25">
      <c r="A197" s="2">
        <v>45583</v>
      </c>
      <c r="B197">
        <v>33.729999999999997</v>
      </c>
    </row>
    <row r="198" spans="1:2" x14ac:dyDescent="0.25">
      <c r="A198" s="2">
        <v>45586</v>
      </c>
      <c r="B198">
        <v>33.784999999999997</v>
      </c>
    </row>
    <row r="199" spans="1:2" x14ac:dyDescent="0.25">
      <c r="A199" s="2">
        <v>45587</v>
      </c>
      <c r="B199">
        <v>34.854999999999997</v>
      </c>
    </row>
    <row r="200" spans="1:2" x14ac:dyDescent="0.25">
      <c r="A200" s="2">
        <v>45588</v>
      </c>
      <c r="B200">
        <v>33.75</v>
      </c>
    </row>
    <row r="201" spans="1:2" x14ac:dyDescent="0.25">
      <c r="A201" s="2">
        <v>45589</v>
      </c>
      <c r="B201">
        <v>33.729999999999997</v>
      </c>
    </row>
    <row r="202" spans="1:2" x14ac:dyDescent="0.25">
      <c r="A202" s="2">
        <v>45590</v>
      </c>
      <c r="B202">
        <v>33.725000000000001</v>
      </c>
    </row>
    <row r="203" spans="1:2" x14ac:dyDescent="0.25">
      <c r="A203" s="2">
        <v>45593</v>
      </c>
      <c r="B203">
        <v>33.72</v>
      </c>
    </row>
    <row r="204" spans="1:2" x14ac:dyDescent="0.25">
      <c r="A204" s="2">
        <v>45594</v>
      </c>
      <c r="B204">
        <v>34.461199999999998</v>
      </c>
    </row>
    <row r="205" spans="1:2" x14ac:dyDescent="0.25">
      <c r="A205" s="2">
        <v>45595</v>
      </c>
      <c r="B205">
        <v>33.825000000000003</v>
      </c>
    </row>
    <row r="206" spans="1:2" x14ac:dyDescent="0.25">
      <c r="A206" s="2">
        <v>45596</v>
      </c>
      <c r="B206">
        <v>32.674999999999997</v>
      </c>
    </row>
    <row r="207" spans="1:2" x14ac:dyDescent="0.25">
      <c r="A207" s="2">
        <v>45597</v>
      </c>
      <c r="B207">
        <v>32.450000000000003</v>
      </c>
    </row>
    <row r="208" spans="1:2" x14ac:dyDescent="0.25">
      <c r="A208" s="2">
        <v>45600</v>
      </c>
      <c r="B208">
        <v>32.459299999999999</v>
      </c>
    </row>
    <row r="209" spans="1:2" x14ac:dyDescent="0.25">
      <c r="A209" s="2">
        <v>45601</v>
      </c>
      <c r="B209">
        <v>32.662399999999998</v>
      </c>
    </row>
    <row r="210" spans="1:2" x14ac:dyDescent="0.25">
      <c r="A210" s="2">
        <v>45602</v>
      </c>
      <c r="B210">
        <v>31.168199999999999</v>
      </c>
    </row>
    <row r="211" spans="1:2" x14ac:dyDescent="0.25">
      <c r="A211" s="2">
        <v>45603</v>
      </c>
      <c r="B211">
        <v>32.002899999999997</v>
      </c>
    </row>
    <row r="212" spans="1:2" x14ac:dyDescent="0.25">
      <c r="A212" s="2">
        <v>45604</v>
      </c>
      <c r="B212">
        <v>31.305</v>
      </c>
    </row>
    <row r="213" spans="1:2" x14ac:dyDescent="0.25">
      <c r="A213" s="2">
        <v>45607</v>
      </c>
      <c r="B213">
        <v>30.7</v>
      </c>
    </row>
    <row r="214" spans="1:2" x14ac:dyDescent="0.25">
      <c r="A214" s="2">
        <v>45608</v>
      </c>
      <c r="B214">
        <v>30.712800000000001</v>
      </c>
    </row>
    <row r="215" spans="1:2" x14ac:dyDescent="0.25">
      <c r="A215" s="2">
        <v>45609</v>
      </c>
      <c r="B215">
        <v>30.3338</v>
      </c>
    </row>
    <row r="216" spans="1:2" x14ac:dyDescent="0.25">
      <c r="A216" s="2">
        <v>45610</v>
      </c>
      <c r="B216">
        <v>30.47</v>
      </c>
    </row>
    <row r="217" spans="1:2" x14ac:dyDescent="0.25">
      <c r="A217" s="2">
        <v>45611</v>
      </c>
      <c r="B217">
        <v>30.238</v>
      </c>
    </row>
    <row r="218" spans="1:2" x14ac:dyDescent="0.25">
      <c r="A218" s="2">
        <v>45614</v>
      </c>
      <c r="B218">
        <v>31.164400000000001</v>
      </c>
    </row>
    <row r="219" spans="1:2" x14ac:dyDescent="0.25">
      <c r="A219" s="2">
        <v>45615</v>
      </c>
      <c r="B219">
        <v>31.216100000000001</v>
      </c>
    </row>
    <row r="220" spans="1:2" x14ac:dyDescent="0.25">
      <c r="A220" s="2">
        <v>45616</v>
      </c>
      <c r="B220">
        <v>30.865100000000002</v>
      </c>
    </row>
    <row r="221" spans="1:2" x14ac:dyDescent="0.25">
      <c r="A221" s="2">
        <v>45617</v>
      </c>
      <c r="B221">
        <v>30.787500000000001</v>
      </c>
    </row>
    <row r="222" spans="1:2" x14ac:dyDescent="0.25">
      <c r="A222" s="2">
        <v>45618</v>
      </c>
      <c r="B222">
        <v>31.318999999999999</v>
      </c>
    </row>
    <row r="223" spans="1:2" x14ac:dyDescent="0.25">
      <c r="A223" s="2">
        <v>45621</v>
      </c>
      <c r="B223">
        <v>30.296199999999999</v>
      </c>
    </row>
    <row r="224" spans="1:2" x14ac:dyDescent="0.25">
      <c r="A224" s="2">
        <v>45622</v>
      </c>
      <c r="B224">
        <v>30.445</v>
      </c>
    </row>
    <row r="225" spans="1:2" x14ac:dyDescent="0.25">
      <c r="A225" s="2">
        <v>45623</v>
      </c>
      <c r="B225">
        <v>30.082799999999999</v>
      </c>
    </row>
    <row r="226" spans="1:2" x14ac:dyDescent="0.25">
      <c r="A226" s="2">
        <v>45624</v>
      </c>
      <c r="B226">
        <v>30.285</v>
      </c>
    </row>
    <row r="227" spans="1:2" x14ac:dyDescent="0.25">
      <c r="A227" s="2">
        <v>45625</v>
      </c>
      <c r="B227">
        <v>30.625</v>
      </c>
    </row>
    <row r="228" spans="1:2" x14ac:dyDescent="0.25">
      <c r="A228" s="2">
        <v>45628</v>
      </c>
      <c r="B228">
        <v>30.5047</v>
      </c>
    </row>
    <row r="229" spans="1:2" x14ac:dyDescent="0.25">
      <c r="A229" s="2">
        <v>45629</v>
      </c>
      <c r="B229">
        <v>31.0276</v>
      </c>
    </row>
    <row r="230" spans="1:2" x14ac:dyDescent="0.25">
      <c r="A230" s="2">
        <v>45630</v>
      </c>
      <c r="B230">
        <v>31.290400000000002</v>
      </c>
    </row>
    <row r="231" spans="1:2" x14ac:dyDescent="0.25">
      <c r="A231" s="2">
        <v>45631</v>
      </c>
      <c r="B231">
        <v>31.3415</v>
      </c>
    </row>
    <row r="232" spans="1:2" x14ac:dyDescent="0.25">
      <c r="A232" s="2">
        <v>45632</v>
      </c>
      <c r="B232">
        <v>30.979700000000001</v>
      </c>
    </row>
    <row r="233" spans="1:2" x14ac:dyDescent="0.25">
      <c r="A233" s="2">
        <v>45635</v>
      </c>
      <c r="B233">
        <v>31.812899999999999</v>
      </c>
    </row>
    <row r="234" spans="1:2" x14ac:dyDescent="0.25">
      <c r="A234" s="2">
        <v>45636</v>
      </c>
      <c r="B234">
        <v>31.92</v>
      </c>
    </row>
    <row r="235" spans="1:2" x14ac:dyDescent="0.25">
      <c r="A235" s="2">
        <v>45637</v>
      </c>
      <c r="B235">
        <v>31.904699999999998</v>
      </c>
    </row>
    <row r="236" spans="1:2" x14ac:dyDescent="0.25">
      <c r="A236" s="2">
        <v>45638</v>
      </c>
      <c r="B236">
        <v>30.964200000000002</v>
      </c>
    </row>
    <row r="237" spans="1:2" x14ac:dyDescent="0.25">
      <c r="A237" s="2">
        <v>45639</v>
      </c>
      <c r="B237">
        <v>30.568200000000001</v>
      </c>
    </row>
    <row r="238" spans="1:2" x14ac:dyDescent="0.25">
      <c r="A238" s="2">
        <v>45642</v>
      </c>
      <c r="B238">
        <v>30.525700000000001</v>
      </c>
    </row>
    <row r="239" spans="1:2" x14ac:dyDescent="0.25">
      <c r="A239" s="2">
        <v>45643</v>
      </c>
      <c r="B239">
        <v>30.5398</v>
      </c>
    </row>
    <row r="240" spans="1:2" x14ac:dyDescent="0.25">
      <c r="A240" s="2">
        <v>45644</v>
      </c>
      <c r="B240">
        <v>29.368099999999998</v>
      </c>
    </row>
    <row r="241" spans="1:2" x14ac:dyDescent="0.25">
      <c r="A241" s="2">
        <v>45645</v>
      </c>
      <c r="B241">
        <v>29.0428</v>
      </c>
    </row>
    <row r="242" spans="1:2" x14ac:dyDescent="0.25">
      <c r="A242" s="2">
        <v>45646</v>
      </c>
      <c r="B242">
        <v>29.533799999999999</v>
      </c>
    </row>
    <row r="243" spans="1:2" x14ac:dyDescent="0.25">
      <c r="A243" s="2">
        <v>45649</v>
      </c>
      <c r="B243">
        <v>29.649000000000001</v>
      </c>
    </row>
    <row r="244" spans="1:2" x14ac:dyDescent="0.25">
      <c r="A244" s="2">
        <v>45650</v>
      </c>
      <c r="B244">
        <v>29.635000000000002</v>
      </c>
    </row>
    <row r="245" spans="1:2" x14ac:dyDescent="0.25">
      <c r="A245" s="2">
        <v>45651</v>
      </c>
      <c r="B245">
        <v>29.635000000000002</v>
      </c>
    </row>
    <row r="246" spans="1:2" x14ac:dyDescent="0.25">
      <c r="A246" s="2">
        <v>45652</v>
      </c>
      <c r="B246">
        <v>29.800899999999999</v>
      </c>
    </row>
    <row r="247" spans="1:2" x14ac:dyDescent="0.25">
      <c r="A247" s="2">
        <v>45653</v>
      </c>
      <c r="B247">
        <v>29.3795</v>
      </c>
    </row>
    <row r="248" spans="1:2" x14ac:dyDescent="0.25">
      <c r="A248" s="2">
        <v>45656</v>
      </c>
      <c r="B248">
        <v>28.9467</v>
      </c>
    </row>
    <row r="249" spans="1:2" x14ac:dyDescent="0.25">
      <c r="A249" s="2">
        <v>45657</v>
      </c>
      <c r="B249">
        <v>28.898800000000001</v>
      </c>
    </row>
    <row r="250" spans="1:2" x14ac:dyDescent="0.25">
      <c r="A250" s="2">
        <v>45658</v>
      </c>
      <c r="B250">
        <v>28.898800000000001</v>
      </c>
    </row>
    <row r="251" spans="1:2" x14ac:dyDescent="0.25">
      <c r="A251" s="2">
        <v>45659</v>
      </c>
      <c r="B251">
        <v>29.574100000000001</v>
      </c>
    </row>
    <row r="252" spans="1:2" x14ac:dyDescent="0.25">
      <c r="A252" s="2">
        <v>45660</v>
      </c>
      <c r="B252">
        <v>29.631399999999999</v>
      </c>
    </row>
    <row r="253" spans="1:2" x14ac:dyDescent="0.25">
      <c r="A253" s="2">
        <v>45663</v>
      </c>
      <c r="B253">
        <v>29.952500000000001</v>
      </c>
    </row>
    <row r="254" spans="1:2" x14ac:dyDescent="0.25">
      <c r="A254" s="2">
        <v>45664</v>
      </c>
      <c r="B254">
        <v>30.035</v>
      </c>
    </row>
    <row r="255" spans="1:2" x14ac:dyDescent="0.25">
      <c r="A255" s="2">
        <v>45665</v>
      </c>
      <c r="B255">
        <v>30.119599999999998</v>
      </c>
    </row>
    <row r="256" spans="1:2" x14ac:dyDescent="0.25">
      <c r="A256" s="2">
        <v>45666</v>
      </c>
      <c r="B256">
        <v>30.131399999999999</v>
      </c>
    </row>
    <row r="257" spans="1:2" x14ac:dyDescent="0.25">
      <c r="A257" s="2">
        <v>45667</v>
      </c>
      <c r="B257">
        <v>30.414000000000001</v>
      </c>
    </row>
    <row r="258" spans="1:2" x14ac:dyDescent="0.25">
      <c r="A258" s="2">
        <v>45670</v>
      </c>
      <c r="B258">
        <v>29.6144</v>
      </c>
    </row>
    <row r="259" spans="1:2" x14ac:dyDescent="0.25">
      <c r="A259" s="2">
        <v>45671</v>
      </c>
      <c r="B259">
        <v>29.896899999999999</v>
      </c>
    </row>
    <row r="260" spans="1:2" x14ac:dyDescent="0.25">
      <c r="A260" s="2">
        <v>45672</v>
      </c>
      <c r="B260">
        <v>30.6629</v>
      </c>
    </row>
    <row r="261" spans="1:2" x14ac:dyDescent="0.25">
      <c r="A261" s="2">
        <v>45673</v>
      </c>
      <c r="B261">
        <v>30.803999999999998</v>
      </c>
    </row>
    <row r="262" spans="1:2" x14ac:dyDescent="0.25">
      <c r="A262" s="2">
        <v>45674</v>
      </c>
      <c r="B262">
        <v>30.349699999999999</v>
      </c>
    </row>
    <row r="263" spans="1:2" x14ac:dyDescent="0.25">
      <c r="A263" s="2">
        <v>45677</v>
      </c>
      <c r="B263">
        <v>30.524999999999999</v>
      </c>
    </row>
    <row r="264" spans="1:2" x14ac:dyDescent="0.25">
      <c r="A264" s="2">
        <v>45678</v>
      </c>
      <c r="B264">
        <v>30.8613</v>
      </c>
    </row>
    <row r="265" spans="1:2" x14ac:dyDescent="0.25">
      <c r="A265" s="2">
        <v>45679</v>
      </c>
      <c r="B265">
        <v>30.821200000000001</v>
      </c>
    </row>
    <row r="266" spans="1:2" x14ac:dyDescent="0.25">
      <c r="A266" s="2">
        <v>45680</v>
      </c>
      <c r="B266">
        <v>30.445499999999999</v>
      </c>
    </row>
    <row r="267" spans="1:2" x14ac:dyDescent="0.25">
      <c r="A267" s="2">
        <v>45681</v>
      </c>
      <c r="B267">
        <v>30.609000000000002</v>
      </c>
    </row>
    <row r="268" spans="1:2" x14ac:dyDescent="0.25">
      <c r="A268" s="2">
        <v>45684</v>
      </c>
      <c r="B268">
        <v>30.209800000000001</v>
      </c>
    </row>
    <row r="269" spans="1:2" x14ac:dyDescent="0.25">
      <c r="A269" s="2">
        <v>45685</v>
      </c>
      <c r="B269">
        <v>30.407900000000001</v>
      </c>
    </row>
    <row r="270" spans="1:2" x14ac:dyDescent="0.25">
      <c r="A270" s="2">
        <v>45686</v>
      </c>
      <c r="B270">
        <v>30.823599999999999</v>
      </c>
    </row>
    <row r="271" spans="1:2" x14ac:dyDescent="0.25">
      <c r="A271" s="2">
        <v>45687</v>
      </c>
      <c r="B271">
        <v>31.674499999999998</v>
      </c>
    </row>
    <row r="272" spans="1:2" x14ac:dyDescent="0.25">
      <c r="A272" s="2">
        <v>45688</v>
      </c>
      <c r="B272">
        <v>31.309699999999999</v>
      </c>
    </row>
    <row r="273" spans="1:2" x14ac:dyDescent="0.25">
      <c r="A273" s="2">
        <v>45691</v>
      </c>
      <c r="B273">
        <v>31.5685</v>
      </c>
    </row>
    <row r="274" spans="1:2" x14ac:dyDescent="0.25">
      <c r="A274" s="2">
        <v>45692</v>
      </c>
      <c r="B274">
        <v>32.097700000000003</v>
      </c>
    </row>
    <row r="275" spans="1:2" x14ac:dyDescent="0.25">
      <c r="A275" s="2">
        <v>45693</v>
      </c>
      <c r="B275">
        <v>32.316400000000002</v>
      </c>
    </row>
    <row r="276" spans="1:2" x14ac:dyDescent="0.25">
      <c r="A276" s="2">
        <v>45694</v>
      </c>
      <c r="B276">
        <v>32.226300000000002</v>
      </c>
    </row>
    <row r="277" spans="1:2" x14ac:dyDescent="0.25">
      <c r="A277" s="2">
        <v>45695</v>
      </c>
      <c r="B277">
        <v>31.825800000000001</v>
      </c>
    </row>
    <row r="278" spans="1:2" x14ac:dyDescent="0.25">
      <c r="A278" s="2">
        <v>45698</v>
      </c>
      <c r="B278">
        <v>32.066000000000003</v>
      </c>
    </row>
    <row r="279" spans="1:2" x14ac:dyDescent="0.25">
      <c r="A279" s="2">
        <v>45699</v>
      </c>
      <c r="B279">
        <v>31.8278</v>
      </c>
    </row>
    <row r="280" spans="1:2" x14ac:dyDescent="0.25">
      <c r="A280" s="2">
        <v>45700</v>
      </c>
      <c r="B280">
        <v>32.222000000000001</v>
      </c>
    </row>
    <row r="281" spans="1:2" x14ac:dyDescent="0.25">
      <c r="A281" s="2">
        <v>45701</v>
      </c>
      <c r="B281">
        <v>32.363599999999998</v>
      </c>
    </row>
    <row r="282" spans="1:2" x14ac:dyDescent="0.25">
      <c r="A282" s="2">
        <v>45702</v>
      </c>
      <c r="B282">
        <v>32.152999999999999</v>
      </c>
    </row>
    <row r="283" spans="1:2" x14ac:dyDescent="0.25">
      <c r="A283" s="2">
        <v>45705</v>
      </c>
      <c r="B283">
        <v>32.814999999999998</v>
      </c>
    </row>
    <row r="284" spans="1:2" x14ac:dyDescent="0.25">
      <c r="A284" s="2">
        <v>45706</v>
      </c>
      <c r="B284">
        <v>32.872300000000003</v>
      </c>
    </row>
    <row r="285" spans="1:2" x14ac:dyDescent="0.25">
      <c r="A285" s="2">
        <v>45707</v>
      </c>
      <c r="B285">
        <v>32.722299999999997</v>
      </c>
    </row>
    <row r="286" spans="1:2" x14ac:dyDescent="0.25">
      <c r="A286" s="2">
        <v>45708</v>
      </c>
      <c r="B286">
        <v>32.933300000000003</v>
      </c>
    </row>
    <row r="287" spans="1:2" x14ac:dyDescent="0.25">
      <c r="A287" s="2">
        <v>45709</v>
      </c>
      <c r="B287">
        <v>32.554000000000002</v>
      </c>
    </row>
    <row r="288" spans="1:2" x14ac:dyDescent="0.25">
      <c r="A288" s="2">
        <v>45712</v>
      </c>
      <c r="B288">
        <v>32.350999999999999</v>
      </c>
    </row>
    <row r="289" spans="1:2" x14ac:dyDescent="0.25">
      <c r="A289" s="2">
        <v>45713</v>
      </c>
      <c r="B289">
        <v>31.752500000000001</v>
      </c>
    </row>
    <row r="290" spans="1:2" x14ac:dyDescent="0.25">
      <c r="A290" s="2">
        <v>45714</v>
      </c>
      <c r="B290">
        <v>31.864699999999999</v>
      </c>
    </row>
    <row r="291" spans="1:2" x14ac:dyDescent="0.25">
      <c r="A291" s="2">
        <v>45715</v>
      </c>
      <c r="B291">
        <v>31.275099999999998</v>
      </c>
    </row>
    <row r="292" spans="1:2" x14ac:dyDescent="0.25">
      <c r="A292" s="2">
        <v>45716</v>
      </c>
      <c r="B292">
        <v>31.156099999999999</v>
      </c>
    </row>
    <row r="293" spans="1:2" x14ac:dyDescent="0.25">
      <c r="A293" s="2">
        <v>45719</v>
      </c>
      <c r="B293">
        <v>31.689699999999998</v>
      </c>
    </row>
    <row r="294" spans="1:2" x14ac:dyDescent="0.25">
      <c r="A294" s="2">
        <v>45720</v>
      </c>
      <c r="B294">
        <v>31.9849</v>
      </c>
    </row>
    <row r="295" spans="1:2" x14ac:dyDescent="0.25">
      <c r="A295" s="2">
        <v>45721</v>
      </c>
      <c r="B295">
        <v>32.627600000000001</v>
      </c>
    </row>
    <row r="296" spans="1:2" x14ac:dyDescent="0.25">
      <c r="A296" s="2">
        <v>45722</v>
      </c>
      <c r="B296">
        <v>32.627499999999998</v>
      </c>
    </row>
    <row r="297" spans="1:2" x14ac:dyDescent="0.25">
      <c r="A297" s="2">
        <v>45723</v>
      </c>
      <c r="B297">
        <v>32.537199999999999</v>
      </c>
    </row>
    <row r="298" spans="1:2" x14ac:dyDescent="0.25">
      <c r="A298" s="2">
        <v>45726</v>
      </c>
      <c r="B298">
        <v>32.134999999999998</v>
      </c>
    </row>
    <row r="299" spans="1:2" x14ac:dyDescent="0.25">
      <c r="A299" s="2">
        <v>45727</v>
      </c>
      <c r="B299">
        <v>32.954999999999998</v>
      </c>
    </row>
    <row r="300" spans="1:2" x14ac:dyDescent="0.25">
      <c r="A300" s="2">
        <v>45728</v>
      </c>
      <c r="B300">
        <v>33.255000000000003</v>
      </c>
    </row>
    <row r="301" spans="1:2" x14ac:dyDescent="0.25">
      <c r="A301" s="2">
        <v>45729</v>
      </c>
      <c r="B301">
        <v>33.825000000000003</v>
      </c>
    </row>
    <row r="302" spans="1:2" x14ac:dyDescent="0.25">
      <c r="A302" s="2">
        <v>45730</v>
      </c>
      <c r="B302">
        <v>33.805</v>
      </c>
    </row>
    <row r="303" spans="1:2" x14ac:dyDescent="0.25">
      <c r="A303" s="2">
        <v>45733</v>
      </c>
      <c r="B303">
        <v>33.865000000000002</v>
      </c>
    </row>
    <row r="304" spans="1:2" x14ac:dyDescent="0.25">
      <c r="A304" s="2">
        <v>45734</v>
      </c>
      <c r="B304">
        <v>34.049999999999997</v>
      </c>
    </row>
    <row r="305" spans="1:2" x14ac:dyDescent="0.25">
      <c r="A305" s="2">
        <v>45735</v>
      </c>
      <c r="B305">
        <v>33.83</v>
      </c>
    </row>
    <row r="306" spans="1:2" x14ac:dyDescent="0.25">
      <c r="A306" s="2">
        <v>45736</v>
      </c>
      <c r="B306">
        <v>33.575000000000003</v>
      </c>
    </row>
    <row r="307" spans="1:2" x14ac:dyDescent="0.25">
      <c r="A307" s="2">
        <v>45737</v>
      </c>
      <c r="B307">
        <v>33.06</v>
      </c>
    </row>
    <row r="308" spans="1:2" x14ac:dyDescent="0.25">
      <c r="A308" s="2">
        <v>45740</v>
      </c>
      <c r="B308">
        <v>33.012500000000003</v>
      </c>
    </row>
    <row r="309" spans="1:2" x14ac:dyDescent="0.25">
      <c r="A309" s="2">
        <v>45741</v>
      </c>
      <c r="B309">
        <v>33.770000000000003</v>
      </c>
    </row>
    <row r="310" spans="1:2" x14ac:dyDescent="0.25">
      <c r="A310" s="2">
        <v>45742</v>
      </c>
      <c r="B310">
        <v>33.734999999999999</v>
      </c>
    </row>
    <row r="311" spans="1:2" x14ac:dyDescent="0.25">
      <c r="A311" s="2">
        <v>45743</v>
      </c>
      <c r="B311">
        <v>34.43</v>
      </c>
    </row>
    <row r="312" spans="1:2" x14ac:dyDescent="0.25">
      <c r="A312" s="2">
        <v>45744</v>
      </c>
      <c r="B312">
        <v>34.134999999999998</v>
      </c>
    </row>
    <row r="313" spans="1:2" x14ac:dyDescent="0.25">
      <c r="A313" s="2">
        <v>45747</v>
      </c>
      <c r="B313">
        <v>34.094999999999999</v>
      </c>
    </row>
    <row r="314" spans="1:2" x14ac:dyDescent="0.25">
      <c r="A314" s="2">
        <v>45748</v>
      </c>
      <c r="B314">
        <v>33.76</v>
      </c>
    </row>
    <row r="315" spans="1:2" x14ac:dyDescent="0.25">
      <c r="A315" s="2">
        <v>45749</v>
      </c>
      <c r="B315">
        <v>34.055</v>
      </c>
    </row>
    <row r="316" spans="1:2" x14ac:dyDescent="0.25">
      <c r="A316" s="2">
        <v>45750</v>
      </c>
      <c r="B316">
        <v>31.895</v>
      </c>
    </row>
    <row r="317" spans="1:2" x14ac:dyDescent="0.25">
      <c r="A317" s="2">
        <v>45751</v>
      </c>
      <c r="B317">
        <v>29.58</v>
      </c>
    </row>
    <row r="318" spans="1:2" x14ac:dyDescent="0.25">
      <c r="A318" s="2">
        <v>45754</v>
      </c>
      <c r="B318">
        <v>30.145</v>
      </c>
    </row>
    <row r="319" spans="1:2" x14ac:dyDescent="0.25">
      <c r="A319" s="2">
        <v>45755</v>
      </c>
      <c r="B319">
        <v>29.864999999999998</v>
      </c>
    </row>
    <row r="320" spans="1:2" x14ac:dyDescent="0.25">
      <c r="A320" s="2">
        <v>45756</v>
      </c>
      <c r="B320">
        <v>31.055</v>
      </c>
    </row>
    <row r="321" spans="1:2" x14ac:dyDescent="0.25">
      <c r="A321" s="2">
        <v>45757</v>
      </c>
      <c r="B321">
        <v>31.221</v>
      </c>
    </row>
    <row r="322" spans="1:2" x14ac:dyDescent="0.25">
      <c r="A322" s="2">
        <v>45758</v>
      </c>
      <c r="B322">
        <v>32.279000000000003</v>
      </c>
    </row>
    <row r="323" spans="1:2" x14ac:dyDescent="0.25">
      <c r="A323" s="2">
        <v>45761</v>
      </c>
      <c r="B323">
        <v>32.369999999999997</v>
      </c>
    </row>
    <row r="324" spans="1:2" x14ac:dyDescent="0.25">
      <c r="A324" s="2">
        <v>45762</v>
      </c>
      <c r="B324">
        <v>32.325000000000003</v>
      </c>
    </row>
    <row r="325" spans="1:2" x14ac:dyDescent="0.25">
      <c r="A325" s="2">
        <v>45763</v>
      </c>
      <c r="B325">
        <v>32.761400000000002</v>
      </c>
    </row>
    <row r="326" spans="1:2" x14ac:dyDescent="0.25">
      <c r="A326" s="2">
        <v>45764</v>
      </c>
      <c r="B326">
        <v>32.615000000000002</v>
      </c>
    </row>
    <row r="327" spans="1:2" x14ac:dyDescent="0.25">
      <c r="A327" s="2">
        <v>45765</v>
      </c>
      <c r="B327">
        <v>32.615000000000002</v>
      </c>
    </row>
    <row r="328" spans="1:2" x14ac:dyDescent="0.25">
      <c r="A328" s="2">
        <v>45768</v>
      </c>
      <c r="B328">
        <v>32.729999999999997</v>
      </c>
    </row>
    <row r="329" spans="1:2" x14ac:dyDescent="0.25">
      <c r="A329" s="2">
        <v>45769</v>
      </c>
      <c r="B329">
        <v>32.545000000000002</v>
      </c>
    </row>
    <row r="330" spans="1:2" x14ac:dyDescent="0.25">
      <c r="A330" s="2">
        <v>45770</v>
      </c>
      <c r="B330">
        <v>33.568199999999997</v>
      </c>
    </row>
    <row r="331" spans="1:2" x14ac:dyDescent="0.25">
      <c r="A331" s="2">
        <v>45771</v>
      </c>
      <c r="B331">
        <v>33.582900000000002</v>
      </c>
    </row>
    <row r="332" spans="1:2" x14ac:dyDescent="0.25">
      <c r="A332" s="2">
        <v>45772</v>
      </c>
      <c r="B332">
        <v>33.104999999999997</v>
      </c>
    </row>
    <row r="333" spans="1:2" x14ac:dyDescent="0.25">
      <c r="A333" s="2">
        <v>45775</v>
      </c>
      <c r="B333">
        <v>33.195</v>
      </c>
    </row>
    <row r="334" spans="1:2" x14ac:dyDescent="0.25">
      <c r="A334" s="2">
        <v>45776</v>
      </c>
      <c r="B334">
        <v>32.99</v>
      </c>
    </row>
    <row r="335" spans="1:2" x14ac:dyDescent="0.25">
      <c r="A335" s="2">
        <v>45777</v>
      </c>
      <c r="B335">
        <v>32.619999999999997</v>
      </c>
    </row>
    <row r="336" spans="1:2" x14ac:dyDescent="0.25">
      <c r="A336" s="2">
        <v>45778</v>
      </c>
      <c r="B336">
        <v>32.43</v>
      </c>
    </row>
    <row r="337" spans="1:2" x14ac:dyDescent="0.25">
      <c r="A337" s="2">
        <v>45779</v>
      </c>
      <c r="B337">
        <v>32.005000000000003</v>
      </c>
    </row>
    <row r="338" spans="1:2" x14ac:dyDescent="0.25">
      <c r="A338" s="2">
        <v>45782</v>
      </c>
      <c r="B338">
        <v>32.524999999999999</v>
      </c>
    </row>
    <row r="339" spans="1:2" x14ac:dyDescent="0.25">
      <c r="A339" s="2">
        <v>45783</v>
      </c>
      <c r="B339">
        <v>33.265000000000001</v>
      </c>
    </row>
    <row r="340" spans="1:2" x14ac:dyDescent="0.25">
      <c r="A340" s="2">
        <v>45784</v>
      </c>
      <c r="B340">
        <v>32.494999999999997</v>
      </c>
    </row>
    <row r="341" spans="1:2" x14ac:dyDescent="0.25">
      <c r="A341" s="2">
        <v>45785</v>
      </c>
      <c r="B341">
        <v>32.515000000000001</v>
      </c>
    </row>
    <row r="342" spans="1:2" x14ac:dyDescent="0.25">
      <c r="A342" s="2">
        <v>45786</v>
      </c>
      <c r="B342">
        <v>32.722700000000003</v>
      </c>
    </row>
    <row r="343" spans="1:2" x14ac:dyDescent="0.25">
      <c r="A343" s="2">
        <v>45789</v>
      </c>
      <c r="B343">
        <v>32.608699999999999</v>
      </c>
    </row>
    <row r="344" spans="1:2" x14ac:dyDescent="0.25">
      <c r="A344" s="2">
        <v>45790</v>
      </c>
      <c r="B344">
        <v>32.914999999999999</v>
      </c>
    </row>
    <row r="345" spans="1:2" x14ac:dyDescent="0.25">
      <c r="A345" s="2">
        <v>45791</v>
      </c>
      <c r="B345">
        <v>32.234999999999999</v>
      </c>
    </row>
    <row r="346" spans="1:2" x14ac:dyDescent="0.25">
      <c r="A346" s="2">
        <v>45792</v>
      </c>
      <c r="B346">
        <v>32.700000000000003</v>
      </c>
    </row>
    <row r="347" spans="1:2" x14ac:dyDescent="0.25">
      <c r="A347" s="2">
        <v>45793</v>
      </c>
      <c r="B347">
        <v>32.284999999999997</v>
      </c>
    </row>
    <row r="348" spans="1:2" x14ac:dyDescent="0.25">
      <c r="A348" s="2">
        <v>45796</v>
      </c>
      <c r="B348">
        <v>32.372500000000002</v>
      </c>
    </row>
    <row r="349" spans="1:2" x14ac:dyDescent="0.25">
      <c r="A349" s="2">
        <v>45797</v>
      </c>
      <c r="B349">
        <v>33.092599999999997</v>
      </c>
    </row>
    <row r="350" spans="1:2" x14ac:dyDescent="0.25">
      <c r="A350" s="2">
        <v>45798</v>
      </c>
      <c r="B350">
        <v>33.402500000000003</v>
      </c>
    </row>
    <row r="351" spans="1:2" x14ac:dyDescent="0.25">
      <c r="A351" s="2">
        <v>45799</v>
      </c>
      <c r="B351">
        <v>33.102499999999999</v>
      </c>
    </row>
    <row r="352" spans="1:2" x14ac:dyDescent="0.25">
      <c r="A352" s="2">
        <v>45800</v>
      </c>
      <c r="B352">
        <v>33.505000000000003</v>
      </c>
    </row>
    <row r="353" spans="1:2" x14ac:dyDescent="0.25">
      <c r="A353" s="2">
        <v>45803</v>
      </c>
      <c r="B353">
        <v>33.424999999999997</v>
      </c>
    </row>
    <row r="354" spans="1:2" x14ac:dyDescent="0.25">
      <c r="A354" s="2">
        <v>45804</v>
      </c>
      <c r="B354">
        <v>33.325000000000003</v>
      </c>
    </row>
    <row r="355" spans="1:2" x14ac:dyDescent="0.25">
      <c r="A355" s="2">
        <v>45805</v>
      </c>
      <c r="B355">
        <v>33.020000000000003</v>
      </c>
    </row>
    <row r="356" spans="1:2" x14ac:dyDescent="0.25">
      <c r="A356" s="2">
        <v>45806</v>
      </c>
      <c r="B356">
        <v>33.372500000000002</v>
      </c>
    </row>
    <row r="357" spans="1:2" x14ac:dyDescent="0.25">
      <c r="A357" s="2">
        <v>45807</v>
      </c>
      <c r="B357">
        <v>32.994999999999997</v>
      </c>
    </row>
    <row r="358" spans="1:2" x14ac:dyDescent="0.25">
      <c r="A358" s="2">
        <v>45810</v>
      </c>
      <c r="B358">
        <v>34.814999999999998</v>
      </c>
    </row>
    <row r="359" spans="1:2" x14ac:dyDescent="0.25">
      <c r="A359" s="2">
        <v>45811</v>
      </c>
      <c r="B359">
        <v>34.524999999999999</v>
      </c>
    </row>
    <row r="360" spans="1:2" x14ac:dyDescent="0.25">
      <c r="A360" s="2">
        <v>45812</v>
      </c>
      <c r="B360">
        <v>34.984999999999999</v>
      </c>
    </row>
    <row r="361" spans="1:2" x14ac:dyDescent="0.25">
      <c r="A361" s="2">
        <v>45813</v>
      </c>
      <c r="B361">
        <v>36.174999999999997</v>
      </c>
    </row>
    <row r="362" spans="1:2" x14ac:dyDescent="0.25">
      <c r="A362" s="2">
        <v>45814</v>
      </c>
      <c r="B362">
        <v>35.979999999999997</v>
      </c>
    </row>
    <row r="363" spans="1:2" x14ac:dyDescent="0.25">
      <c r="A363" s="2">
        <v>45817</v>
      </c>
      <c r="B363">
        <v>36.756399999999999</v>
      </c>
    </row>
    <row r="364" spans="1:2" x14ac:dyDescent="0.25">
      <c r="A364" s="2">
        <v>45818</v>
      </c>
      <c r="B364">
        <v>36.585000000000001</v>
      </c>
    </row>
    <row r="365" spans="1:2" x14ac:dyDescent="0.25">
      <c r="A365" s="2">
        <v>45819</v>
      </c>
      <c r="B365">
        <v>36.25</v>
      </c>
    </row>
    <row r="366" spans="1:2" x14ac:dyDescent="0.25">
      <c r="A366" s="2">
        <v>45820</v>
      </c>
      <c r="B366">
        <v>36.4</v>
      </c>
    </row>
    <row r="367" spans="1:2" x14ac:dyDescent="0.25">
      <c r="A367" s="2">
        <v>45821</v>
      </c>
      <c r="B367">
        <v>36.314999999999998</v>
      </c>
    </row>
    <row r="368" spans="1:2" x14ac:dyDescent="0.25">
      <c r="A368" s="2">
        <v>45824</v>
      </c>
      <c r="B368">
        <v>36.354999999999997</v>
      </c>
    </row>
    <row r="369" spans="1:2" x14ac:dyDescent="0.25">
      <c r="A369" s="2">
        <v>45825</v>
      </c>
      <c r="B369">
        <v>36.354999999999997</v>
      </c>
    </row>
    <row r="370" spans="1:2" x14ac:dyDescent="0.25">
      <c r="A370" s="2">
        <v>45826</v>
      </c>
      <c r="B370">
        <v>36.756999999999998</v>
      </c>
    </row>
    <row r="371" spans="1:2" x14ac:dyDescent="0.25">
      <c r="A371" s="2">
        <v>45827</v>
      </c>
      <c r="B371">
        <v>36.394500000000001</v>
      </c>
    </row>
    <row r="372" spans="1:2" x14ac:dyDescent="0.25">
      <c r="A372" s="2">
        <v>45828</v>
      </c>
      <c r="B372">
        <v>36.006999999999998</v>
      </c>
    </row>
    <row r="373" spans="1:2" x14ac:dyDescent="0.25">
      <c r="A373" s="2">
        <v>45831</v>
      </c>
      <c r="B373">
        <v>36.155000000000001</v>
      </c>
    </row>
    <row r="374" spans="1:2" x14ac:dyDescent="0.25">
      <c r="A374" s="2">
        <v>45832</v>
      </c>
      <c r="B374">
        <v>35.923099999999998</v>
      </c>
    </row>
    <row r="375" spans="1:2" x14ac:dyDescent="0.25">
      <c r="A375" s="2">
        <v>45833</v>
      </c>
      <c r="B375">
        <v>36.325000000000003</v>
      </c>
    </row>
    <row r="376" spans="1:2" x14ac:dyDescent="0.25">
      <c r="A376" s="2">
        <v>45834</v>
      </c>
      <c r="B376">
        <v>36.645000000000003</v>
      </c>
    </row>
    <row r="377" spans="1:2" x14ac:dyDescent="0.25">
      <c r="A377" s="2">
        <v>45835</v>
      </c>
      <c r="B377">
        <v>36.005000000000003</v>
      </c>
    </row>
    <row r="378" spans="1:2" x14ac:dyDescent="0.25">
      <c r="A378" s="2">
        <v>45838</v>
      </c>
      <c r="B378">
        <v>36.104999999999997</v>
      </c>
    </row>
    <row r="379" spans="1:2" x14ac:dyDescent="0.25">
      <c r="A379" s="2">
        <v>45839</v>
      </c>
      <c r="B379">
        <v>36.085000000000001</v>
      </c>
    </row>
    <row r="380" spans="1:2" x14ac:dyDescent="0.25">
      <c r="A380" s="2">
        <v>45840</v>
      </c>
      <c r="B380">
        <v>36.619999999999997</v>
      </c>
    </row>
    <row r="381" spans="1:2" x14ac:dyDescent="0.25">
      <c r="A381" s="2">
        <v>45841</v>
      </c>
      <c r="B381">
        <v>36.848199999999999</v>
      </c>
    </row>
    <row r="382" spans="1:2" x14ac:dyDescent="0.25">
      <c r="A382" s="2">
        <v>45842</v>
      </c>
      <c r="B382">
        <v>36.935000000000002</v>
      </c>
    </row>
    <row r="383" spans="1:2" x14ac:dyDescent="0.25">
      <c r="A383" s="2">
        <v>45845</v>
      </c>
      <c r="B383">
        <v>36.763800000000003</v>
      </c>
    </row>
    <row r="384" spans="1:2" x14ac:dyDescent="0.25">
      <c r="A384" s="2">
        <v>45846</v>
      </c>
      <c r="B384">
        <v>36.805</v>
      </c>
    </row>
    <row r="385" spans="1:2" x14ac:dyDescent="0.25">
      <c r="A385" s="2">
        <v>45847</v>
      </c>
      <c r="B385">
        <v>36.36</v>
      </c>
    </row>
    <row r="386" spans="1:2" x14ac:dyDescent="0.25">
      <c r="A386" s="2">
        <v>45848</v>
      </c>
      <c r="B386">
        <v>37.055</v>
      </c>
    </row>
    <row r="387" spans="1:2" x14ac:dyDescent="0.25">
      <c r="A387" s="2">
        <v>45849</v>
      </c>
      <c r="B387">
        <v>38.375</v>
      </c>
    </row>
    <row r="388" spans="1:2" x14ac:dyDescent="0.25">
      <c r="A388" s="2">
        <v>45852</v>
      </c>
      <c r="B388">
        <v>38.159999999999997</v>
      </c>
    </row>
    <row r="389" spans="1:2" x14ac:dyDescent="0.25">
      <c r="A389" s="2">
        <v>45853</v>
      </c>
      <c r="B389">
        <v>37.74</v>
      </c>
    </row>
    <row r="390" spans="1:2" x14ac:dyDescent="0.25">
      <c r="A390" s="2">
        <v>45854</v>
      </c>
      <c r="B390">
        <v>37.965000000000003</v>
      </c>
    </row>
    <row r="391" spans="1:2" x14ac:dyDescent="0.25">
      <c r="A391" s="2">
        <v>45855</v>
      </c>
      <c r="B391">
        <v>38.14</v>
      </c>
    </row>
    <row r="392" spans="1:2" x14ac:dyDescent="0.25">
      <c r="A392" s="2">
        <v>45856</v>
      </c>
      <c r="B392">
        <v>38.195</v>
      </c>
    </row>
    <row r="393" spans="1:2" x14ac:dyDescent="0.25">
      <c r="A393" s="2">
        <v>45859</v>
      </c>
      <c r="B393">
        <v>38.94</v>
      </c>
    </row>
    <row r="394" spans="1:2" x14ac:dyDescent="0.25">
      <c r="A394" s="2">
        <v>45860</v>
      </c>
      <c r="B394">
        <v>39.305</v>
      </c>
    </row>
    <row r="395" spans="1:2" x14ac:dyDescent="0.25">
      <c r="A395" s="2">
        <v>45861</v>
      </c>
      <c r="B395">
        <v>39.305</v>
      </c>
    </row>
    <row r="396" spans="1:2" x14ac:dyDescent="0.25">
      <c r="A396" s="2">
        <v>45862</v>
      </c>
      <c r="B396">
        <v>39.104999999999997</v>
      </c>
    </row>
    <row r="397" spans="1:2" x14ac:dyDescent="0.25">
      <c r="A397" s="2">
        <v>45863</v>
      </c>
      <c r="B397">
        <v>38.17</v>
      </c>
    </row>
    <row r="398" spans="1:2" x14ac:dyDescent="0.25">
      <c r="A398" s="2">
        <v>45866</v>
      </c>
      <c r="B398">
        <v>38.19</v>
      </c>
    </row>
    <row r="399" spans="1:2" x14ac:dyDescent="0.25">
      <c r="A399" s="2">
        <v>45867</v>
      </c>
      <c r="B399">
        <v>38.215000000000003</v>
      </c>
    </row>
    <row r="400" spans="1:2" x14ac:dyDescent="0.25">
      <c r="A400" s="2">
        <v>45868</v>
      </c>
      <c r="B400">
        <v>37.15</v>
      </c>
    </row>
    <row r="401" spans="1:2" x14ac:dyDescent="0.25">
      <c r="A401" s="2">
        <v>45869</v>
      </c>
      <c r="B401">
        <v>36.765000000000001</v>
      </c>
    </row>
    <row r="402" spans="1:2" x14ac:dyDescent="0.25">
      <c r="A402" s="2">
        <v>45870</v>
      </c>
      <c r="B402">
        <v>37.045000000000002</v>
      </c>
    </row>
    <row r="403" spans="1:2" x14ac:dyDescent="0.25">
      <c r="A403" s="2">
        <v>45873</v>
      </c>
      <c r="B403">
        <v>37.417299999999997</v>
      </c>
    </row>
    <row r="404" spans="1:2" x14ac:dyDescent="0.25">
      <c r="A404" s="2">
        <v>45874</v>
      </c>
      <c r="B404">
        <v>37.86</v>
      </c>
    </row>
    <row r="405" spans="1:2" x14ac:dyDescent="0.25">
      <c r="A405" s="2">
        <v>45875</v>
      </c>
      <c r="B405">
        <v>37.875</v>
      </c>
    </row>
    <row r="406" spans="1:2" x14ac:dyDescent="0.25">
      <c r="A406" s="2">
        <v>45876</v>
      </c>
      <c r="B406">
        <v>38.335000000000001</v>
      </c>
    </row>
    <row r="407" spans="1:2" x14ac:dyDescent="0.25">
      <c r="A407" s="2">
        <v>45877</v>
      </c>
      <c r="B407">
        <v>38.35</v>
      </c>
    </row>
    <row r="408" spans="1:2" x14ac:dyDescent="0.25">
      <c r="A408" s="2">
        <v>45880</v>
      </c>
      <c r="B408">
        <v>37.609099999999998</v>
      </c>
    </row>
    <row r="409" spans="1:2" x14ac:dyDescent="0.25">
      <c r="A409" s="2">
        <v>45881</v>
      </c>
      <c r="B409">
        <v>37.914999999999999</v>
      </c>
    </row>
    <row r="410" spans="1:2" x14ac:dyDescent="0.25">
      <c r="A410" s="2">
        <v>45882</v>
      </c>
      <c r="B410">
        <v>38.520000000000003</v>
      </c>
    </row>
    <row r="411" spans="1:2" x14ac:dyDescent="0.25">
      <c r="A411" s="2">
        <v>45883</v>
      </c>
      <c r="B411">
        <v>38.0154</v>
      </c>
    </row>
    <row r="412" spans="1:2" x14ac:dyDescent="0.25">
      <c r="A412" s="2">
        <v>45884</v>
      </c>
      <c r="B412">
        <v>38.015000000000001</v>
      </c>
    </row>
    <row r="413" spans="1:2" x14ac:dyDescent="0.25">
      <c r="A413" s="2">
        <v>45887</v>
      </c>
      <c r="B413">
        <v>38.034999999999997</v>
      </c>
    </row>
    <row r="414" spans="1:2" x14ac:dyDescent="0.25">
      <c r="A414" s="2">
        <v>45888</v>
      </c>
      <c r="B414">
        <v>37.395000000000003</v>
      </c>
    </row>
    <row r="415" spans="1:2" x14ac:dyDescent="0.25">
      <c r="A415" s="2">
        <v>45889</v>
      </c>
      <c r="B415">
        <v>37.908700000000003</v>
      </c>
    </row>
    <row r="416" spans="1:2" x14ac:dyDescent="0.25">
      <c r="A416" s="2">
        <v>45890</v>
      </c>
      <c r="B416">
        <v>38.19</v>
      </c>
    </row>
    <row r="417" spans="1:2" x14ac:dyDescent="0.25">
      <c r="A417" s="2">
        <v>45891</v>
      </c>
      <c r="B417">
        <v>38.847499999999997</v>
      </c>
    </row>
    <row r="418" spans="1:2" x14ac:dyDescent="0.25">
      <c r="A418" s="2">
        <v>45894</v>
      </c>
      <c r="B418">
        <v>38.575000000000003</v>
      </c>
    </row>
    <row r="419" spans="1:2" x14ac:dyDescent="0.25">
      <c r="A419" s="2">
        <v>45895</v>
      </c>
      <c r="B419">
        <v>38.615000000000002</v>
      </c>
    </row>
    <row r="420" spans="1:2" x14ac:dyDescent="0.25">
      <c r="A420" s="2">
        <v>45896</v>
      </c>
      <c r="B420">
        <v>38.638500000000001</v>
      </c>
    </row>
    <row r="421" spans="1:2" x14ac:dyDescent="0.25">
      <c r="A421" s="2">
        <v>45897</v>
      </c>
      <c r="B421">
        <v>39.094999999999999</v>
      </c>
    </row>
    <row r="422" spans="1:2" x14ac:dyDescent="0.25">
      <c r="A422" s="2">
        <v>45898</v>
      </c>
      <c r="B422">
        <v>39.695</v>
      </c>
    </row>
    <row r="423" spans="1:2" x14ac:dyDescent="0.25">
      <c r="A423" s="2">
        <v>45901</v>
      </c>
      <c r="B423">
        <v>40.699599999999997</v>
      </c>
    </row>
    <row r="424" spans="1:2" x14ac:dyDescent="0.25">
      <c r="A424" s="2">
        <v>45902</v>
      </c>
      <c r="B424">
        <v>40.914999999999999</v>
      </c>
    </row>
    <row r="425" spans="1:2" x14ac:dyDescent="0.25">
      <c r="A425" s="2">
        <v>45903</v>
      </c>
      <c r="B425">
        <v>41.215000000000003</v>
      </c>
    </row>
    <row r="426" spans="1:2" x14ac:dyDescent="0.25">
      <c r="A426" s="2">
        <v>45904</v>
      </c>
      <c r="B426">
        <v>40.695</v>
      </c>
    </row>
    <row r="427" spans="1:2" x14ac:dyDescent="0.25">
      <c r="A427" s="2">
        <v>45905</v>
      </c>
      <c r="B427">
        <v>41.005000000000003</v>
      </c>
    </row>
    <row r="428" spans="1:2" x14ac:dyDescent="0.25">
      <c r="A428" s="2">
        <v>45908</v>
      </c>
      <c r="B428">
        <v>41.354999999999997</v>
      </c>
    </row>
    <row r="429" spans="1:2" x14ac:dyDescent="0.25">
      <c r="A429" s="2">
        <v>45909</v>
      </c>
      <c r="B429">
        <v>40.905000000000001</v>
      </c>
    </row>
    <row r="430" spans="1:2" x14ac:dyDescent="0.25">
      <c r="A430" s="2">
        <v>45910</v>
      </c>
      <c r="B430">
        <v>41.17</v>
      </c>
    </row>
    <row r="431" spans="1:2" x14ac:dyDescent="0.25">
      <c r="A431" s="2">
        <v>45911</v>
      </c>
      <c r="B431">
        <v>41.585000000000001</v>
      </c>
    </row>
    <row r="432" spans="1:2" x14ac:dyDescent="0.25">
      <c r="A432" s="2">
        <v>45912</v>
      </c>
      <c r="B432">
        <v>42.195</v>
      </c>
    </row>
    <row r="433" spans="1:2" x14ac:dyDescent="0.25">
      <c r="A433" s="2">
        <v>45915</v>
      </c>
      <c r="B433">
        <v>42.734999999999999</v>
      </c>
    </row>
    <row r="434" spans="1:2" x14ac:dyDescent="0.25">
      <c r="A434" s="2">
        <v>45916</v>
      </c>
      <c r="B434">
        <v>42.57</v>
      </c>
    </row>
    <row r="435" spans="1:2" x14ac:dyDescent="0.25">
      <c r="A435" s="2">
        <v>45917</v>
      </c>
      <c r="B435">
        <v>41.68</v>
      </c>
    </row>
    <row r="436" spans="1:2" x14ac:dyDescent="0.25">
      <c r="A436" s="2">
        <v>45918</v>
      </c>
      <c r="B436">
        <v>41.825000000000003</v>
      </c>
    </row>
    <row r="437" spans="1:2" x14ac:dyDescent="0.25">
      <c r="A437" s="2">
        <v>45919</v>
      </c>
      <c r="B437">
        <v>43.104999999999997</v>
      </c>
    </row>
    <row r="438" spans="1:2" x14ac:dyDescent="0.25">
      <c r="A438" s="2">
        <v>45922</v>
      </c>
      <c r="B438">
        <v>44.104999999999997</v>
      </c>
    </row>
    <row r="439" spans="1:2" x14ac:dyDescent="0.25">
      <c r="A439" s="2">
        <v>45923</v>
      </c>
      <c r="B439">
        <v>44.04</v>
      </c>
    </row>
    <row r="440" spans="1:2" x14ac:dyDescent="0.25">
      <c r="A440" s="2">
        <v>45924</v>
      </c>
      <c r="B440">
        <v>43.935000000000002</v>
      </c>
    </row>
    <row r="441" spans="1:2" x14ac:dyDescent="0.25">
      <c r="A441" s="2">
        <v>45925</v>
      </c>
      <c r="B441">
        <v>45.244999999999997</v>
      </c>
    </row>
    <row r="442" spans="1:2" x14ac:dyDescent="0.25">
      <c r="A442" s="2">
        <v>45926</v>
      </c>
      <c r="B442">
        <v>46.026200000000003</v>
      </c>
    </row>
    <row r="443" spans="1:2" x14ac:dyDescent="0.25">
      <c r="A443" s="2">
        <v>45929</v>
      </c>
      <c r="B443">
        <v>46.954999999999998</v>
      </c>
    </row>
    <row r="444" spans="1:2" x14ac:dyDescent="0.25">
      <c r="A444" s="2">
        <v>45930</v>
      </c>
      <c r="B444">
        <v>46.695</v>
      </c>
    </row>
    <row r="445" spans="1:2" x14ac:dyDescent="0.25">
      <c r="A445" s="2">
        <v>45931</v>
      </c>
      <c r="B445">
        <v>47.344999999999999</v>
      </c>
    </row>
    <row r="446" spans="1:2" x14ac:dyDescent="0.25">
      <c r="A446" s="2">
        <v>45932</v>
      </c>
      <c r="B446">
        <v>46.99</v>
      </c>
    </row>
    <row r="447" spans="1:2" x14ac:dyDescent="0.25">
      <c r="A447" s="2">
        <v>45933</v>
      </c>
      <c r="B447">
        <v>47.997500000000002</v>
      </c>
    </row>
    <row r="448" spans="1:2" x14ac:dyDescent="0.25">
      <c r="A448" s="2">
        <v>45936</v>
      </c>
      <c r="B448">
        <v>48.555</v>
      </c>
    </row>
    <row r="449" spans="1:2" x14ac:dyDescent="0.25">
      <c r="A449" s="2">
        <v>45937</v>
      </c>
      <c r="B449">
        <v>47.844999999999999</v>
      </c>
    </row>
    <row r="450" spans="1:2" x14ac:dyDescent="0.25">
      <c r="A450" s="2">
        <v>45938</v>
      </c>
      <c r="B450">
        <v>48.905000000000001</v>
      </c>
    </row>
    <row r="451" spans="1:2" x14ac:dyDescent="0.25">
      <c r="A451" s="2">
        <v>45939</v>
      </c>
      <c r="B451">
        <v>49.14</v>
      </c>
    </row>
    <row r="452" spans="1:2" x14ac:dyDescent="0.25">
      <c r="A452" s="2">
        <v>45940</v>
      </c>
      <c r="B452">
        <v>50.295000000000002</v>
      </c>
    </row>
    <row r="453" spans="1:2" x14ac:dyDescent="0.25">
      <c r="A453" s="2">
        <v>45943</v>
      </c>
      <c r="B453">
        <v>52.349899999999998</v>
      </c>
    </row>
    <row r="454" spans="1:2" x14ac:dyDescent="0.25">
      <c r="A454" s="2">
        <v>45944</v>
      </c>
      <c r="B454">
        <v>51.47</v>
      </c>
    </row>
    <row r="455" spans="1:2" x14ac:dyDescent="0.25">
      <c r="A455" s="2">
        <v>45945</v>
      </c>
      <c r="B455">
        <v>53.094999999999999</v>
      </c>
    </row>
    <row r="456" spans="1:2" x14ac:dyDescent="0.25">
      <c r="A456" s="2">
        <v>45946</v>
      </c>
      <c r="B456">
        <v>54.274999999999999</v>
      </c>
    </row>
    <row r="457" spans="1:2" x14ac:dyDescent="0.25">
      <c r="A457" s="2">
        <v>45947</v>
      </c>
      <c r="B457">
        <v>51.908700000000003</v>
      </c>
    </row>
    <row r="458" spans="1:2" x14ac:dyDescent="0.25">
      <c r="A458" s="2">
        <v>45950</v>
      </c>
      <c r="B458">
        <v>52.494999999999997</v>
      </c>
    </row>
    <row r="459" spans="1:2" x14ac:dyDescent="0.25">
      <c r="A459" s="2">
        <v>45951</v>
      </c>
      <c r="B459">
        <v>48.765000000000001</v>
      </c>
    </row>
    <row r="460" spans="1:2" x14ac:dyDescent="0.25">
      <c r="A460" s="2">
        <v>45952</v>
      </c>
      <c r="B460">
        <v>48.545000000000002</v>
      </c>
    </row>
    <row r="461" spans="1:2" x14ac:dyDescent="0.25">
      <c r="A461" s="2">
        <v>45953</v>
      </c>
      <c r="B461">
        <v>48.945</v>
      </c>
    </row>
    <row r="462" spans="1:2" x14ac:dyDescent="0.25">
      <c r="A462" s="2">
        <v>45954</v>
      </c>
      <c r="B462">
        <v>48.612499999999997</v>
      </c>
    </row>
    <row r="463" spans="1:2" x14ac:dyDescent="0.25">
      <c r="A463" s="2">
        <v>45957</v>
      </c>
      <c r="B463">
        <v>46.914999999999999</v>
      </c>
    </row>
    <row r="464" spans="1:2" x14ac:dyDescent="0.25">
      <c r="A464" s="2">
        <v>45958</v>
      </c>
      <c r="B464">
        <v>47.064999999999998</v>
      </c>
    </row>
    <row r="465" spans="1:2" x14ac:dyDescent="0.25">
      <c r="A465" s="2">
        <v>45959</v>
      </c>
      <c r="B465">
        <v>47.575000000000003</v>
      </c>
    </row>
    <row r="466" spans="1:2" x14ac:dyDescent="0.25">
      <c r="A466" s="2">
        <v>45960</v>
      </c>
      <c r="B466">
        <v>48.93</v>
      </c>
    </row>
    <row r="467" spans="1:2" x14ac:dyDescent="0.25">
      <c r="A467" s="2">
        <v>45961</v>
      </c>
      <c r="B467">
        <v>48.674999999999997</v>
      </c>
    </row>
    <row r="468" spans="1:2" x14ac:dyDescent="0.25">
      <c r="A468" s="2">
        <v>45964</v>
      </c>
      <c r="B468">
        <v>48.104999999999997</v>
      </c>
    </row>
    <row r="469" spans="1:2" x14ac:dyDescent="0.25">
      <c r="A469" s="2">
        <v>45965</v>
      </c>
      <c r="B469">
        <v>47.13</v>
      </c>
    </row>
    <row r="470" spans="1:2" x14ac:dyDescent="0.25">
      <c r="A470" s="2">
        <v>45966</v>
      </c>
      <c r="B470">
        <v>48.070999999999998</v>
      </c>
    </row>
    <row r="471" spans="1:2" x14ac:dyDescent="0.25">
      <c r="A471" s="2">
        <v>45967</v>
      </c>
      <c r="B471">
        <v>48.015000000000001</v>
      </c>
    </row>
    <row r="472" spans="1:2" x14ac:dyDescent="0.25">
      <c r="A472" s="2">
        <v>45968</v>
      </c>
      <c r="B472">
        <v>48.338299999999997</v>
      </c>
    </row>
    <row r="473" spans="1:2" x14ac:dyDescent="0.25">
      <c r="A473" s="2">
        <v>45971</v>
      </c>
      <c r="B473">
        <v>50.547199999999997</v>
      </c>
    </row>
    <row r="474" spans="1:2" x14ac:dyDescent="0.25">
      <c r="A474" s="2">
        <v>45972</v>
      </c>
      <c r="B474">
        <v>51.234699999999997</v>
      </c>
    </row>
    <row r="475" spans="1:2" x14ac:dyDescent="0.25">
      <c r="A475" s="2">
        <v>45973</v>
      </c>
      <c r="B475">
        <v>53.419199999999996</v>
      </c>
    </row>
    <row r="476" spans="1:2" x14ac:dyDescent="0.25">
      <c r="A476" s="2">
        <v>45974</v>
      </c>
      <c r="B476">
        <v>52.3367</v>
      </c>
    </row>
    <row r="477" spans="1:2" x14ac:dyDescent="0.25">
      <c r="A477" s="2">
        <v>45975</v>
      </c>
      <c r="B477">
        <v>50.5595</v>
      </c>
    </row>
    <row r="478" spans="1:2" x14ac:dyDescent="0.25">
      <c r="A478" s="2">
        <v>45978</v>
      </c>
      <c r="B478">
        <v>50.214399999999998</v>
      </c>
    </row>
    <row r="479" spans="1:2" x14ac:dyDescent="0.25">
      <c r="A479" s="2">
        <v>45979</v>
      </c>
      <c r="B479">
        <v>50.711300000000001</v>
      </c>
    </row>
    <row r="480" spans="1:2" x14ac:dyDescent="0.25">
      <c r="A480" s="2">
        <v>45980</v>
      </c>
      <c r="B480">
        <v>51.39</v>
      </c>
    </row>
    <row r="481" spans="1:2" x14ac:dyDescent="0.25">
      <c r="A481" s="2">
        <v>45981</v>
      </c>
      <c r="B481">
        <v>50.605899999999998</v>
      </c>
    </row>
    <row r="482" spans="1:2" x14ac:dyDescent="0.25">
      <c r="A482" s="2">
        <v>45982</v>
      </c>
      <c r="B482">
        <v>50.036499999999997</v>
      </c>
    </row>
    <row r="483" spans="1:2" x14ac:dyDescent="0.25">
      <c r="A483" s="2">
        <v>45985</v>
      </c>
      <c r="B483">
        <v>51.408000000000001</v>
      </c>
    </row>
    <row r="484" spans="1:2" x14ac:dyDescent="0.25">
      <c r="A484" s="2">
        <v>45986</v>
      </c>
      <c r="B484">
        <v>51.4407</v>
      </c>
    </row>
    <row r="485" spans="1:2" x14ac:dyDescent="0.25">
      <c r="A485" s="2">
        <v>45987</v>
      </c>
      <c r="B485">
        <v>53.378799999999998</v>
      </c>
    </row>
    <row r="486" spans="1:2" x14ac:dyDescent="0.25">
      <c r="A486" s="2">
        <v>45988</v>
      </c>
      <c r="B486">
        <v>53.465000000000003</v>
      </c>
    </row>
    <row r="487" spans="1:2" x14ac:dyDescent="0.25">
      <c r="A487" s="2">
        <v>45989</v>
      </c>
      <c r="B487">
        <v>56.405000000000001</v>
      </c>
    </row>
    <row r="488" spans="1:2" x14ac:dyDescent="0.25">
      <c r="A488" s="2">
        <v>45992</v>
      </c>
      <c r="B488">
        <v>57.974299999999999</v>
      </c>
    </row>
    <row r="489" spans="1:2" x14ac:dyDescent="0.25">
      <c r="A489" s="2">
        <v>45993</v>
      </c>
      <c r="B489">
        <v>58.475000000000001</v>
      </c>
    </row>
    <row r="490" spans="1:2" x14ac:dyDescent="0.25">
      <c r="A490" s="2">
        <v>45994</v>
      </c>
      <c r="B490">
        <v>58.486600000000003</v>
      </c>
    </row>
    <row r="491" spans="1:2" x14ac:dyDescent="0.25">
      <c r="A491" s="2">
        <v>45995</v>
      </c>
      <c r="B491">
        <v>57.134999999999998</v>
      </c>
    </row>
    <row r="492" spans="1:2" x14ac:dyDescent="0.25">
      <c r="A492" s="2">
        <v>45996</v>
      </c>
      <c r="B492">
        <v>58.295099999999998</v>
      </c>
    </row>
    <row r="493" spans="1:2" x14ac:dyDescent="0.25">
      <c r="A493" s="2">
        <v>45999</v>
      </c>
      <c r="B493">
        <v>58.1325</v>
      </c>
    </row>
    <row r="494" spans="1:2" x14ac:dyDescent="0.25">
      <c r="A494" s="2">
        <v>46000</v>
      </c>
      <c r="B494">
        <v>60.682499999999997</v>
      </c>
    </row>
    <row r="495" spans="1:2" x14ac:dyDescent="0.25">
      <c r="A495" s="2">
        <v>46001</v>
      </c>
      <c r="B495">
        <v>61.798099999999998</v>
      </c>
    </row>
    <row r="496" spans="1:2" x14ac:dyDescent="0.25">
      <c r="A496" s="2">
        <v>46002</v>
      </c>
      <c r="B496">
        <v>63.578000000000003</v>
      </c>
    </row>
    <row r="497" spans="1:2" x14ac:dyDescent="0.25">
      <c r="A497" s="2">
        <v>46003</v>
      </c>
      <c r="B497">
        <v>62.019399999999997</v>
      </c>
    </row>
    <row r="498" spans="1:2" x14ac:dyDescent="0.25">
      <c r="A498" s="2">
        <v>46006</v>
      </c>
      <c r="B498">
        <v>63.977699999999999</v>
      </c>
    </row>
    <row r="499" spans="1:2" x14ac:dyDescent="0.25">
      <c r="A499" s="2">
        <v>46007</v>
      </c>
      <c r="B499">
        <v>63.791400000000003</v>
      </c>
    </row>
    <row r="500" spans="1:2" x14ac:dyDescent="0.25">
      <c r="A500" s="2">
        <v>46008</v>
      </c>
      <c r="B500">
        <v>66.319999999999993</v>
      </c>
    </row>
    <row r="501" spans="1:2" x14ac:dyDescent="0.25">
      <c r="A501" s="2">
        <v>46009</v>
      </c>
      <c r="B501">
        <v>65.438000000000002</v>
      </c>
    </row>
    <row r="502" spans="1:2" x14ac:dyDescent="0.25">
      <c r="A502" s="2">
        <v>46010</v>
      </c>
      <c r="B502">
        <v>67.166300000000007</v>
      </c>
    </row>
    <row r="503" spans="1:2" x14ac:dyDescent="0.25">
      <c r="A503" s="2">
        <v>46013</v>
      </c>
      <c r="B503">
        <v>69.06</v>
      </c>
    </row>
    <row r="504" spans="1:2" x14ac:dyDescent="0.25">
      <c r="A504" s="2">
        <v>46014</v>
      </c>
      <c r="B504">
        <v>71.454899999999995</v>
      </c>
    </row>
    <row r="505" spans="1:2" x14ac:dyDescent="0.25">
      <c r="A505" s="2">
        <v>46015</v>
      </c>
      <c r="B505">
        <v>71.968400000000003</v>
      </c>
    </row>
    <row r="506" spans="1:2" x14ac:dyDescent="0.25">
      <c r="A506" s="2">
        <v>46016</v>
      </c>
      <c r="B506">
        <v>71.968400000000003</v>
      </c>
    </row>
    <row r="507" spans="1:2" x14ac:dyDescent="0.25">
      <c r="A507" s="2">
        <v>46017</v>
      </c>
      <c r="B507">
        <v>79.160899999999998</v>
      </c>
    </row>
    <row r="508" spans="1:2" x14ac:dyDescent="0.25">
      <c r="A508" s="2">
        <v>46020</v>
      </c>
      <c r="B508">
        <v>72.246799999999993</v>
      </c>
    </row>
    <row r="509" spans="1:2" x14ac:dyDescent="0.25">
      <c r="A509" s="2">
        <v>46021</v>
      </c>
      <c r="B509">
        <v>76.5</v>
      </c>
    </row>
    <row r="510" spans="1:2" x14ac:dyDescent="0.25">
      <c r="A510" s="2">
        <v>46022</v>
      </c>
      <c r="B510">
        <v>71.2928</v>
      </c>
    </row>
    <row r="511" spans="1:2" x14ac:dyDescent="0.25">
      <c r="A511" s="2">
        <v>46023</v>
      </c>
      <c r="B511">
        <v>71.2928</v>
      </c>
    </row>
    <row r="512" spans="1:2" x14ac:dyDescent="0.25">
      <c r="A512" s="2">
        <v>46024</v>
      </c>
      <c r="B512">
        <v>72.66</v>
      </c>
    </row>
    <row r="513" spans="1:2" x14ac:dyDescent="0.25">
      <c r="A513" s="2">
        <v>46027</v>
      </c>
      <c r="B513">
        <v>76.56</v>
      </c>
    </row>
    <row r="514" spans="1:2" x14ac:dyDescent="0.25">
      <c r="A514" s="2">
        <v>46028</v>
      </c>
      <c r="B514">
        <v>81.297899999999998</v>
      </c>
    </row>
    <row r="515" spans="1:2" x14ac:dyDescent="0.25">
      <c r="A515" s="2">
        <v>46029</v>
      </c>
      <c r="B515">
        <v>78.152699999999996</v>
      </c>
    </row>
    <row r="516" spans="1:2" x14ac:dyDescent="0.25">
      <c r="A516" s="2">
        <v>46030</v>
      </c>
      <c r="B516">
        <v>76.921499999999995</v>
      </c>
    </row>
    <row r="517" spans="1:2" x14ac:dyDescent="0.25">
      <c r="A517" s="2">
        <v>46031</v>
      </c>
      <c r="B517">
        <v>79.972399999999993</v>
      </c>
    </row>
    <row r="518" spans="1:2" x14ac:dyDescent="0.25">
      <c r="A518" s="2">
        <v>46034</v>
      </c>
      <c r="B518">
        <v>84.980199999999996</v>
      </c>
    </row>
    <row r="519" spans="1:2" x14ac:dyDescent="0.25">
      <c r="A519" s="2">
        <v>46035</v>
      </c>
      <c r="B519">
        <v>86.981800000000007</v>
      </c>
    </row>
    <row r="520" spans="1:2" x14ac:dyDescent="0.25">
      <c r="A520" s="2">
        <v>46036</v>
      </c>
      <c r="B520">
        <v>92.778000000000006</v>
      </c>
    </row>
    <row r="521" spans="1:2" x14ac:dyDescent="0.25">
      <c r="A521" s="2">
        <v>46037</v>
      </c>
      <c r="B521">
        <v>92.342500000000001</v>
      </c>
    </row>
    <row r="522" spans="1:2" x14ac:dyDescent="0.25">
      <c r="A522" s="2">
        <v>46038</v>
      </c>
      <c r="B522">
        <v>89.954400000000007</v>
      </c>
    </row>
    <row r="523" spans="1:2" x14ac:dyDescent="0.25">
      <c r="A523" s="2">
        <v>46041</v>
      </c>
      <c r="B523">
        <v>94.704999999999998</v>
      </c>
    </row>
    <row r="524" spans="1:2" x14ac:dyDescent="0.25">
      <c r="A524" s="2">
        <v>46042</v>
      </c>
      <c r="B524">
        <v>94.614999999999995</v>
      </c>
    </row>
    <row r="525" spans="1:2" x14ac:dyDescent="0.25">
      <c r="A525" s="2">
        <v>46043</v>
      </c>
      <c r="B525">
        <v>93.256</v>
      </c>
    </row>
    <row r="526" spans="1:2" x14ac:dyDescent="0.25">
      <c r="A526" s="2">
        <v>46044</v>
      </c>
      <c r="B526">
        <v>96.198700000000002</v>
      </c>
    </row>
    <row r="527" spans="1:2" x14ac:dyDescent="0.25">
      <c r="A527" s="2">
        <v>46045</v>
      </c>
      <c r="B527">
        <v>102.9727</v>
      </c>
    </row>
    <row r="528" spans="1:2" x14ac:dyDescent="0.25">
      <c r="A528" s="2">
        <v>46048</v>
      </c>
      <c r="B528">
        <v>103.8984</v>
      </c>
    </row>
    <row r="529" spans="1:2" x14ac:dyDescent="0.25">
      <c r="A529" s="2">
        <v>46049</v>
      </c>
      <c r="B529">
        <v>113.0258</v>
      </c>
    </row>
    <row r="530" spans="1:2" x14ac:dyDescent="0.25">
      <c r="A530" s="2">
        <v>46050</v>
      </c>
      <c r="B530">
        <v>116.6095</v>
      </c>
    </row>
  </sheetData>
  <pageMargins left="0.7" right="0.7" top="0.75" bottom="0.75" header="0.3" footer="0.3"/>
  <headerFooter>
    <oddHeader>&amp;L&amp;"Calibri"&amp;12&amp;K000000 Internal&amp;1#_x000D_</oddHeader>
  </headerFooter>
  <customProperties>
    <customPr name="REFI_OFFICE_FUNCTION_DATA" r:id="rId1"/>
  </customProperties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CD147-BC74-4372-8A2F-DB8B35B56A91}">
  <dimension ref="A1:B530"/>
  <sheetViews>
    <sheetView topLeftCell="A480" workbookViewId="0">
      <selection activeCell="B273" sqref="B273:B530"/>
    </sheetView>
  </sheetViews>
  <sheetFormatPr defaultRowHeight="15" x14ac:dyDescent="0.25"/>
  <cols>
    <col min="1" max="1" width="15.5703125" customWidth="1"/>
    <col min="2" max="2" width="17.85546875" customWidth="1"/>
  </cols>
  <sheetData>
    <row r="1" spans="1:2" x14ac:dyDescent="0.25">
      <c r="A1" t="str">
        <f>_xll.DSGRID("PLATUSD","P","-2Y","","Daily","RowHeader=true;ColHeader=true;Heading=true;Code=true;Curn=true;DispSeriesDescription=true;YearlyTSFormat=false;QuarterlyTSFormat=false;MonthlyTSFormat=true")</f>
        <v>Start</v>
      </c>
      <c r="B1" s="2">
        <v>45317</v>
      </c>
    </row>
    <row r="2" spans="1:2" x14ac:dyDescent="0.25">
      <c r="A2" s="1" t="s">
        <v>0</v>
      </c>
      <c r="B2" s="2">
        <v>46050</v>
      </c>
    </row>
    <row r="3" spans="1:2" x14ac:dyDescent="0.25">
      <c r="A3" s="1" t="s">
        <v>1</v>
      </c>
      <c r="B3" s="1" t="s">
        <v>2</v>
      </c>
    </row>
    <row r="4" spans="1:2" x14ac:dyDescent="0.25">
      <c r="A4" s="1" t="s">
        <v>3</v>
      </c>
      <c r="B4" s="1" t="s">
        <v>11</v>
      </c>
    </row>
    <row r="5" spans="1:2" x14ac:dyDescent="0.25">
      <c r="A5" s="1" t="s">
        <v>4</v>
      </c>
      <c r="B5" s="1" t="s">
        <v>12</v>
      </c>
    </row>
    <row r="6" spans="1:2" x14ac:dyDescent="0.25">
      <c r="A6" s="1" t="s">
        <v>5</v>
      </c>
      <c r="B6" s="1" t="s">
        <v>6</v>
      </c>
    </row>
    <row r="7" spans="1:2" x14ac:dyDescent="0.25">
      <c r="A7" s="2">
        <v>45317</v>
      </c>
      <c r="B7">
        <v>917</v>
      </c>
    </row>
    <row r="8" spans="1:2" x14ac:dyDescent="0.25">
      <c r="A8" s="2">
        <v>45320</v>
      </c>
      <c r="B8">
        <v>931.45</v>
      </c>
    </row>
    <row r="9" spans="1:2" x14ac:dyDescent="0.25">
      <c r="A9" s="2">
        <v>45321</v>
      </c>
      <c r="B9">
        <v>925.43</v>
      </c>
    </row>
    <row r="10" spans="1:2" x14ac:dyDescent="0.25">
      <c r="A10" s="2">
        <v>45322</v>
      </c>
      <c r="B10">
        <v>921.41</v>
      </c>
    </row>
    <row r="11" spans="1:2" x14ac:dyDescent="0.25">
      <c r="A11" s="2">
        <v>45323</v>
      </c>
      <c r="B11">
        <v>916.79</v>
      </c>
    </row>
    <row r="12" spans="1:2" x14ac:dyDescent="0.25">
      <c r="A12" s="2">
        <v>45324</v>
      </c>
      <c r="B12">
        <v>895.5</v>
      </c>
    </row>
    <row r="13" spans="1:2" x14ac:dyDescent="0.25">
      <c r="A13" s="2">
        <v>45327</v>
      </c>
      <c r="B13">
        <v>900.25</v>
      </c>
    </row>
    <row r="14" spans="1:2" x14ac:dyDescent="0.25">
      <c r="A14" s="2">
        <v>45328</v>
      </c>
      <c r="B14">
        <v>907.2</v>
      </c>
    </row>
    <row r="15" spans="1:2" x14ac:dyDescent="0.25">
      <c r="A15" s="2">
        <v>45329</v>
      </c>
      <c r="B15">
        <v>884.02</v>
      </c>
    </row>
    <row r="16" spans="1:2" x14ac:dyDescent="0.25">
      <c r="A16" s="2">
        <v>45330</v>
      </c>
      <c r="B16">
        <v>888.55</v>
      </c>
    </row>
    <row r="17" spans="1:2" x14ac:dyDescent="0.25">
      <c r="A17" s="2">
        <v>45331</v>
      </c>
      <c r="B17">
        <v>876.5</v>
      </c>
    </row>
    <row r="18" spans="1:2" x14ac:dyDescent="0.25">
      <c r="A18" s="2">
        <v>45334</v>
      </c>
      <c r="B18">
        <v>892.33</v>
      </c>
    </row>
    <row r="19" spans="1:2" x14ac:dyDescent="0.25">
      <c r="A19" s="2">
        <v>45335</v>
      </c>
      <c r="B19">
        <v>875.32</v>
      </c>
    </row>
    <row r="20" spans="1:2" x14ac:dyDescent="0.25">
      <c r="A20" s="2">
        <v>45336</v>
      </c>
      <c r="B20">
        <v>892.9</v>
      </c>
    </row>
    <row r="21" spans="1:2" x14ac:dyDescent="0.25">
      <c r="A21" s="2">
        <v>45337</v>
      </c>
      <c r="B21">
        <v>901.41</v>
      </c>
    </row>
    <row r="22" spans="1:2" x14ac:dyDescent="0.25">
      <c r="A22" s="2">
        <v>45338</v>
      </c>
      <c r="B22">
        <v>909.14</v>
      </c>
    </row>
    <row r="23" spans="1:2" x14ac:dyDescent="0.25">
      <c r="A23" s="2">
        <v>45341</v>
      </c>
      <c r="B23">
        <v>903</v>
      </c>
    </row>
    <row r="24" spans="1:2" x14ac:dyDescent="0.25">
      <c r="A24" s="2">
        <v>45342</v>
      </c>
      <c r="B24">
        <v>904.8</v>
      </c>
    </row>
    <row r="25" spans="1:2" x14ac:dyDescent="0.25">
      <c r="A25" s="2">
        <v>45343</v>
      </c>
      <c r="B25">
        <v>886.59</v>
      </c>
    </row>
    <row r="26" spans="1:2" x14ac:dyDescent="0.25">
      <c r="A26" s="2">
        <v>45344</v>
      </c>
      <c r="B26">
        <v>902.25</v>
      </c>
    </row>
    <row r="27" spans="1:2" x14ac:dyDescent="0.25">
      <c r="A27" s="2">
        <v>45345</v>
      </c>
      <c r="B27">
        <v>901.7</v>
      </c>
    </row>
    <row r="28" spans="1:2" x14ac:dyDescent="0.25">
      <c r="A28" s="2">
        <v>45348</v>
      </c>
      <c r="B28">
        <v>881.15</v>
      </c>
    </row>
    <row r="29" spans="1:2" x14ac:dyDescent="0.25">
      <c r="A29" s="2">
        <v>45349</v>
      </c>
      <c r="B29">
        <v>891.54</v>
      </c>
    </row>
    <row r="30" spans="1:2" x14ac:dyDescent="0.25">
      <c r="A30" s="2">
        <v>45350</v>
      </c>
      <c r="B30">
        <v>879.75</v>
      </c>
    </row>
    <row r="31" spans="1:2" x14ac:dyDescent="0.25">
      <c r="A31" s="2">
        <v>45351</v>
      </c>
      <c r="B31">
        <v>879.75</v>
      </c>
    </row>
    <row r="32" spans="1:2" x14ac:dyDescent="0.25">
      <c r="A32" s="2">
        <v>45352</v>
      </c>
      <c r="B32">
        <v>888.15</v>
      </c>
    </row>
    <row r="33" spans="1:2" x14ac:dyDescent="0.25">
      <c r="A33" s="2">
        <v>45355</v>
      </c>
      <c r="B33">
        <v>898.7</v>
      </c>
    </row>
    <row r="34" spans="1:2" x14ac:dyDescent="0.25">
      <c r="A34" s="2">
        <v>45356</v>
      </c>
      <c r="B34">
        <v>884.08</v>
      </c>
    </row>
    <row r="35" spans="1:2" x14ac:dyDescent="0.25">
      <c r="A35" s="2">
        <v>45357</v>
      </c>
      <c r="B35">
        <v>908.55</v>
      </c>
    </row>
    <row r="36" spans="1:2" x14ac:dyDescent="0.25">
      <c r="A36" s="2">
        <v>45358</v>
      </c>
      <c r="B36">
        <v>920.2</v>
      </c>
    </row>
    <row r="37" spans="1:2" x14ac:dyDescent="0.25">
      <c r="A37" s="2">
        <v>45359</v>
      </c>
      <c r="B37">
        <v>913.9</v>
      </c>
    </row>
    <row r="38" spans="1:2" x14ac:dyDescent="0.25">
      <c r="A38" s="2">
        <v>45362</v>
      </c>
      <c r="B38">
        <v>937.5</v>
      </c>
    </row>
    <row r="39" spans="1:2" x14ac:dyDescent="0.25">
      <c r="A39" s="2">
        <v>45363</v>
      </c>
      <c r="B39">
        <v>925.26</v>
      </c>
    </row>
    <row r="40" spans="1:2" x14ac:dyDescent="0.25">
      <c r="A40" s="2">
        <v>45364</v>
      </c>
      <c r="B40">
        <v>942</v>
      </c>
    </row>
    <row r="41" spans="1:2" x14ac:dyDescent="0.25">
      <c r="A41" s="2">
        <v>45365</v>
      </c>
      <c r="B41">
        <v>932.5</v>
      </c>
    </row>
    <row r="42" spans="1:2" x14ac:dyDescent="0.25">
      <c r="A42" s="2">
        <v>45366</v>
      </c>
      <c r="B42">
        <v>938.05</v>
      </c>
    </row>
    <row r="43" spans="1:2" x14ac:dyDescent="0.25">
      <c r="A43" s="2">
        <v>45369</v>
      </c>
      <c r="B43">
        <v>917</v>
      </c>
    </row>
    <row r="44" spans="1:2" x14ac:dyDescent="0.25">
      <c r="A44" s="2">
        <v>45370</v>
      </c>
      <c r="B44">
        <v>899.5</v>
      </c>
    </row>
    <row r="45" spans="1:2" x14ac:dyDescent="0.25">
      <c r="A45" s="2">
        <v>45371</v>
      </c>
      <c r="B45">
        <v>910.15</v>
      </c>
    </row>
    <row r="46" spans="1:2" x14ac:dyDescent="0.25">
      <c r="A46" s="2">
        <v>45372</v>
      </c>
      <c r="B46">
        <v>912.5</v>
      </c>
    </row>
    <row r="47" spans="1:2" x14ac:dyDescent="0.25">
      <c r="A47" s="2">
        <v>45373</v>
      </c>
      <c r="B47">
        <v>898</v>
      </c>
    </row>
    <row r="48" spans="1:2" x14ac:dyDescent="0.25">
      <c r="A48" s="2">
        <v>45376</v>
      </c>
      <c r="B48">
        <v>907</v>
      </c>
    </row>
    <row r="49" spans="1:2" x14ac:dyDescent="0.25">
      <c r="A49" s="2">
        <v>45377</v>
      </c>
      <c r="B49">
        <v>907.5</v>
      </c>
    </row>
    <row r="50" spans="1:2" x14ac:dyDescent="0.25">
      <c r="A50" s="2">
        <v>45378</v>
      </c>
      <c r="B50">
        <v>898.5</v>
      </c>
    </row>
    <row r="51" spans="1:2" x14ac:dyDescent="0.25">
      <c r="A51" s="2">
        <v>45379</v>
      </c>
      <c r="B51">
        <v>912.05</v>
      </c>
    </row>
    <row r="52" spans="1:2" x14ac:dyDescent="0.25">
      <c r="A52" s="2">
        <v>45380</v>
      </c>
      <c r="B52">
        <v>912.05</v>
      </c>
    </row>
    <row r="53" spans="1:2" x14ac:dyDescent="0.25">
      <c r="A53" s="2">
        <v>45383</v>
      </c>
      <c r="B53">
        <v>906.39</v>
      </c>
    </row>
    <row r="54" spans="1:2" x14ac:dyDescent="0.25">
      <c r="A54" s="2">
        <v>45384</v>
      </c>
      <c r="B54">
        <v>923.5</v>
      </c>
    </row>
    <row r="55" spans="1:2" x14ac:dyDescent="0.25">
      <c r="A55" s="2">
        <v>45385</v>
      </c>
      <c r="B55">
        <v>940.15</v>
      </c>
    </row>
    <row r="56" spans="1:2" x14ac:dyDescent="0.25">
      <c r="A56" s="2">
        <v>45386</v>
      </c>
      <c r="B56">
        <v>930</v>
      </c>
    </row>
    <row r="57" spans="1:2" x14ac:dyDescent="0.25">
      <c r="A57" s="2">
        <v>45387</v>
      </c>
      <c r="B57">
        <v>930.76</v>
      </c>
    </row>
    <row r="58" spans="1:2" x14ac:dyDescent="0.25">
      <c r="A58" s="2">
        <v>45390</v>
      </c>
      <c r="B58">
        <v>963.5</v>
      </c>
    </row>
    <row r="59" spans="1:2" x14ac:dyDescent="0.25">
      <c r="A59" s="2">
        <v>45391</v>
      </c>
      <c r="B59">
        <v>980.25</v>
      </c>
    </row>
    <row r="60" spans="1:2" x14ac:dyDescent="0.25">
      <c r="A60" s="2">
        <v>45392</v>
      </c>
      <c r="B60">
        <v>964.5</v>
      </c>
    </row>
    <row r="61" spans="1:2" x14ac:dyDescent="0.25">
      <c r="A61" s="2">
        <v>45393</v>
      </c>
      <c r="B61">
        <v>983.5</v>
      </c>
    </row>
    <row r="62" spans="1:2" x14ac:dyDescent="0.25">
      <c r="A62" s="2">
        <v>45394</v>
      </c>
      <c r="B62">
        <v>977.1</v>
      </c>
    </row>
    <row r="63" spans="1:2" x14ac:dyDescent="0.25">
      <c r="A63" s="2">
        <v>45397</v>
      </c>
      <c r="B63">
        <v>973.21</v>
      </c>
    </row>
    <row r="64" spans="1:2" x14ac:dyDescent="0.25">
      <c r="A64" s="2">
        <v>45398</v>
      </c>
      <c r="B64">
        <v>961.5</v>
      </c>
    </row>
    <row r="65" spans="1:2" x14ac:dyDescent="0.25">
      <c r="A65" s="2">
        <v>45399</v>
      </c>
      <c r="B65">
        <v>943</v>
      </c>
    </row>
    <row r="66" spans="1:2" x14ac:dyDescent="0.25">
      <c r="A66" s="2">
        <v>45400</v>
      </c>
      <c r="B66">
        <v>939.66</v>
      </c>
    </row>
    <row r="67" spans="1:2" x14ac:dyDescent="0.25">
      <c r="A67" s="2">
        <v>45401</v>
      </c>
      <c r="B67">
        <v>934.45</v>
      </c>
    </row>
    <row r="68" spans="1:2" x14ac:dyDescent="0.25">
      <c r="A68" s="2">
        <v>45404</v>
      </c>
      <c r="B68">
        <v>922</v>
      </c>
    </row>
    <row r="69" spans="1:2" x14ac:dyDescent="0.25">
      <c r="A69" s="2">
        <v>45405</v>
      </c>
      <c r="B69">
        <v>912.39</v>
      </c>
    </row>
    <row r="70" spans="1:2" x14ac:dyDescent="0.25">
      <c r="A70" s="2">
        <v>45406</v>
      </c>
      <c r="B70">
        <v>907.5</v>
      </c>
    </row>
    <row r="71" spans="1:2" x14ac:dyDescent="0.25">
      <c r="A71" s="2">
        <v>45407</v>
      </c>
      <c r="B71">
        <v>918.65</v>
      </c>
    </row>
    <row r="72" spans="1:2" x14ac:dyDescent="0.25">
      <c r="A72" s="2">
        <v>45408</v>
      </c>
      <c r="B72">
        <v>916.75</v>
      </c>
    </row>
    <row r="73" spans="1:2" x14ac:dyDescent="0.25">
      <c r="A73" s="2">
        <v>45411</v>
      </c>
      <c r="B73">
        <v>951.99</v>
      </c>
    </row>
    <row r="74" spans="1:2" x14ac:dyDescent="0.25">
      <c r="A74" s="2">
        <v>45412</v>
      </c>
      <c r="B74">
        <v>938.04</v>
      </c>
    </row>
    <row r="75" spans="1:2" x14ac:dyDescent="0.25">
      <c r="A75" s="2">
        <v>45413</v>
      </c>
      <c r="B75">
        <v>954.7</v>
      </c>
    </row>
    <row r="76" spans="1:2" x14ac:dyDescent="0.25">
      <c r="A76" s="2">
        <v>45414</v>
      </c>
      <c r="B76">
        <v>954.5</v>
      </c>
    </row>
    <row r="77" spans="1:2" x14ac:dyDescent="0.25">
      <c r="A77" s="2">
        <v>45415</v>
      </c>
      <c r="B77">
        <v>958.26</v>
      </c>
    </row>
    <row r="78" spans="1:2" x14ac:dyDescent="0.25">
      <c r="A78" s="2">
        <v>45418</v>
      </c>
      <c r="B78">
        <v>959.26</v>
      </c>
    </row>
    <row r="79" spans="1:2" x14ac:dyDescent="0.25">
      <c r="A79" s="2">
        <v>45419</v>
      </c>
      <c r="B79">
        <v>980.5</v>
      </c>
    </row>
    <row r="80" spans="1:2" x14ac:dyDescent="0.25">
      <c r="A80" s="2">
        <v>45420</v>
      </c>
      <c r="B80">
        <v>976.5</v>
      </c>
    </row>
    <row r="81" spans="1:2" x14ac:dyDescent="0.25">
      <c r="A81" s="2">
        <v>45421</v>
      </c>
      <c r="B81">
        <v>983</v>
      </c>
    </row>
    <row r="82" spans="1:2" x14ac:dyDescent="0.25">
      <c r="A82" s="2">
        <v>45422</v>
      </c>
      <c r="B82">
        <v>997.41</v>
      </c>
    </row>
    <row r="83" spans="1:2" x14ac:dyDescent="0.25">
      <c r="A83" s="2">
        <v>45425</v>
      </c>
      <c r="B83">
        <v>1000.96</v>
      </c>
    </row>
    <row r="84" spans="1:2" x14ac:dyDescent="0.25">
      <c r="A84" s="2">
        <v>45426</v>
      </c>
      <c r="B84">
        <v>1036</v>
      </c>
    </row>
    <row r="85" spans="1:2" x14ac:dyDescent="0.25">
      <c r="A85" s="2">
        <v>45427</v>
      </c>
      <c r="B85">
        <v>1067.71</v>
      </c>
    </row>
    <row r="86" spans="1:2" x14ac:dyDescent="0.25">
      <c r="A86" s="2">
        <v>45428</v>
      </c>
      <c r="B86">
        <v>1062</v>
      </c>
    </row>
    <row r="87" spans="1:2" x14ac:dyDescent="0.25">
      <c r="A87" s="2">
        <v>45429</v>
      </c>
      <c r="B87">
        <v>1085.3</v>
      </c>
    </row>
    <row r="88" spans="1:2" x14ac:dyDescent="0.25">
      <c r="A88" s="2">
        <v>45432</v>
      </c>
      <c r="B88">
        <v>1051.6400000000001</v>
      </c>
    </row>
    <row r="89" spans="1:2" x14ac:dyDescent="0.25">
      <c r="A89" s="2">
        <v>45433</v>
      </c>
      <c r="B89">
        <v>1051.5</v>
      </c>
    </row>
    <row r="90" spans="1:2" x14ac:dyDescent="0.25">
      <c r="A90" s="2">
        <v>45434</v>
      </c>
      <c r="B90">
        <v>1040</v>
      </c>
    </row>
    <row r="91" spans="1:2" x14ac:dyDescent="0.25">
      <c r="A91" s="2">
        <v>45435</v>
      </c>
      <c r="B91">
        <v>1024</v>
      </c>
    </row>
    <row r="92" spans="1:2" x14ac:dyDescent="0.25">
      <c r="A92" s="2">
        <v>45436</v>
      </c>
      <c r="B92">
        <v>1028.55</v>
      </c>
    </row>
    <row r="93" spans="1:2" x14ac:dyDescent="0.25">
      <c r="A93" s="2">
        <v>45439</v>
      </c>
      <c r="B93">
        <v>1057.5899999999999</v>
      </c>
    </row>
    <row r="94" spans="1:2" x14ac:dyDescent="0.25">
      <c r="A94" s="2">
        <v>45440</v>
      </c>
      <c r="B94">
        <v>1064.7</v>
      </c>
    </row>
    <row r="95" spans="1:2" x14ac:dyDescent="0.25">
      <c r="A95" s="2">
        <v>45441</v>
      </c>
      <c r="B95">
        <v>1040.5</v>
      </c>
    </row>
    <row r="96" spans="1:2" x14ac:dyDescent="0.25">
      <c r="A96" s="2">
        <v>45442</v>
      </c>
      <c r="B96">
        <v>1028.99</v>
      </c>
    </row>
    <row r="97" spans="1:2" x14ac:dyDescent="0.25">
      <c r="A97" s="2">
        <v>45443</v>
      </c>
      <c r="B97">
        <v>1038.9000000000001</v>
      </c>
    </row>
    <row r="98" spans="1:2" x14ac:dyDescent="0.25">
      <c r="A98" s="2">
        <v>45446</v>
      </c>
      <c r="B98">
        <v>1016.5</v>
      </c>
    </row>
    <row r="99" spans="1:2" x14ac:dyDescent="0.25">
      <c r="A99" s="2">
        <v>45447</v>
      </c>
      <c r="B99">
        <v>992</v>
      </c>
    </row>
    <row r="100" spans="1:2" x14ac:dyDescent="0.25">
      <c r="A100" s="2">
        <v>45448</v>
      </c>
      <c r="B100">
        <v>996.51</v>
      </c>
    </row>
    <row r="101" spans="1:2" x14ac:dyDescent="0.25">
      <c r="A101" s="2">
        <v>45449</v>
      </c>
      <c r="B101">
        <v>1007.5</v>
      </c>
    </row>
    <row r="102" spans="1:2" x14ac:dyDescent="0.25">
      <c r="A102" s="2">
        <v>45450</v>
      </c>
      <c r="B102">
        <v>967.2</v>
      </c>
    </row>
    <row r="103" spans="1:2" x14ac:dyDescent="0.25">
      <c r="A103" s="2">
        <v>45453</v>
      </c>
      <c r="B103">
        <v>972.5</v>
      </c>
    </row>
    <row r="104" spans="1:2" x14ac:dyDescent="0.25">
      <c r="A104" s="2">
        <v>45454</v>
      </c>
      <c r="B104">
        <v>956</v>
      </c>
    </row>
    <row r="105" spans="1:2" x14ac:dyDescent="0.25">
      <c r="A105" s="2">
        <v>45455</v>
      </c>
      <c r="B105">
        <v>968</v>
      </c>
    </row>
    <row r="106" spans="1:2" x14ac:dyDescent="0.25">
      <c r="A106" s="2">
        <v>45456</v>
      </c>
      <c r="B106">
        <v>951.5</v>
      </c>
    </row>
    <row r="107" spans="1:2" x14ac:dyDescent="0.25">
      <c r="A107" s="2">
        <v>45457</v>
      </c>
      <c r="B107">
        <v>961.25</v>
      </c>
    </row>
    <row r="108" spans="1:2" x14ac:dyDescent="0.25">
      <c r="A108" s="2">
        <v>45460</v>
      </c>
      <c r="B108">
        <v>969.5</v>
      </c>
    </row>
    <row r="109" spans="1:2" x14ac:dyDescent="0.25">
      <c r="A109" s="2">
        <v>45461</v>
      </c>
      <c r="B109">
        <v>977.51</v>
      </c>
    </row>
    <row r="110" spans="1:2" x14ac:dyDescent="0.25">
      <c r="A110" s="2">
        <v>45462</v>
      </c>
      <c r="B110">
        <v>981.05</v>
      </c>
    </row>
    <row r="111" spans="1:2" x14ac:dyDescent="0.25">
      <c r="A111" s="2">
        <v>45463</v>
      </c>
      <c r="B111">
        <v>983</v>
      </c>
    </row>
    <row r="112" spans="1:2" x14ac:dyDescent="0.25">
      <c r="A112" s="2">
        <v>45464</v>
      </c>
      <c r="B112">
        <v>995.65</v>
      </c>
    </row>
    <row r="113" spans="1:2" x14ac:dyDescent="0.25">
      <c r="A113" s="2">
        <v>45467</v>
      </c>
      <c r="B113">
        <v>999.24</v>
      </c>
    </row>
    <row r="114" spans="1:2" x14ac:dyDescent="0.25">
      <c r="A114" s="2">
        <v>45468</v>
      </c>
      <c r="B114">
        <v>986.5</v>
      </c>
    </row>
    <row r="115" spans="1:2" x14ac:dyDescent="0.25">
      <c r="A115" s="2">
        <v>45469</v>
      </c>
      <c r="B115">
        <v>1015.49</v>
      </c>
    </row>
    <row r="116" spans="1:2" x14ac:dyDescent="0.25">
      <c r="A116" s="2">
        <v>45470</v>
      </c>
      <c r="B116">
        <v>992.5</v>
      </c>
    </row>
    <row r="117" spans="1:2" x14ac:dyDescent="0.25">
      <c r="A117" s="2">
        <v>45471</v>
      </c>
      <c r="B117">
        <v>996.4</v>
      </c>
    </row>
    <row r="118" spans="1:2" x14ac:dyDescent="0.25">
      <c r="A118" s="2">
        <v>45474</v>
      </c>
      <c r="B118">
        <v>981.3</v>
      </c>
    </row>
    <row r="119" spans="1:2" x14ac:dyDescent="0.25">
      <c r="A119" s="2">
        <v>45475</v>
      </c>
      <c r="B119">
        <v>995.5</v>
      </c>
    </row>
    <row r="120" spans="1:2" x14ac:dyDescent="0.25">
      <c r="A120" s="2">
        <v>45476</v>
      </c>
      <c r="B120">
        <v>1001.5</v>
      </c>
    </row>
    <row r="121" spans="1:2" x14ac:dyDescent="0.25">
      <c r="A121" s="2">
        <v>45477</v>
      </c>
      <c r="B121">
        <v>1003.2</v>
      </c>
    </row>
    <row r="122" spans="1:2" x14ac:dyDescent="0.25">
      <c r="A122" s="2">
        <v>45478</v>
      </c>
      <c r="B122">
        <v>1030.1500000000001</v>
      </c>
    </row>
    <row r="123" spans="1:2" x14ac:dyDescent="0.25">
      <c r="A123" s="2">
        <v>45481</v>
      </c>
      <c r="B123">
        <v>1001</v>
      </c>
    </row>
    <row r="124" spans="1:2" x14ac:dyDescent="0.25">
      <c r="A124" s="2">
        <v>45482</v>
      </c>
      <c r="B124">
        <v>988.45</v>
      </c>
    </row>
    <row r="125" spans="1:2" x14ac:dyDescent="0.25">
      <c r="A125" s="2">
        <v>45483</v>
      </c>
      <c r="B125">
        <v>994</v>
      </c>
    </row>
    <row r="126" spans="1:2" x14ac:dyDescent="0.25">
      <c r="A126" s="2">
        <v>45484</v>
      </c>
      <c r="B126">
        <v>1007.15</v>
      </c>
    </row>
    <row r="127" spans="1:2" x14ac:dyDescent="0.25">
      <c r="A127" s="2">
        <v>45485</v>
      </c>
      <c r="B127">
        <v>1002.88</v>
      </c>
    </row>
    <row r="128" spans="1:2" x14ac:dyDescent="0.25">
      <c r="A128" s="2">
        <v>45488</v>
      </c>
      <c r="B128">
        <v>999.44</v>
      </c>
    </row>
    <row r="129" spans="1:2" x14ac:dyDescent="0.25">
      <c r="A129" s="2">
        <v>45489</v>
      </c>
      <c r="B129">
        <v>1004.38</v>
      </c>
    </row>
    <row r="130" spans="1:2" x14ac:dyDescent="0.25">
      <c r="A130" s="2">
        <v>45490</v>
      </c>
      <c r="B130">
        <v>998.75</v>
      </c>
    </row>
    <row r="131" spans="1:2" x14ac:dyDescent="0.25">
      <c r="A131" s="2">
        <v>45491</v>
      </c>
      <c r="B131">
        <v>972.24</v>
      </c>
    </row>
    <row r="132" spans="1:2" x14ac:dyDescent="0.25">
      <c r="A132" s="2">
        <v>45492</v>
      </c>
      <c r="B132">
        <v>967</v>
      </c>
    </row>
    <row r="133" spans="1:2" x14ac:dyDescent="0.25">
      <c r="A133" s="2">
        <v>45495</v>
      </c>
      <c r="B133">
        <v>951.82</v>
      </c>
    </row>
    <row r="134" spans="1:2" x14ac:dyDescent="0.25">
      <c r="A134" s="2">
        <v>45496</v>
      </c>
      <c r="B134">
        <v>947.88</v>
      </c>
    </row>
    <row r="135" spans="1:2" x14ac:dyDescent="0.25">
      <c r="A135" s="2">
        <v>45497</v>
      </c>
      <c r="B135">
        <v>952.59</v>
      </c>
    </row>
    <row r="136" spans="1:2" x14ac:dyDescent="0.25">
      <c r="A136" s="2">
        <v>45498</v>
      </c>
      <c r="B136">
        <v>937.51</v>
      </c>
    </row>
    <row r="137" spans="1:2" x14ac:dyDescent="0.25">
      <c r="A137" s="2">
        <v>45499</v>
      </c>
      <c r="B137">
        <v>939.96</v>
      </c>
    </row>
    <row r="138" spans="1:2" x14ac:dyDescent="0.25">
      <c r="A138" s="2">
        <v>45502</v>
      </c>
      <c r="B138">
        <v>953.1</v>
      </c>
    </row>
    <row r="139" spans="1:2" x14ac:dyDescent="0.25">
      <c r="A139" s="2">
        <v>45503</v>
      </c>
      <c r="B139">
        <v>962.88</v>
      </c>
    </row>
    <row r="140" spans="1:2" x14ac:dyDescent="0.25">
      <c r="A140" s="2">
        <v>45504</v>
      </c>
      <c r="B140">
        <v>979.1</v>
      </c>
    </row>
    <row r="141" spans="1:2" x14ac:dyDescent="0.25">
      <c r="A141" s="2">
        <v>45505</v>
      </c>
      <c r="B141">
        <v>963.5</v>
      </c>
    </row>
    <row r="142" spans="1:2" x14ac:dyDescent="0.25">
      <c r="A142" s="2">
        <v>45506</v>
      </c>
      <c r="B142">
        <v>960.7</v>
      </c>
    </row>
    <row r="143" spans="1:2" x14ac:dyDescent="0.25">
      <c r="A143" s="2">
        <v>45509</v>
      </c>
      <c r="B143">
        <v>911.5</v>
      </c>
    </row>
    <row r="144" spans="1:2" x14ac:dyDescent="0.25">
      <c r="A144" s="2">
        <v>45510</v>
      </c>
      <c r="B144">
        <v>915.11</v>
      </c>
    </row>
    <row r="145" spans="1:2" x14ac:dyDescent="0.25">
      <c r="A145" s="2">
        <v>45511</v>
      </c>
      <c r="B145">
        <v>924.5</v>
      </c>
    </row>
    <row r="146" spans="1:2" x14ac:dyDescent="0.25">
      <c r="A146" s="2">
        <v>45512</v>
      </c>
      <c r="B146">
        <v>935</v>
      </c>
    </row>
    <row r="147" spans="1:2" x14ac:dyDescent="0.25">
      <c r="A147" s="2">
        <v>45513</v>
      </c>
      <c r="B147">
        <v>925.3</v>
      </c>
    </row>
    <row r="148" spans="1:2" x14ac:dyDescent="0.25">
      <c r="A148" s="2">
        <v>45516</v>
      </c>
      <c r="B148">
        <v>941.5</v>
      </c>
    </row>
    <row r="149" spans="1:2" x14ac:dyDescent="0.25">
      <c r="A149" s="2">
        <v>45517</v>
      </c>
      <c r="B149">
        <v>941</v>
      </c>
    </row>
    <row r="150" spans="1:2" x14ac:dyDescent="0.25">
      <c r="A150" s="2">
        <v>45518</v>
      </c>
      <c r="B150">
        <v>924.5</v>
      </c>
    </row>
    <row r="151" spans="1:2" x14ac:dyDescent="0.25">
      <c r="A151" s="2">
        <v>45519</v>
      </c>
      <c r="B151">
        <v>957.51</v>
      </c>
    </row>
    <row r="152" spans="1:2" x14ac:dyDescent="0.25">
      <c r="A152" s="2">
        <v>45520</v>
      </c>
      <c r="B152">
        <v>957.45</v>
      </c>
    </row>
    <row r="153" spans="1:2" x14ac:dyDescent="0.25">
      <c r="A153" s="2">
        <v>45523</v>
      </c>
      <c r="B153">
        <v>958</v>
      </c>
    </row>
    <row r="154" spans="1:2" x14ac:dyDescent="0.25">
      <c r="A154" s="2">
        <v>45524</v>
      </c>
      <c r="B154">
        <v>950.5</v>
      </c>
    </row>
    <row r="155" spans="1:2" x14ac:dyDescent="0.25">
      <c r="A155" s="2">
        <v>45525</v>
      </c>
      <c r="B155">
        <v>968.5</v>
      </c>
    </row>
    <row r="156" spans="1:2" x14ac:dyDescent="0.25">
      <c r="A156" s="2">
        <v>45526</v>
      </c>
      <c r="B156">
        <v>948.5</v>
      </c>
    </row>
    <row r="157" spans="1:2" x14ac:dyDescent="0.25">
      <c r="A157" s="2">
        <v>45527</v>
      </c>
      <c r="B157">
        <v>966.3</v>
      </c>
    </row>
    <row r="158" spans="1:2" x14ac:dyDescent="0.25">
      <c r="A158" s="2">
        <v>45530</v>
      </c>
      <c r="B158">
        <v>963.15</v>
      </c>
    </row>
    <row r="159" spans="1:2" x14ac:dyDescent="0.25">
      <c r="A159" s="2">
        <v>45531</v>
      </c>
      <c r="B159">
        <v>958.5</v>
      </c>
    </row>
    <row r="160" spans="1:2" x14ac:dyDescent="0.25">
      <c r="A160" s="2">
        <v>45532</v>
      </c>
      <c r="B160">
        <v>934</v>
      </c>
    </row>
    <row r="161" spans="1:2" x14ac:dyDescent="0.25">
      <c r="A161" s="2">
        <v>45533</v>
      </c>
      <c r="B161">
        <v>942.5</v>
      </c>
    </row>
    <row r="162" spans="1:2" x14ac:dyDescent="0.25">
      <c r="A162" s="2">
        <v>45534</v>
      </c>
      <c r="B162">
        <v>929.25</v>
      </c>
    </row>
    <row r="163" spans="1:2" x14ac:dyDescent="0.25">
      <c r="A163" s="2">
        <v>45537</v>
      </c>
      <c r="B163">
        <v>930.8</v>
      </c>
    </row>
    <row r="164" spans="1:2" x14ac:dyDescent="0.25">
      <c r="A164" s="2">
        <v>45538</v>
      </c>
      <c r="B164">
        <v>908</v>
      </c>
    </row>
    <row r="165" spans="1:2" x14ac:dyDescent="0.25">
      <c r="A165" s="2">
        <v>45539</v>
      </c>
      <c r="B165">
        <v>907.5</v>
      </c>
    </row>
    <row r="166" spans="1:2" x14ac:dyDescent="0.25">
      <c r="A166" s="2">
        <v>45540</v>
      </c>
      <c r="B166">
        <v>929</v>
      </c>
    </row>
    <row r="167" spans="1:2" x14ac:dyDescent="0.25">
      <c r="A167" s="2">
        <v>45541</v>
      </c>
      <c r="B167">
        <v>924.7</v>
      </c>
    </row>
    <row r="168" spans="1:2" x14ac:dyDescent="0.25">
      <c r="A168" s="2">
        <v>45544</v>
      </c>
      <c r="B168">
        <v>942.7</v>
      </c>
    </row>
    <row r="169" spans="1:2" x14ac:dyDescent="0.25">
      <c r="A169" s="2">
        <v>45545</v>
      </c>
      <c r="B169">
        <v>942.5</v>
      </c>
    </row>
    <row r="170" spans="1:2" x14ac:dyDescent="0.25">
      <c r="A170" s="2">
        <v>45546</v>
      </c>
      <c r="B170">
        <v>956.09</v>
      </c>
    </row>
    <row r="171" spans="1:2" x14ac:dyDescent="0.25">
      <c r="A171" s="2">
        <v>45547</v>
      </c>
      <c r="B171">
        <v>982</v>
      </c>
    </row>
    <row r="172" spans="1:2" x14ac:dyDescent="0.25">
      <c r="A172" s="2">
        <v>45548</v>
      </c>
      <c r="B172">
        <v>998.4</v>
      </c>
    </row>
    <row r="173" spans="1:2" x14ac:dyDescent="0.25">
      <c r="A173" s="2">
        <v>45551</v>
      </c>
      <c r="B173">
        <v>985.5</v>
      </c>
    </row>
    <row r="174" spans="1:2" x14ac:dyDescent="0.25">
      <c r="A174" s="2">
        <v>45552</v>
      </c>
      <c r="B174">
        <v>986.16</v>
      </c>
    </row>
    <row r="175" spans="1:2" x14ac:dyDescent="0.25">
      <c r="A175" s="2">
        <v>45553</v>
      </c>
      <c r="B175">
        <v>973.5</v>
      </c>
    </row>
    <row r="176" spans="1:2" x14ac:dyDescent="0.25">
      <c r="A176" s="2">
        <v>45554</v>
      </c>
      <c r="B176">
        <v>993</v>
      </c>
    </row>
    <row r="177" spans="1:2" x14ac:dyDescent="0.25">
      <c r="A177" s="2">
        <v>45555</v>
      </c>
      <c r="B177">
        <v>978.95</v>
      </c>
    </row>
    <row r="178" spans="1:2" x14ac:dyDescent="0.25">
      <c r="A178" s="2">
        <v>45558</v>
      </c>
      <c r="B178">
        <v>960.5</v>
      </c>
    </row>
    <row r="179" spans="1:2" x14ac:dyDescent="0.25">
      <c r="A179" s="2">
        <v>45559</v>
      </c>
      <c r="B179">
        <v>990.51</v>
      </c>
    </row>
    <row r="180" spans="1:2" x14ac:dyDescent="0.25">
      <c r="A180" s="2">
        <v>45560</v>
      </c>
      <c r="B180">
        <v>991.55</v>
      </c>
    </row>
    <row r="181" spans="1:2" x14ac:dyDescent="0.25">
      <c r="A181" s="2">
        <v>45561</v>
      </c>
      <c r="B181">
        <v>1012.11</v>
      </c>
    </row>
    <row r="182" spans="1:2" x14ac:dyDescent="0.25">
      <c r="A182" s="2">
        <v>45562</v>
      </c>
      <c r="B182">
        <v>1003.15</v>
      </c>
    </row>
    <row r="183" spans="1:2" x14ac:dyDescent="0.25">
      <c r="A183" s="2">
        <v>45565</v>
      </c>
      <c r="B183">
        <v>981</v>
      </c>
    </row>
    <row r="184" spans="1:2" x14ac:dyDescent="0.25">
      <c r="A184" s="2">
        <v>45566</v>
      </c>
      <c r="B184">
        <v>991</v>
      </c>
    </row>
    <row r="185" spans="1:2" x14ac:dyDescent="0.25">
      <c r="A185" s="2">
        <v>45567</v>
      </c>
      <c r="B185">
        <v>1007</v>
      </c>
    </row>
    <row r="186" spans="1:2" x14ac:dyDescent="0.25">
      <c r="A186" s="2">
        <v>45568</v>
      </c>
      <c r="B186">
        <v>995.5</v>
      </c>
    </row>
    <row r="187" spans="1:2" x14ac:dyDescent="0.25">
      <c r="A187" s="2">
        <v>45569</v>
      </c>
      <c r="B187">
        <v>991.5</v>
      </c>
    </row>
    <row r="188" spans="1:2" x14ac:dyDescent="0.25">
      <c r="A188" s="2">
        <v>45572</v>
      </c>
      <c r="B188">
        <v>977</v>
      </c>
    </row>
    <row r="189" spans="1:2" x14ac:dyDescent="0.25">
      <c r="A189" s="2">
        <v>45573</v>
      </c>
      <c r="B189">
        <v>953.5</v>
      </c>
    </row>
    <row r="190" spans="1:2" x14ac:dyDescent="0.25">
      <c r="A190" s="2">
        <v>45574</v>
      </c>
      <c r="B190">
        <v>950</v>
      </c>
    </row>
    <row r="191" spans="1:2" x14ac:dyDescent="0.25">
      <c r="A191" s="2">
        <v>45575</v>
      </c>
      <c r="B191">
        <v>971.96</v>
      </c>
    </row>
    <row r="192" spans="1:2" x14ac:dyDescent="0.25">
      <c r="A192" s="2">
        <v>45576</v>
      </c>
      <c r="B192">
        <v>987.95</v>
      </c>
    </row>
    <row r="193" spans="1:2" x14ac:dyDescent="0.25">
      <c r="A193" s="2">
        <v>45579</v>
      </c>
      <c r="B193">
        <v>996.5</v>
      </c>
    </row>
    <row r="194" spans="1:2" x14ac:dyDescent="0.25">
      <c r="A194" s="2">
        <v>45580</v>
      </c>
      <c r="B194">
        <v>989</v>
      </c>
    </row>
    <row r="195" spans="1:2" x14ac:dyDescent="0.25">
      <c r="A195" s="2">
        <v>45581</v>
      </c>
      <c r="B195">
        <v>997.99</v>
      </c>
    </row>
    <row r="196" spans="1:2" x14ac:dyDescent="0.25">
      <c r="A196" s="2">
        <v>45582</v>
      </c>
      <c r="B196">
        <v>997</v>
      </c>
    </row>
    <row r="197" spans="1:2" x14ac:dyDescent="0.25">
      <c r="A197" s="2">
        <v>45583</v>
      </c>
      <c r="B197">
        <v>1016.35</v>
      </c>
    </row>
    <row r="198" spans="1:2" x14ac:dyDescent="0.25">
      <c r="A198" s="2">
        <v>45586</v>
      </c>
      <c r="B198">
        <v>1007.5</v>
      </c>
    </row>
    <row r="199" spans="1:2" x14ac:dyDescent="0.25">
      <c r="A199" s="2">
        <v>45587</v>
      </c>
      <c r="B199">
        <v>1032.1500000000001</v>
      </c>
    </row>
    <row r="200" spans="1:2" x14ac:dyDescent="0.25">
      <c r="A200" s="2">
        <v>45588</v>
      </c>
      <c r="B200">
        <v>1020.8</v>
      </c>
    </row>
    <row r="201" spans="1:2" x14ac:dyDescent="0.25">
      <c r="A201" s="2">
        <v>45589</v>
      </c>
      <c r="B201">
        <v>1029.1500000000001</v>
      </c>
    </row>
    <row r="202" spans="1:2" x14ac:dyDescent="0.25">
      <c r="A202" s="2">
        <v>45590</v>
      </c>
      <c r="B202">
        <v>1025.7</v>
      </c>
    </row>
    <row r="203" spans="1:2" x14ac:dyDescent="0.25">
      <c r="A203" s="2">
        <v>45593</v>
      </c>
      <c r="B203">
        <v>1038</v>
      </c>
    </row>
    <row r="204" spans="1:2" x14ac:dyDescent="0.25">
      <c r="A204" s="2">
        <v>45594</v>
      </c>
      <c r="B204">
        <v>1050.5</v>
      </c>
    </row>
    <row r="205" spans="1:2" x14ac:dyDescent="0.25">
      <c r="A205" s="2">
        <v>45595</v>
      </c>
      <c r="B205">
        <v>1013</v>
      </c>
    </row>
    <row r="206" spans="1:2" x14ac:dyDescent="0.25">
      <c r="A206" s="2">
        <v>45596</v>
      </c>
      <c r="B206">
        <v>992.5</v>
      </c>
    </row>
    <row r="207" spans="1:2" x14ac:dyDescent="0.25">
      <c r="A207" s="2">
        <v>45597</v>
      </c>
      <c r="B207">
        <v>995.35</v>
      </c>
    </row>
    <row r="208" spans="1:2" x14ac:dyDescent="0.25">
      <c r="A208" s="2">
        <v>45600</v>
      </c>
      <c r="B208">
        <v>985</v>
      </c>
    </row>
    <row r="209" spans="1:2" x14ac:dyDescent="0.25">
      <c r="A209" s="2">
        <v>45601</v>
      </c>
      <c r="B209">
        <v>1001</v>
      </c>
    </row>
    <row r="210" spans="1:2" x14ac:dyDescent="0.25">
      <c r="A210" s="2">
        <v>45602</v>
      </c>
      <c r="B210">
        <v>987.85</v>
      </c>
    </row>
    <row r="211" spans="1:2" x14ac:dyDescent="0.25">
      <c r="A211" s="2">
        <v>45603</v>
      </c>
      <c r="B211">
        <v>998.4</v>
      </c>
    </row>
    <row r="212" spans="1:2" x14ac:dyDescent="0.25">
      <c r="A212" s="2">
        <v>45604</v>
      </c>
      <c r="B212">
        <v>972.02</v>
      </c>
    </row>
    <row r="213" spans="1:2" x14ac:dyDescent="0.25">
      <c r="A213" s="2">
        <v>45607</v>
      </c>
      <c r="B213">
        <v>966.1</v>
      </c>
    </row>
    <row r="214" spans="1:2" x14ac:dyDescent="0.25">
      <c r="A214" s="2">
        <v>45608</v>
      </c>
      <c r="B214">
        <v>948.95</v>
      </c>
    </row>
    <row r="215" spans="1:2" x14ac:dyDescent="0.25">
      <c r="A215" s="2">
        <v>45609</v>
      </c>
      <c r="B215">
        <v>938.6</v>
      </c>
    </row>
    <row r="216" spans="1:2" x14ac:dyDescent="0.25">
      <c r="A216" s="2">
        <v>45610</v>
      </c>
      <c r="B216">
        <v>940.9</v>
      </c>
    </row>
    <row r="217" spans="1:2" x14ac:dyDescent="0.25">
      <c r="A217" s="2">
        <v>45611</v>
      </c>
      <c r="B217">
        <v>942.05</v>
      </c>
    </row>
    <row r="218" spans="1:2" x14ac:dyDescent="0.25">
      <c r="A218" s="2">
        <v>45614</v>
      </c>
      <c r="B218">
        <v>968.55</v>
      </c>
    </row>
    <row r="219" spans="1:2" x14ac:dyDescent="0.25">
      <c r="A219" s="2">
        <v>45615</v>
      </c>
      <c r="B219">
        <v>975.25</v>
      </c>
    </row>
    <row r="220" spans="1:2" x14ac:dyDescent="0.25">
      <c r="A220" s="2">
        <v>45616</v>
      </c>
      <c r="B220">
        <v>962.6</v>
      </c>
    </row>
    <row r="221" spans="1:2" x14ac:dyDescent="0.25">
      <c r="A221" s="2">
        <v>45617</v>
      </c>
      <c r="B221">
        <v>964.35</v>
      </c>
    </row>
    <row r="222" spans="1:2" x14ac:dyDescent="0.25">
      <c r="A222" s="2">
        <v>45618</v>
      </c>
      <c r="B222">
        <v>964.45</v>
      </c>
    </row>
    <row r="223" spans="1:2" x14ac:dyDescent="0.25">
      <c r="A223" s="2">
        <v>45621</v>
      </c>
      <c r="B223">
        <v>939.95</v>
      </c>
    </row>
    <row r="224" spans="1:2" x14ac:dyDescent="0.25">
      <c r="A224" s="2">
        <v>45622</v>
      </c>
      <c r="B224">
        <v>929.1</v>
      </c>
    </row>
    <row r="225" spans="1:2" x14ac:dyDescent="0.25">
      <c r="A225" s="2">
        <v>45623</v>
      </c>
      <c r="B225">
        <v>930.21</v>
      </c>
    </row>
    <row r="226" spans="1:2" x14ac:dyDescent="0.25">
      <c r="A226" s="2">
        <v>45624</v>
      </c>
      <c r="B226">
        <v>934.33</v>
      </c>
    </row>
    <row r="227" spans="1:2" x14ac:dyDescent="0.25">
      <c r="A227" s="2">
        <v>45625</v>
      </c>
      <c r="B227">
        <v>948.36</v>
      </c>
    </row>
    <row r="228" spans="1:2" x14ac:dyDescent="0.25">
      <c r="A228" s="2">
        <v>45628</v>
      </c>
      <c r="B228">
        <v>948</v>
      </c>
    </row>
    <row r="229" spans="1:2" x14ac:dyDescent="0.25">
      <c r="A229" s="2">
        <v>45629</v>
      </c>
      <c r="B229">
        <v>954.55</v>
      </c>
    </row>
    <row r="230" spans="1:2" x14ac:dyDescent="0.25">
      <c r="A230" s="2">
        <v>45630</v>
      </c>
      <c r="B230">
        <v>942.2</v>
      </c>
    </row>
    <row r="231" spans="1:2" x14ac:dyDescent="0.25">
      <c r="A231" s="2">
        <v>45631</v>
      </c>
      <c r="B231">
        <v>939.55</v>
      </c>
    </row>
    <row r="232" spans="1:2" x14ac:dyDescent="0.25">
      <c r="A232" s="2">
        <v>45632</v>
      </c>
      <c r="B232">
        <v>930.95</v>
      </c>
    </row>
    <row r="233" spans="1:2" x14ac:dyDescent="0.25">
      <c r="A233" s="2">
        <v>45635</v>
      </c>
      <c r="B233">
        <v>940.4</v>
      </c>
    </row>
    <row r="234" spans="1:2" x14ac:dyDescent="0.25">
      <c r="A234" s="2">
        <v>45636</v>
      </c>
      <c r="B234">
        <v>943.55</v>
      </c>
    </row>
    <row r="235" spans="1:2" x14ac:dyDescent="0.25">
      <c r="A235" s="2">
        <v>45637</v>
      </c>
      <c r="B235">
        <v>940.8</v>
      </c>
    </row>
    <row r="236" spans="1:2" x14ac:dyDescent="0.25">
      <c r="A236" s="2">
        <v>45638</v>
      </c>
      <c r="B236">
        <v>933.25</v>
      </c>
    </row>
    <row r="237" spans="1:2" x14ac:dyDescent="0.25">
      <c r="A237" s="2">
        <v>45639</v>
      </c>
      <c r="B237">
        <v>925.8</v>
      </c>
    </row>
    <row r="238" spans="1:2" x14ac:dyDescent="0.25">
      <c r="A238" s="2">
        <v>45642</v>
      </c>
      <c r="B238">
        <v>939.16</v>
      </c>
    </row>
    <row r="239" spans="1:2" x14ac:dyDescent="0.25">
      <c r="A239" s="2">
        <v>45643</v>
      </c>
      <c r="B239">
        <v>939.8</v>
      </c>
    </row>
    <row r="240" spans="1:2" x14ac:dyDescent="0.25">
      <c r="A240" s="2">
        <v>45644</v>
      </c>
      <c r="B240">
        <v>920.5</v>
      </c>
    </row>
    <row r="241" spans="1:2" x14ac:dyDescent="0.25">
      <c r="A241" s="2">
        <v>45645</v>
      </c>
      <c r="B241">
        <v>924.7</v>
      </c>
    </row>
    <row r="242" spans="1:2" x14ac:dyDescent="0.25">
      <c r="A242" s="2">
        <v>45646</v>
      </c>
      <c r="B242">
        <v>927.35</v>
      </c>
    </row>
    <row r="243" spans="1:2" x14ac:dyDescent="0.25">
      <c r="A243" s="2">
        <v>45649</v>
      </c>
      <c r="B243">
        <v>940.45</v>
      </c>
    </row>
    <row r="244" spans="1:2" x14ac:dyDescent="0.25">
      <c r="A244" s="2">
        <v>45650</v>
      </c>
      <c r="B244">
        <v>946.1</v>
      </c>
    </row>
    <row r="245" spans="1:2" x14ac:dyDescent="0.25">
      <c r="A245" s="2">
        <v>45651</v>
      </c>
      <c r="B245">
        <v>946.1</v>
      </c>
    </row>
    <row r="246" spans="1:2" x14ac:dyDescent="0.25">
      <c r="A246" s="2">
        <v>45652</v>
      </c>
      <c r="B246">
        <v>939.05</v>
      </c>
    </row>
    <row r="247" spans="1:2" x14ac:dyDescent="0.25">
      <c r="A247" s="2">
        <v>45653</v>
      </c>
      <c r="B247">
        <v>920.8</v>
      </c>
    </row>
    <row r="248" spans="1:2" x14ac:dyDescent="0.25">
      <c r="A248" s="2">
        <v>45656</v>
      </c>
      <c r="B248">
        <v>905</v>
      </c>
    </row>
    <row r="249" spans="1:2" x14ac:dyDescent="0.25">
      <c r="A249" s="2">
        <v>45657</v>
      </c>
      <c r="B249">
        <v>907</v>
      </c>
    </row>
    <row r="250" spans="1:2" x14ac:dyDescent="0.25">
      <c r="A250" s="2">
        <v>45658</v>
      </c>
      <c r="B250">
        <v>907</v>
      </c>
    </row>
    <row r="251" spans="1:2" x14ac:dyDescent="0.25">
      <c r="A251" s="2">
        <v>45659</v>
      </c>
      <c r="B251">
        <v>924.1</v>
      </c>
    </row>
    <row r="252" spans="1:2" x14ac:dyDescent="0.25">
      <c r="A252" s="2">
        <v>45660</v>
      </c>
      <c r="B252">
        <v>939.75</v>
      </c>
    </row>
    <row r="253" spans="1:2" x14ac:dyDescent="0.25">
      <c r="A253" s="2">
        <v>45663</v>
      </c>
      <c r="B253">
        <v>936.64</v>
      </c>
    </row>
    <row r="254" spans="1:2" x14ac:dyDescent="0.25">
      <c r="A254" s="2">
        <v>45664</v>
      </c>
      <c r="B254">
        <v>951.8</v>
      </c>
    </row>
    <row r="255" spans="1:2" x14ac:dyDescent="0.25">
      <c r="A255" s="2">
        <v>45665</v>
      </c>
      <c r="B255">
        <v>956.85</v>
      </c>
    </row>
    <row r="256" spans="1:2" x14ac:dyDescent="0.25">
      <c r="A256" s="2">
        <v>45666</v>
      </c>
      <c r="B256">
        <v>961.72</v>
      </c>
    </row>
    <row r="257" spans="1:2" x14ac:dyDescent="0.25">
      <c r="A257" s="2">
        <v>45667</v>
      </c>
      <c r="B257">
        <v>966.05</v>
      </c>
    </row>
    <row r="258" spans="1:2" x14ac:dyDescent="0.25">
      <c r="A258" s="2">
        <v>45670</v>
      </c>
      <c r="B258">
        <v>955</v>
      </c>
    </row>
    <row r="259" spans="1:2" x14ac:dyDescent="0.25">
      <c r="A259" s="2">
        <v>45671</v>
      </c>
      <c r="B259">
        <v>936.5</v>
      </c>
    </row>
    <row r="260" spans="1:2" x14ac:dyDescent="0.25">
      <c r="A260" s="2">
        <v>45672</v>
      </c>
      <c r="B260">
        <v>941.2</v>
      </c>
    </row>
    <row r="261" spans="1:2" x14ac:dyDescent="0.25">
      <c r="A261" s="2">
        <v>45673</v>
      </c>
      <c r="B261">
        <v>935</v>
      </c>
    </row>
    <row r="262" spans="1:2" x14ac:dyDescent="0.25">
      <c r="A262" s="2">
        <v>45674</v>
      </c>
      <c r="B262">
        <v>944.7</v>
      </c>
    </row>
    <row r="263" spans="1:2" x14ac:dyDescent="0.25">
      <c r="A263" s="2">
        <v>45677</v>
      </c>
      <c r="B263">
        <v>946.15</v>
      </c>
    </row>
    <row r="264" spans="1:2" x14ac:dyDescent="0.25">
      <c r="A264" s="2">
        <v>45678</v>
      </c>
      <c r="B264">
        <v>945.5</v>
      </c>
    </row>
    <row r="265" spans="1:2" x14ac:dyDescent="0.25">
      <c r="A265" s="2">
        <v>45679</v>
      </c>
      <c r="B265">
        <v>949.62</v>
      </c>
    </row>
    <row r="266" spans="1:2" x14ac:dyDescent="0.25">
      <c r="A266" s="2">
        <v>45680</v>
      </c>
      <c r="B266">
        <v>946.2</v>
      </c>
    </row>
    <row r="267" spans="1:2" x14ac:dyDescent="0.25">
      <c r="A267" s="2">
        <v>45681</v>
      </c>
      <c r="B267">
        <v>952.75</v>
      </c>
    </row>
    <row r="268" spans="1:2" x14ac:dyDescent="0.25">
      <c r="A268" s="2">
        <v>45684</v>
      </c>
      <c r="B268">
        <v>950.1</v>
      </c>
    </row>
    <row r="269" spans="1:2" x14ac:dyDescent="0.25">
      <c r="A269" s="2">
        <v>45685</v>
      </c>
      <c r="B269">
        <v>944.6</v>
      </c>
    </row>
    <row r="270" spans="1:2" x14ac:dyDescent="0.25">
      <c r="A270" s="2">
        <v>45686</v>
      </c>
      <c r="B270">
        <v>949.35</v>
      </c>
    </row>
    <row r="271" spans="1:2" x14ac:dyDescent="0.25">
      <c r="A271" s="2">
        <v>45687</v>
      </c>
      <c r="B271">
        <v>970.5</v>
      </c>
    </row>
    <row r="272" spans="1:2" x14ac:dyDescent="0.25">
      <c r="A272" s="2">
        <v>45688</v>
      </c>
      <c r="B272">
        <v>983.55</v>
      </c>
    </row>
    <row r="273" spans="1:2" x14ac:dyDescent="0.25">
      <c r="A273" s="2">
        <v>45691</v>
      </c>
      <c r="B273">
        <v>969.75</v>
      </c>
    </row>
    <row r="274" spans="1:2" x14ac:dyDescent="0.25">
      <c r="A274" s="2">
        <v>45692</v>
      </c>
      <c r="B274">
        <v>968.15</v>
      </c>
    </row>
    <row r="275" spans="1:2" x14ac:dyDescent="0.25">
      <c r="A275" s="2">
        <v>45693</v>
      </c>
      <c r="B275">
        <v>983.95</v>
      </c>
    </row>
    <row r="276" spans="1:2" x14ac:dyDescent="0.25">
      <c r="A276" s="2">
        <v>45694</v>
      </c>
      <c r="B276">
        <v>989.52</v>
      </c>
    </row>
    <row r="277" spans="1:2" x14ac:dyDescent="0.25">
      <c r="A277" s="2">
        <v>45695</v>
      </c>
      <c r="B277">
        <v>980.85</v>
      </c>
    </row>
    <row r="278" spans="1:2" x14ac:dyDescent="0.25">
      <c r="A278" s="2">
        <v>45698</v>
      </c>
      <c r="B278">
        <v>994.45</v>
      </c>
    </row>
    <row r="279" spans="1:2" x14ac:dyDescent="0.25">
      <c r="A279" s="2">
        <v>45699</v>
      </c>
      <c r="B279">
        <v>986.96</v>
      </c>
    </row>
    <row r="280" spans="1:2" x14ac:dyDescent="0.25">
      <c r="A280" s="2">
        <v>45700</v>
      </c>
      <c r="B280">
        <v>995.94</v>
      </c>
    </row>
    <row r="281" spans="1:2" x14ac:dyDescent="0.25">
      <c r="A281" s="2">
        <v>45701</v>
      </c>
      <c r="B281">
        <v>999.65</v>
      </c>
    </row>
    <row r="282" spans="1:2" x14ac:dyDescent="0.25">
      <c r="A282" s="2">
        <v>45702</v>
      </c>
      <c r="B282">
        <v>981.8</v>
      </c>
    </row>
    <row r="283" spans="1:2" x14ac:dyDescent="0.25">
      <c r="A283" s="2">
        <v>45705</v>
      </c>
      <c r="B283">
        <v>980</v>
      </c>
    </row>
    <row r="284" spans="1:2" x14ac:dyDescent="0.25">
      <c r="A284" s="2">
        <v>45706</v>
      </c>
      <c r="B284">
        <v>988.2</v>
      </c>
    </row>
    <row r="285" spans="1:2" x14ac:dyDescent="0.25">
      <c r="A285" s="2">
        <v>45707</v>
      </c>
      <c r="B285">
        <v>975.5</v>
      </c>
    </row>
    <row r="286" spans="1:2" x14ac:dyDescent="0.25">
      <c r="A286" s="2">
        <v>45708</v>
      </c>
      <c r="B286">
        <v>981.35</v>
      </c>
    </row>
    <row r="287" spans="1:2" x14ac:dyDescent="0.25">
      <c r="A287" s="2">
        <v>45709</v>
      </c>
      <c r="B287">
        <v>972.65</v>
      </c>
    </row>
    <row r="288" spans="1:2" x14ac:dyDescent="0.25">
      <c r="A288" s="2">
        <v>45712</v>
      </c>
      <c r="B288">
        <v>970.08</v>
      </c>
    </row>
    <row r="289" spans="1:2" x14ac:dyDescent="0.25">
      <c r="A289" s="2">
        <v>45713</v>
      </c>
      <c r="B289">
        <v>970.25</v>
      </c>
    </row>
    <row r="290" spans="1:2" x14ac:dyDescent="0.25">
      <c r="A290" s="2">
        <v>45714</v>
      </c>
      <c r="B290">
        <v>968.75</v>
      </c>
    </row>
    <row r="291" spans="1:2" x14ac:dyDescent="0.25">
      <c r="A291" s="2">
        <v>45715</v>
      </c>
      <c r="B291">
        <v>951.7</v>
      </c>
    </row>
    <row r="292" spans="1:2" x14ac:dyDescent="0.25">
      <c r="A292" s="2">
        <v>45716</v>
      </c>
      <c r="B292">
        <v>950.65</v>
      </c>
    </row>
    <row r="293" spans="1:2" x14ac:dyDescent="0.25">
      <c r="A293" s="2">
        <v>45719</v>
      </c>
      <c r="B293">
        <v>956.35</v>
      </c>
    </row>
    <row r="294" spans="1:2" x14ac:dyDescent="0.25">
      <c r="A294" s="2">
        <v>45720</v>
      </c>
      <c r="B294">
        <v>963.7</v>
      </c>
    </row>
    <row r="295" spans="1:2" x14ac:dyDescent="0.25">
      <c r="A295" s="2">
        <v>45721</v>
      </c>
      <c r="B295">
        <v>968.55</v>
      </c>
    </row>
    <row r="296" spans="1:2" x14ac:dyDescent="0.25">
      <c r="A296" s="2">
        <v>45722</v>
      </c>
      <c r="B296">
        <v>970.51</v>
      </c>
    </row>
    <row r="297" spans="1:2" x14ac:dyDescent="0.25">
      <c r="A297" s="2">
        <v>45723</v>
      </c>
      <c r="B297">
        <v>965.95</v>
      </c>
    </row>
    <row r="298" spans="1:2" x14ac:dyDescent="0.25">
      <c r="A298" s="2">
        <v>45726</v>
      </c>
      <c r="B298">
        <v>962.13</v>
      </c>
    </row>
    <row r="299" spans="1:2" x14ac:dyDescent="0.25">
      <c r="A299" s="2">
        <v>45727</v>
      </c>
      <c r="B299">
        <v>979.5</v>
      </c>
    </row>
    <row r="300" spans="1:2" x14ac:dyDescent="0.25">
      <c r="A300" s="2">
        <v>45728</v>
      </c>
      <c r="B300">
        <v>989</v>
      </c>
    </row>
    <row r="301" spans="1:2" x14ac:dyDescent="0.25">
      <c r="A301" s="2">
        <v>45729</v>
      </c>
      <c r="B301">
        <v>999</v>
      </c>
    </row>
    <row r="302" spans="1:2" x14ac:dyDescent="0.25">
      <c r="A302" s="2">
        <v>45730</v>
      </c>
      <c r="B302">
        <v>996.75</v>
      </c>
    </row>
    <row r="303" spans="1:2" x14ac:dyDescent="0.25">
      <c r="A303" s="2">
        <v>45733</v>
      </c>
      <c r="B303">
        <v>1004.55</v>
      </c>
    </row>
    <row r="304" spans="1:2" x14ac:dyDescent="0.25">
      <c r="A304" s="2">
        <v>45734</v>
      </c>
      <c r="B304">
        <v>1002.01</v>
      </c>
    </row>
    <row r="305" spans="1:2" x14ac:dyDescent="0.25">
      <c r="A305" s="2">
        <v>45735</v>
      </c>
      <c r="B305">
        <v>996.6</v>
      </c>
    </row>
    <row r="306" spans="1:2" x14ac:dyDescent="0.25">
      <c r="A306" s="2">
        <v>45736</v>
      </c>
      <c r="B306">
        <v>988.93</v>
      </c>
    </row>
    <row r="307" spans="1:2" x14ac:dyDescent="0.25">
      <c r="A307" s="2">
        <v>45737</v>
      </c>
      <c r="B307">
        <v>978.75</v>
      </c>
    </row>
    <row r="308" spans="1:2" x14ac:dyDescent="0.25">
      <c r="A308" s="2">
        <v>45740</v>
      </c>
      <c r="B308">
        <v>976.52</v>
      </c>
    </row>
    <row r="309" spans="1:2" x14ac:dyDescent="0.25">
      <c r="A309" s="2">
        <v>45741</v>
      </c>
      <c r="B309">
        <v>980.5</v>
      </c>
    </row>
    <row r="310" spans="1:2" x14ac:dyDescent="0.25">
      <c r="A310" s="2">
        <v>45742</v>
      </c>
      <c r="B310">
        <v>977.16</v>
      </c>
    </row>
    <row r="311" spans="1:2" x14ac:dyDescent="0.25">
      <c r="A311" s="2">
        <v>45743</v>
      </c>
      <c r="B311">
        <v>989.35</v>
      </c>
    </row>
    <row r="312" spans="1:2" x14ac:dyDescent="0.25">
      <c r="A312" s="2">
        <v>45744</v>
      </c>
      <c r="B312">
        <v>987.05</v>
      </c>
    </row>
    <row r="313" spans="1:2" x14ac:dyDescent="0.25">
      <c r="A313" s="2">
        <v>45747</v>
      </c>
      <c r="B313">
        <v>997.5</v>
      </c>
    </row>
    <row r="314" spans="1:2" x14ac:dyDescent="0.25">
      <c r="A314" s="2">
        <v>45748</v>
      </c>
      <c r="B314">
        <v>984.5</v>
      </c>
    </row>
    <row r="315" spans="1:2" x14ac:dyDescent="0.25">
      <c r="A315" s="2">
        <v>45749</v>
      </c>
      <c r="B315">
        <v>987.46</v>
      </c>
    </row>
    <row r="316" spans="1:2" x14ac:dyDescent="0.25">
      <c r="A316" s="2">
        <v>45750</v>
      </c>
      <c r="B316">
        <v>956.5</v>
      </c>
    </row>
    <row r="317" spans="1:2" x14ac:dyDescent="0.25">
      <c r="A317" s="2">
        <v>45751</v>
      </c>
      <c r="B317">
        <v>920.2</v>
      </c>
    </row>
    <row r="318" spans="1:2" x14ac:dyDescent="0.25">
      <c r="A318" s="2">
        <v>45754</v>
      </c>
      <c r="B318">
        <v>918</v>
      </c>
    </row>
    <row r="319" spans="1:2" x14ac:dyDescent="0.25">
      <c r="A319" s="2">
        <v>45755</v>
      </c>
      <c r="B319">
        <v>925</v>
      </c>
    </row>
    <row r="320" spans="1:2" x14ac:dyDescent="0.25">
      <c r="A320" s="2">
        <v>45756</v>
      </c>
      <c r="B320">
        <v>941.25</v>
      </c>
    </row>
    <row r="321" spans="1:2" x14ac:dyDescent="0.25">
      <c r="A321" s="2">
        <v>45757</v>
      </c>
      <c r="B321">
        <v>942</v>
      </c>
    </row>
    <row r="322" spans="1:2" x14ac:dyDescent="0.25">
      <c r="A322" s="2">
        <v>45758</v>
      </c>
      <c r="B322">
        <v>947.15</v>
      </c>
    </row>
    <row r="323" spans="1:2" x14ac:dyDescent="0.25">
      <c r="A323" s="2">
        <v>45761</v>
      </c>
      <c r="B323">
        <v>956.5</v>
      </c>
    </row>
    <row r="324" spans="1:2" x14ac:dyDescent="0.25">
      <c r="A324" s="2">
        <v>45762</v>
      </c>
      <c r="B324">
        <v>963.04</v>
      </c>
    </row>
    <row r="325" spans="1:2" x14ac:dyDescent="0.25">
      <c r="A325" s="2">
        <v>45763</v>
      </c>
      <c r="B325">
        <v>972</v>
      </c>
    </row>
    <row r="326" spans="1:2" x14ac:dyDescent="0.25">
      <c r="A326" s="2">
        <v>45764</v>
      </c>
      <c r="B326">
        <v>972.81</v>
      </c>
    </row>
    <row r="327" spans="1:2" x14ac:dyDescent="0.25">
      <c r="A327" s="2">
        <v>45765</v>
      </c>
      <c r="B327">
        <v>972.81</v>
      </c>
    </row>
    <row r="328" spans="1:2" x14ac:dyDescent="0.25">
      <c r="A328" s="2">
        <v>45768</v>
      </c>
      <c r="B328">
        <v>966.25</v>
      </c>
    </row>
    <row r="329" spans="1:2" x14ac:dyDescent="0.25">
      <c r="A329" s="2">
        <v>45769</v>
      </c>
      <c r="B329">
        <v>963.51</v>
      </c>
    </row>
    <row r="330" spans="1:2" x14ac:dyDescent="0.25">
      <c r="A330" s="2">
        <v>45770</v>
      </c>
      <c r="B330">
        <v>977.5</v>
      </c>
    </row>
    <row r="331" spans="1:2" x14ac:dyDescent="0.25">
      <c r="A331" s="2">
        <v>45771</v>
      </c>
      <c r="B331">
        <v>975.51</v>
      </c>
    </row>
    <row r="332" spans="1:2" x14ac:dyDescent="0.25">
      <c r="A332" s="2">
        <v>45772</v>
      </c>
      <c r="B332">
        <v>975.05</v>
      </c>
    </row>
    <row r="333" spans="1:2" x14ac:dyDescent="0.25">
      <c r="A333" s="2">
        <v>45775</v>
      </c>
      <c r="B333">
        <v>991</v>
      </c>
    </row>
    <row r="334" spans="1:2" x14ac:dyDescent="0.25">
      <c r="A334" s="2">
        <v>45776</v>
      </c>
      <c r="B334">
        <v>981.5</v>
      </c>
    </row>
    <row r="335" spans="1:2" x14ac:dyDescent="0.25">
      <c r="A335" s="2">
        <v>45777</v>
      </c>
      <c r="B335">
        <v>971.5</v>
      </c>
    </row>
    <row r="336" spans="1:2" x14ac:dyDescent="0.25">
      <c r="A336" s="2">
        <v>45778</v>
      </c>
      <c r="B336">
        <v>963</v>
      </c>
    </row>
    <row r="337" spans="1:2" x14ac:dyDescent="0.25">
      <c r="A337" s="2">
        <v>45779</v>
      </c>
      <c r="B337">
        <v>963.8</v>
      </c>
    </row>
    <row r="338" spans="1:2" x14ac:dyDescent="0.25">
      <c r="A338" s="2">
        <v>45782</v>
      </c>
      <c r="B338">
        <v>964.04</v>
      </c>
    </row>
    <row r="339" spans="1:2" x14ac:dyDescent="0.25">
      <c r="A339" s="2">
        <v>45783</v>
      </c>
      <c r="B339">
        <v>988.45</v>
      </c>
    </row>
    <row r="340" spans="1:2" x14ac:dyDescent="0.25">
      <c r="A340" s="2">
        <v>45784</v>
      </c>
      <c r="B340">
        <v>978.89</v>
      </c>
    </row>
    <row r="341" spans="1:2" x14ac:dyDescent="0.25">
      <c r="A341" s="2">
        <v>45785</v>
      </c>
      <c r="B341">
        <v>980.5</v>
      </c>
    </row>
    <row r="342" spans="1:2" x14ac:dyDescent="0.25">
      <c r="A342" s="2">
        <v>45786</v>
      </c>
      <c r="B342">
        <v>998.1</v>
      </c>
    </row>
    <row r="343" spans="1:2" x14ac:dyDescent="0.25">
      <c r="A343" s="2">
        <v>45789</v>
      </c>
      <c r="B343">
        <v>979.5</v>
      </c>
    </row>
    <row r="344" spans="1:2" x14ac:dyDescent="0.25">
      <c r="A344" s="2">
        <v>45790</v>
      </c>
      <c r="B344">
        <v>993</v>
      </c>
    </row>
    <row r="345" spans="1:2" x14ac:dyDescent="0.25">
      <c r="A345" s="2">
        <v>45791</v>
      </c>
      <c r="B345">
        <v>981</v>
      </c>
    </row>
    <row r="346" spans="1:2" x14ac:dyDescent="0.25">
      <c r="A346" s="2">
        <v>45792</v>
      </c>
      <c r="B346">
        <v>994.5</v>
      </c>
    </row>
    <row r="347" spans="1:2" x14ac:dyDescent="0.25">
      <c r="A347" s="2">
        <v>45793</v>
      </c>
      <c r="B347">
        <v>991.15</v>
      </c>
    </row>
    <row r="348" spans="1:2" x14ac:dyDescent="0.25">
      <c r="A348" s="2">
        <v>45796</v>
      </c>
      <c r="B348">
        <v>1002.5</v>
      </c>
    </row>
    <row r="349" spans="1:2" x14ac:dyDescent="0.25">
      <c r="A349" s="2">
        <v>45797</v>
      </c>
      <c r="B349">
        <v>1058.49</v>
      </c>
    </row>
    <row r="350" spans="1:2" x14ac:dyDescent="0.25">
      <c r="A350" s="2">
        <v>45798</v>
      </c>
      <c r="B350">
        <v>1081.5</v>
      </c>
    </row>
    <row r="351" spans="1:2" x14ac:dyDescent="0.25">
      <c r="A351" s="2">
        <v>45799</v>
      </c>
      <c r="B351">
        <v>1083.0899999999999</v>
      </c>
    </row>
    <row r="352" spans="1:2" x14ac:dyDescent="0.25">
      <c r="A352" s="2">
        <v>45800</v>
      </c>
      <c r="B352">
        <v>1098.0999999999999</v>
      </c>
    </row>
    <row r="353" spans="1:2" x14ac:dyDescent="0.25">
      <c r="A353" s="2">
        <v>45803</v>
      </c>
      <c r="B353">
        <v>1089.78</v>
      </c>
    </row>
    <row r="354" spans="1:2" x14ac:dyDescent="0.25">
      <c r="A354" s="2">
        <v>45804</v>
      </c>
      <c r="B354">
        <v>1084.5</v>
      </c>
    </row>
    <row r="355" spans="1:2" x14ac:dyDescent="0.25">
      <c r="A355" s="2">
        <v>45805</v>
      </c>
      <c r="B355">
        <v>1079.5</v>
      </c>
    </row>
    <row r="356" spans="1:2" x14ac:dyDescent="0.25">
      <c r="A356" s="2">
        <v>45806</v>
      </c>
      <c r="B356">
        <v>1087</v>
      </c>
    </row>
    <row r="357" spans="1:2" x14ac:dyDescent="0.25">
      <c r="A357" s="2">
        <v>45807</v>
      </c>
      <c r="B357">
        <v>1059.5999999999999</v>
      </c>
    </row>
    <row r="358" spans="1:2" x14ac:dyDescent="0.25">
      <c r="A358" s="2">
        <v>45810</v>
      </c>
      <c r="B358">
        <v>1068</v>
      </c>
    </row>
    <row r="359" spans="1:2" x14ac:dyDescent="0.25">
      <c r="A359" s="2">
        <v>45811</v>
      </c>
      <c r="B359">
        <v>1078.3399999999999</v>
      </c>
    </row>
    <row r="360" spans="1:2" x14ac:dyDescent="0.25">
      <c r="A360" s="2">
        <v>45812</v>
      </c>
      <c r="B360">
        <v>1089.26</v>
      </c>
    </row>
    <row r="361" spans="1:2" x14ac:dyDescent="0.25">
      <c r="A361" s="2">
        <v>45813</v>
      </c>
      <c r="B361">
        <v>1135.01</v>
      </c>
    </row>
    <row r="362" spans="1:2" x14ac:dyDescent="0.25">
      <c r="A362" s="2">
        <v>45814</v>
      </c>
      <c r="B362">
        <v>1172.8499999999999</v>
      </c>
    </row>
    <row r="363" spans="1:2" x14ac:dyDescent="0.25">
      <c r="A363" s="2">
        <v>45817</v>
      </c>
      <c r="B363">
        <v>1223.71</v>
      </c>
    </row>
    <row r="364" spans="1:2" x14ac:dyDescent="0.25">
      <c r="A364" s="2">
        <v>45818</v>
      </c>
      <c r="B364">
        <v>1226.26</v>
      </c>
    </row>
    <row r="365" spans="1:2" x14ac:dyDescent="0.25">
      <c r="A365" s="2">
        <v>45819</v>
      </c>
      <c r="B365">
        <v>1259.56</v>
      </c>
    </row>
    <row r="366" spans="1:2" x14ac:dyDescent="0.25">
      <c r="A366" s="2">
        <v>45820</v>
      </c>
      <c r="B366">
        <v>1298.95</v>
      </c>
    </row>
    <row r="367" spans="1:2" x14ac:dyDescent="0.25">
      <c r="A367" s="2">
        <v>45821</v>
      </c>
      <c r="B367">
        <v>1231.01</v>
      </c>
    </row>
    <row r="368" spans="1:2" x14ac:dyDescent="0.25">
      <c r="A368" s="2">
        <v>45824</v>
      </c>
      <c r="B368">
        <v>1250.3</v>
      </c>
    </row>
    <row r="369" spans="1:2" x14ac:dyDescent="0.25">
      <c r="A369" s="2">
        <v>45825</v>
      </c>
      <c r="B369">
        <v>1250.3</v>
      </c>
    </row>
    <row r="370" spans="1:2" x14ac:dyDescent="0.25">
      <c r="A370" s="2">
        <v>45826</v>
      </c>
      <c r="B370">
        <v>1324.91</v>
      </c>
    </row>
    <row r="371" spans="1:2" x14ac:dyDescent="0.25">
      <c r="A371" s="2">
        <v>45827</v>
      </c>
      <c r="B371">
        <v>1310.05</v>
      </c>
    </row>
    <row r="372" spans="1:2" x14ac:dyDescent="0.25">
      <c r="A372" s="2">
        <v>45828</v>
      </c>
      <c r="B372">
        <v>1268.45</v>
      </c>
    </row>
    <row r="373" spans="1:2" x14ac:dyDescent="0.25">
      <c r="A373" s="2">
        <v>45831</v>
      </c>
      <c r="B373">
        <v>1298.68</v>
      </c>
    </row>
    <row r="374" spans="1:2" x14ac:dyDescent="0.25">
      <c r="A374" s="2">
        <v>45832</v>
      </c>
      <c r="B374">
        <v>1320.43</v>
      </c>
    </row>
    <row r="375" spans="1:2" x14ac:dyDescent="0.25">
      <c r="A375" s="2">
        <v>45833</v>
      </c>
      <c r="B375">
        <v>1359.26</v>
      </c>
    </row>
    <row r="376" spans="1:2" x14ac:dyDescent="0.25">
      <c r="A376" s="2">
        <v>45834</v>
      </c>
      <c r="B376">
        <v>1421.41</v>
      </c>
    </row>
    <row r="377" spans="1:2" x14ac:dyDescent="0.25">
      <c r="A377" s="2">
        <v>45835</v>
      </c>
      <c r="B377">
        <v>1342.51</v>
      </c>
    </row>
    <row r="378" spans="1:2" x14ac:dyDescent="0.25">
      <c r="A378" s="2">
        <v>45838</v>
      </c>
      <c r="B378">
        <v>1357.03</v>
      </c>
    </row>
    <row r="379" spans="1:2" x14ac:dyDescent="0.25">
      <c r="A379" s="2">
        <v>45839</v>
      </c>
      <c r="B379">
        <v>1355</v>
      </c>
    </row>
    <row r="380" spans="1:2" x14ac:dyDescent="0.25">
      <c r="A380" s="2">
        <v>45840</v>
      </c>
      <c r="B380">
        <v>1423.51</v>
      </c>
    </row>
    <row r="381" spans="1:2" x14ac:dyDescent="0.25">
      <c r="A381" s="2">
        <v>45841</v>
      </c>
      <c r="B381">
        <v>1372</v>
      </c>
    </row>
    <row r="382" spans="1:2" x14ac:dyDescent="0.25">
      <c r="A382" s="2">
        <v>45842</v>
      </c>
      <c r="B382">
        <v>1396.12</v>
      </c>
    </row>
    <row r="383" spans="1:2" x14ac:dyDescent="0.25">
      <c r="A383" s="2">
        <v>45845</v>
      </c>
      <c r="B383">
        <v>1375</v>
      </c>
    </row>
    <row r="384" spans="1:2" x14ac:dyDescent="0.25">
      <c r="A384" s="2">
        <v>45846</v>
      </c>
      <c r="B384">
        <v>1362</v>
      </c>
    </row>
    <row r="385" spans="1:2" x14ac:dyDescent="0.25">
      <c r="A385" s="2">
        <v>45847</v>
      </c>
      <c r="B385">
        <v>1352.11</v>
      </c>
    </row>
    <row r="386" spans="1:2" x14ac:dyDescent="0.25">
      <c r="A386" s="2">
        <v>45848</v>
      </c>
      <c r="B386">
        <v>1365.49</v>
      </c>
    </row>
    <row r="387" spans="1:2" x14ac:dyDescent="0.25">
      <c r="A387" s="2">
        <v>45849</v>
      </c>
      <c r="B387">
        <v>1403.03</v>
      </c>
    </row>
    <row r="388" spans="1:2" x14ac:dyDescent="0.25">
      <c r="A388" s="2">
        <v>45852</v>
      </c>
      <c r="B388">
        <v>1367.6</v>
      </c>
    </row>
    <row r="389" spans="1:2" x14ac:dyDescent="0.25">
      <c r="A389" s="2">
        <v>45853</v>
      </c>
      <c r="B389">
        <v>1376</v>
      </c>
    </row>
    <row r="390" spans="1:2" x14ac:dyDescent="0.25">
      <c r="A390" s="2">
        <v>45854</v>
      </c>
      <c r="B390">
        <v>1420.3</v>
      </c>
    </row>
    <row r="391" spans="1:2" x14ac:dyDescent="0.25">
      <c r="A391" s="2">
        <v>45855</v>
      </c>
      <c r="B391">
        <v>1462.5</v>
      </c>
    </row>
    <row r="392" spans="1:2" x14ac:dyDescent="0.25">
      <c r="A392" s="2">
        <v>45856</v>
      </c>
      <c r="B392">
        <v>1425.29</v>
      </c>
    </row>
    <row r="393" spans="1:2" x14ac:dyDescent="0.25">
      <c r="A393" s="2">
        <v>45859</v>
      </c>
      <c r="B393">
        <v>1443.16</v>
      </c>
    </row>
    <row r="394" spans="1:2" x14ac:dyDescent="0.25">
      <c r="A394" s="2">
        <v>45860</v>
      </c>
      <c r="B394">
        <v>1446.79</v>
      </c>
    </row>
    <row r="395" spans="1:2" x14ac:dyDescent="0.25">
      <c r="A395" s="2">
        <v>45861</v>
      </c>
      <c r="B395">
        <v>1416.02</v>
      </c>
    </row>
    <row r="396" spans="1:2" x14ac:dyDescent="0.25">
      <c r="A396" s="2">
        <v>45862</v>
      </c>
      <c r="B396">
        <v>1412.29</v>
      </c>
    </row>
    <row r="397" spans="1:2" x14ac:dyDescent="0.25">
      <c r="A397" s="2">
        <v>45863</v>
      </c>
      <c r="B397">
        <v>1406</v>
      </c>
    </row>
    <row r="398" spans="1:2" x14ac:dyDescent="0.25">
      <c r="A398" s="2">
        <v>45866</v>
      </c>
      <c r="B398">
        <v>1394</v>
      </c>
    </row>
    <row r="399" spans="1:2" x14ac:dyDescent="0.25">
      <c r="A399" s="2">
        <v>45867</v>
      </c>
      <c r="B399">
        <v>1399</v>
      </c>
    </row>
    <row r="400" spans="1:2" x14ac:dyDescent="0.25">
      <c r="A400" s="2">
        <v>45868</v>
      </c>
      <c r="B400">
        <v>1317</v>
      </c>
    </row>
    <row r="401" spans="1:2" x14ac:dyDescent="0.25">
      <c r="A401" s="2">
        <v>45869</v>
      </c>
      <c r="B401">
        <v>1293</v>
      </c>
    </row>
    <row r="402" spans="1:2" x14ac:dyDescent="0.25">
      <c r="A402" s="2">
        <v>45870</v>
      </c>
      <c r="B402">
        <v>1318.5</v>
      </c>
    </row>
    <row r="403" spans="1:2" x14ac:dyDescent="0.25">
      <c r="A403" s="2">
        <v>45873</v>
      </c>
      <c r="B403">
        <v>1333</v>
      </c>
    </row>
    <row r="404" spans="1:2" x14ac:dyDescent="0.25">
      <c r="A404" s="2">
        <v>45874</v>
      </c>
      <c r="B404">
        <v>1324.5</v>
      </c>
    </row>
    <row r="405" spans="1:2" x14ac:dyDescent="0.25">
      <c r="A405" s="2">
        <v>45875</v>
      </c>
      <c r="B405">
        <v>1337.85</v>
      </c>
    </row>
    <row r="406" spans="1:2" x14ac:dyDescent="0.25">
      <c r="A406" s="2">
        <v>45876</v>
      </c>
      <c r="B406">
        <v>1338</v>
      </c>
    </row>
    <row r="407" spans="1:2" x14ac:dyDescent="0.25">
      <c r="A407" s="2">
        <v>45877</v>
      </c>
      <c r="B407">
        <v>1335.5</v>
      </c>
    </row>
    <row r="408" spans="1:2" x14ac:dyDescent="0.25">
      <c r="A408" s="2">
        <v>45880</v>
      </c>
      <c r="B408">
        <v>1331.44</v>
      </c>
    </row>
    <row r="409" spans="1:2" x14ac:dyDescent="0.25">
      <c r="A409" s="2">
        <v>45881</v>
      </c>
      <c r="B409">
        <v>1340.79</v>
      </c>
    </row>
    <row r="410" spans="1:2" x14ac:dyDescent="0.25">
      <c r="A410" s="2">
        <v>45882</v>
      </c>
      <c r="B410">
        <v>1343</v>
      </c>
    </row>
    <row r="411" spans="1:2" x14ac:dyDescent="0.25">
      <c r="A411" s="2">
        <v>45883</v>
      </c>
      <c r="B411">
        <v>1361.05</v>
      </c>
    </row>
    <row r="412" spans="1:2" x14ac:dyDescent="0.25">
      <c r="A412" s="2">
        <v>45884</v>
      </c>
      <c r="B412">
        <v>1339</v>
      </c>
    </row>
    <row r="413" spans="1:2" x14ac:dyDescent="0.25">
      <c r="A413" s="2">
        <v>45887</v>
      </c>
      <c r="B413">
        <v>1327</v>
      </c>
    </row>
    <row r="414" spans="1:2" x14ac:dyDescent="0.25">
      <c r="A414" s="2">
        <v>45888</v>
      </c>
      <c r="B414">
        <v>1310</v>
      </c>
    </row>
    <row r="415" spans="1:2" x14ac:dyDescent="0.25">
      <c r="A415" s="2">
        <v>45889</v>
      </c>
      <c r="B415">
        <v>1343.5</v>
      </c>
    </row>
    <row r="416" spans="1:2" x14ac:dyDescent="0.25">
      <c r="A416" s="2">
        <v>45890</v>
      </c>
      <c r="B416">
        <v>1357.5</v>
      </c>
    </row>
    <row r="417" spans="1:2" x14ac:dyDescent="0.25">
      <c r="A417" s="2">
        <v>45891</v>
      </c>
      <c r="B417">
        <v>1364.78</v>
      </c>
    </row>
    <row r="418" spans="1:2" x14ac:dyDescent="0.25">
      <c r="A418" s="2">
        <v>45894</v>
      </c>
      <c r="B418">
        <v>1346</v>
      </c>
    </row>
    <row r="419" spans="1:2" x14ac:dyDescent="0.25">
      <c r="A419" s="2">
        <v>45895</v>
      </c>
      <c r="B419">
        <v>1352.5</v>
      </c>
    </row>
    <row r="420" spans="1:2" x14ac:dyDescent="0.25">
      <c r="A420" s="2">
        <v>45896</v>
      </c>
      <c r="B420">
        <v>1351</v>
      </c>
    </row>
    <row r="421" spans="1:2" x14ac:dyDescent="0.25">
      <c r="A421" s="2">
        <v>45897</v>
      </c>
      <c r="B421">
        <v>1363.44</v>
      </c>
    </row>
    <row r="422" spans="1:2" x14ac:dyDescent="0.25">
      <c r="A422" s="2">
        <v>45898</v>
      </c>
      <c r="B422">
        <v>1367.91</v>
      </c>
    </row>
    <row r="423" spans="1:2" x14ac:dyDescent="0.25">
      <c r="A423" s="2">
        <v>45901</v>
      </c>
      <c r="B423">
        <v>1404</v>
      </c>
    </row>
    <row r="424" spans="1:2" x14ac:dyDescent="0.25">
      <c r="A424" s="2">
        <v>45902</v>
      </c>
      <c r="B424">
        <v>1407</v>
      </c>
    </row>
    <row r="425" spans="1:2" x14ac:dyDescent="0.25">
      <c r="A425" s="2">
        <v>45903</v>
      </c>
      <c r="B425">
        <v>1425</v>
      </c>
    </row>
    <row r="426" spans="1:2" x14ac:dyDescent="0.25">
      <c r="A426" s="2">
        <v>45904</v>
      </c>
      <c r="B426">
        <v>1371.5</v>
      </c>
    </row>
    <row r="427" spans="1:2" x14ac:dyDescent="0.25">
      <c r="A427" s="2">
        <v>45905</v>
      </c>
      <c r="B427">
        <v>1376.35</v>
      </c>
    </row>
    <row r="428" spans="1:2" x14ac:dyDescent="0.25">
      <c r="A428" s="2">
        <v>45908</v>
      </c>
      <c r="B428">
        <v>1387.19</v>
      </c>
    </row>
    <row r="429" spans="1:2" x14ac:dyDescent="0.25">
      <c r="A429" s="2">
        <v>45909</v>
      </c>
      <c r="B429">
        <v>1372</v>
      </c>
    </row>
    <row r="430" spans="1:2" x14ac:dyDescent="0.25">
      <c r="A430" s="2">
        <v>45910</v>
      </c>
      <c r="B430">
        <v>1390</v>
      </c>
    </row>
    <row r="431" spans="1:2" x14ac:dyDescent="0.25">
      <c r="A431" s="2">
        <v>45911</v>
      </c>
      <c r="B431">
        <v>1382.6</v>
      </c>
    </row>
    <row r="432" spans="1:2" x14ac:dyDescent="0.25">
      <c r="A432" s="2">
        <v>45912</v>
      </c>
      <c r="B432">
        <v>1394.55</v>
      </c>
    </row>
    <row r="433" spans="1:2" x14ac:dyDescent="0.25">
      <c r="A433" s="2">
        <v>45915</v>
      </c>
      <c r="B433">
        <v>1405</v>
      </c>
    </row>
    <row r="434" spans="1:2" x14ac:dyDescent="0.25">
      <c r="A434" s="2">
        <v>45916</v>
      </c>
      <c r="B434">
        <v>1394.5</v>
      </c>
    </row>
    <row r="435" spans="1:2" x14ac:dyDescent="0.25">
      <c r="A435" s="2">
        <v>45917</v>
      </c>
      <c r="B435">
        <v>1367.28</v>
      </c>
    </row>
    <row r="436" spans="1:2" x14ac:dyDescent="0.25">
      <c r="A436" s="2">
        <v>45918</v>
      </c>
      <c r="B436">
        <v>1388</v>
      </c>
    </row>
    <row r="437" spans="1:2" x14ac:dyDescent="0.25">
      <c r="A437" s="2">
        <v>45919</v>
      </c>
      <c r="B437">
        <v>1408.09</v>
      </c>
    </row>
    <row r="438" spans="1:2" x14ac:dyDescent="0.25">
      <c r="A438" s="2">
        <v>45922</v>
      </c>
      <c r="B438">
        <v>1420.91</v>
      </c>
    </row>
    <row r="439" spans="1:2" x14ac:dyDescent="0.25">
      <c r="A439" s="2">
        <v>45923</v>
      </c>
      <c r="B439">
        <v>1482.11</v>
      </c>
    </row>
    <row r="440" spans="1:2" x14ac:dyDescent="0.25">
      <c r="A440" s="2">
        <v>45924</v>
      </c>
      <c r="B440">
        <v>1476</v>
      </c>
    </row>
    <row r="441" spans="1:2" x14ac:dyDescent="0.25">
      <c r="A441" s="2">
        <v>45925</v>
      </c>
      <c r="B441">
        <v>1533.51</v>
      </c>
    </row>
    <row r="442" spans="1:2" x14ac:dyDescent="0.25">
      <c r="A442" s="2">
        <v>45926</v>
      </c>
      <c r="B442">
        <v>1571.55</v>
      </c>
    </row>
    <row r="443" spans="1:2" x14ac:dyDescent="0.25">
      <c r="A443" s="2">
        <v>45929</v>
      </c>
      <c r="B443">
        <v>1605.17</v>
      </c>
    </row>
    <row r="444" spans="1:2" x14ac:dyDescent="0.25">
      <c r="A444" s="2">
        <v>45930</v>
      </c>
      <c r="B444">
        <v>1577.77</v>
      </c>
    </row>
    <row r="445" spans="1:2" x14ac:dyDescent="0.25">
      <c r="A445" s="2">
        <v>45931</v>
      </c>
      <c r="B445">
        <v>1560.5</v>
      </c>
    </row>
    <row r="446" spans="1:2" x14ac:dyDescent="0.25">
      <c r="A446" s="2">
        <v>45932</v>
      </c>
      <c r="B446">
        <v>1573.13</v>
      </c>
    </row>
    <row r="447" spans="1:2" x14ac:dyDescent="0.25">
      <c r="A447" s="2">
        <v>45933</v>
      </c>
      <c r="B447">
        <v>1608.6</v>
      </c>
    </row>
    <row r="448" spans="1:2" x14ac:dyDescent="0.25">
      <c r="A448" s="2">
        <v>45936</v>
      </c>
      <c r="B448">
        <v>1629.5</v>
      </c>
    </row>
    <row r="449" spans="1:2" x14ac:dyDescent="0.25">
      <c r="A449" s="2">
        <v>45937</v>
      </c>
      <c r="B449">
        <v>1622</v>
      </c>
    </row>
    <row r="450" spans="1:2" x14ac:dyDescent="0.25">
      <c r="A450" s="2">
        <v>45938</v>
      </c>
      <c r="B450">
        <v>1666.7</v>
      </c>
    </row>
    <row r="451" spans="1:2" x14ac:dyDescent="0.25">
      <c r="A451" s="2">
        <v>45939</v>
      </c>
      <c r="B451">
        <v>1622.5</v>
      </c>
    </row>
    <row r="452" spans="1:2" x14ac:dyDescent="0.25">
      <c r="A452" s="2">
        <v>45940</v>
      </c>
      <c r="B452">
        <v>1590.95</v>
      </c>
    </row>
    <row r="453" spans="1:2" x14ac:dyDescent="0.25">
      <c r="A453" s="2">
        <v>45943</v>
      </c>
      <c r="B453">
        <v>1649.51</v>
      </c>
    </row>
    <row r="454" spans="1:2" x14ac:dyDescent="0.25">
      <c r="A454" s="2">
        <v>45944</v>
      </c>
      <c r="B454">
        <v>1641.81</v>
      </c>
    </row>
    <row r="455" spans="1:2" x14ac:dyDescent="0.25">
      <c r="A455" s="2">
        <v>45945</v>
      </c>
      <c r="B455">
        <v>1658</v>
      </c>
    </row>
    <row r="456" spans="1:2" x14ac:dyDescent="0.25">
      <c r="A456" s="2">
        <v>45946</v>
      </c>
      <c r="B456">
        <v>1717.5</v>
      </c>
    </row>
    <row r="457" spans="1:2" x14ac:dyDescent="0.25">
      <c r="A457" s="2">
        <v>45947</v>
      </c>
      <c r="B457">
        <v>1613.6</v>
      </c>
    </row>
    <row r="458" spans="1:2" x14ac:dyDescent="0.25">
      <c r="A458" s="2">
        <v>45950</v>
      </c>
      <c r="B458">
        <v>1642.4</v>
      </c>
    </row>
    <row r="459" spans="1:2" x14ac:dyDescent="0.25">
      <c r="A459" s="2">
        <v>45951</v>
      </c>
      <c r="B459">
        <v>1556</v>
      </c>
    </row>
    <row r="460" spans="1:2" x14ac:dyDescent="0.25">
      <c r="A460" s="2">
        <v>45952</v>
      </c>
      <c r="B460">
        <v>1627.85</v>
      </c>
    </row>
    <row r="461" spans="1:2" x14ac:dyDescent="0.25">
      <c r="A461" s="2">
        <v>45953</v>
      </c>
      <c r="B461">
        <v>1629.5</v>
      </c>
    </row>
    <row r="462" spans="1:2" x14ac:dyDescent="0.25">
      <c r="A462" s="2">
        <v>45954</v>
      </c>
      <c r="B462">
        <v>1609.8</v>
      </c>
    </row>
    <row r="463" spans="1:2" x14ac:dyDescent="0.25">
      <c r="A463" s="2">
        <v>45957</v>
      </c>
      <c r="B463">
        <v>1594.5</v>
      </c>
    </row>
    <row r="464" spans="1:2" x14ac:dyDescent="0.25">
      <c r="A464" s="2">
        <v>45958</v>
      </c>
      <c r="B464">
        <v>1590</v>
      </c>
    </row>
    <row r="465" spans="1:2" x14ac:dyDescent="0.25">
      <c r="A465" s="2">
        <v>45959</v>
      </c>
      <c r="B465">
        <v>1589</v>
      </c>
    </row>
    <row r="466" spans="1:2" x14ac:dyDescent="0.25">
      <c r="A466" s="2">
        <v>45960</v>
      </c>
      <c r="B466">
        <v>1614.5</v>
      </c>
    </row>
    <row r="467" spans="1:2" x14ac:dyDescent="0.25">
      <c r="A467" s="2">
        <v>45961</v>
      </c>
      <c r="B467">
        <v>1572.1</v>
      </c>
    </row>
    <row r="468" spans="1:2" x14ac:dyDescent="0.25">
      <c r="A468" s="2">
        <v>45964</v>
      </c>
      <c r="B468">
        <v>1568.55</v>
      </c>
    </row>
    <row r="469" spans="1:2" x14ac:dyDescent="0.25">
      <c r="A469" s="2">
        <v>45965</v>
      </c>
      <c r="B469">
        <v>1538.55</v>
      </c>
    </row>
    <row r="470" spans="1:2" x14ac:dyDescent="0.25">
      <c r="A470" s="2">
        <v>45966</v>
      </c>
      <c r="B470">
        <v>1567.05</v>
      </c>
    </row>
    <row r="471" spans="1:2" x14ac:dyDescent="0.25">
      <c r="A471" s="2">
        <v>45967</v>
      </c>
      <c r="B471">
        <v>1544.8</v>
      </c>
    </row>
    <row r="472" spans="1:2" x14ac:dyDescent="0.25">
      <c r="A472" s="2">
        <v>45968</v>
      </c>
      <c r="B472">
        <v>1550.4</v>
      </c>
    </row>
    <row r="473" spans="1:2" x14ac:dyDescent="0.25">
      <c r="A473" s="2">
        <v>45971</v>
      </c>
      <c r="B473">
        <v>1582.8</v>
      </c>
    </row>
    <row r="474" spans="1:2" x14ac:dyDescent="0.25">
      <c r="A474" s="2">
        <v>45972</v>
      </c>
      <c r="B474">
        <v>1589.15</v>
      </c>
    </row>
    <row r="475" spans="1:2" x14ac:dyDescent="0.25">
      <c r="A475" s="2">
        <v>45973</v>
      </c>
      <c r="B475">
        <v>1620.35</v>
      </c>
    </row>
    <row r="476" spans="1:2" x14ac:dyDescent="0.25">
      <c r="A476" s="2">
        <v>45974</v>
      </c>
      <c r="B476">
        <v>1583.6</v>
      </c>
    </row>
    <row r="477" spans="1:2" x14ac:dyDescent="0.25">
      <c r="A477" s="2">
        <v>45975</v>
      </c>
      <c r="B477">
        <v>1546.2</v>
      </c>
    </row>
    <row r="478" spans="1:2" x14ac:dyDescent="0.25">
      <c r="A478" s="2">
        <v>45978</v>
      </c>
      <c r="B478">
        <v>1538.9</v>
      </c>
    </row>
    <row r="479" spans="1:2" x14ac:dyDescent="0.25">
      <c r="A479" s="2">
        <v>45979</v>
      </c>
      <c r="B479">
        <v>1538.82</v>
      </c>
    </row>
    <row r="480" spans="1:2" x14ac:dyDescent="0.25">
      <c r="A480" s="2">
        <v>45980</v>
      </c>
      <c r="B480">
        <v>1551.55</v>
      </c>
    </row>
    <row r="481" spans="1:2" x14ac:dyDescent="0.25">
      <c r="A481" s="2">
        <v>45981</v>
      </c>
      <c r="B481">
        <v>1516.8</v>
      </c>
    </row>
    <row r="482" spans="1:2" x14ac:dyDescent="0.25">
      <c r="A482" s="2">
        <v>45982</v>
      </c>
      <c r="B482">
        <v>1515.45</v>
      </c>
    </row>
    <row r="483" spans="1:2" x14ac:dyDescent="0.25">
      <c r="A483" s="2">
        <v>45985</v>
      </c>
      <c r="B483">
        <v>1547.3</v>
      </c>
    </row>
    <row r="484" spans="1:2" x14ac:dyDescent="0.25">
      <c r="A484" s="2">
        <v>45986</v>
      </c>
      <c r="B484">
        <v>1557.35</v>
      </c>
    </row>
    <row r="485" spans="1:2" x14ac:dyDescent="0.25">
      <c r="A485" s="2">
        <v>45987</v>
      </c>
      <c r="B485">
        <v>1592.38</v>
      </c>
    </row>
    <row r="486" spans="1:2" x14ac:dyDescent="0.25">
      <c r="A486" s="2">
        <v>45988</v>
      </c>
      <c r="B486">
        <v>1610.52</v>
      </c>
    </row>
    <row r="487" spans="1:2" x14ac:dyDescent="0.25">
      <c r="A487" s="2">
        <v>45989</v>
      </c>
      <c r="B487">
        <v>1675</v>
      </c>
    </row>
    <row r="488" spans="1:2" x14ac:dyDescent="0.25">
      <c r="A488" s="2">
        <v>45992</v>
      </c>
      <c r="B488">
        <v>1660.9</v>
      </c>
    </row>
    <row r="489" spans="1:2" x14ac:dyDescent="0.25">
      <c r="A489" s="2">
        <v>45993</v>
      </c>
      <c r="B489">
        <v>1642.1</v>
      </c>
    </row>
    <row r="490" spans="1:2" x14ac:dyDescent="0.25">
      <c r="A490" s="2">
        <v>45994</v>
      </c>
      <c r="B490">
        <v>1675.25</v>
      </c>
    </row>
    <row r="491" spans="1:2" x14ac:dyDescent="0.25">
      <c r="A491" s="2">
        <v>45995</v>
      </c>
      <c r="B491">
        <v>1651.25</v>
      </c>
    </row>
    <row r="492" spans="1:2" x14ac:dyDescent="0.25">
      <c r="A492" s="2">
        <v>45996</v>
      </c>
      <c r="B492">
        <v>1645.33</v>
      </c>
    </row>
    <row r="493" spans="1:2" x14ac:dyDescent="0.25">
      <c r="A493" s="2">
        <v>45999</v>
      </c>
      <c r="B493">
        <v>1647.5</v>
      </c>
    </row>
    <row r="494" spans="1:2" x14ac:dyDescent="0.25">
      <c r="A494" s="2">
        <v>46000</v>
      </c>
      <c r="B494">
        <v>1695.55</v>
      </c>
    </row>
    <row r="495" spans="1:2" x14ac:dyDescent="0.25">
      <c r="A495" s="2">
        <v>46001</v>
      </c>
      <c r="B495">
        <v>1661.25</v>
      </c>
    </row>
    <row r="496" spans="1:2" x14ac:dyDescent="0.25">
      <c r="A496" s="2">
        <v>46002</v>
      </c>
      <c r="B496">
        <v>1700.65</v>
      </c>
    </row>
    <row r="497" spans="1:2" x14ac:dyDescent="0.25">
      <c r="A497" s="2">
        <v>46003</v>
      </c>
      <c r="B497">
        <v>1750.25</v>
      </c>
    </row>
    <row r="498" spans="1:2" x14ac:dyDescent="0.25">
      <c r="A498" s="2">
        <v>46006</v>
      </c>
      <c r="B498">
        <v>1788.15</v>
      </c>
    </row>
    <row r="499" spans="1:2" x14ac:dyDescent="0.25">
      <c r="A499" s="2">
        <v>46007</v>
      </c>
      <c r="B499">
        <v>1854.75</v>
      </c>
    </row>
    <row r="500" spans="1:2" x14ac:dyDescent="0.25">
      <c r="A500" s="2">
        <v>46008</v>
      </c>
      <c r="B500">
        <v>1903.85</v>
      </c>
    </row>
    <row r="501" spans="1:2" x14ac:dyDescent="0.25">
      <c r="A501" s="2">
        <v>46009</v>
      </c>
      <c r="B501">
        <v>1921.05</v>
      </c>
    </row>
    <row r="502" spans="1:2" x14ac:dyDescent="0.25">
      <c r="A502" s="2">
        <v>46010</v>
      </c>
      <c r="B502">
        <v>1976.85</v>
      </c>
    </row>
    <row r="503" spans="1:2" x14ac:dyDescent="0.25">
      <c r="A503" s="2">
        <v>46013</v>
      </c>
      <c r="B503">
        <v>2125.6</v>
      </c>
    </row>
    <row r="504" spans="1:2" x14ac:dyDescent="0.25">
      <c r="A504" s="2">
        <v>46014</v>
      </c>
      <c r="B504">
        <v>2279.5500000000002</v>
      </c>
    </row>
    <row r="505" spans="1:2" x14ac:dyDescent="0.25">
      <c r="A505" s="2">
        <v>46015</v>
      </c>
      <c r="B505">
        <v>2224.44</v>
      </c>
    </row>
    <row r="506" spans="1:2" x14ac:dyDescent="0.25">
      <c r="A506" s="2">
        <v>46016</v>
      </c>
      <c r="B506">
        <v>2224.44</v>
      </c>
    </row>
    <row r="507" spans="1:2" x14ac:dyDescent="0.25">
      <c r="A507" s="2">
        <v>46017</v>
      </c>
      <c r="B507">
        <v>2455.25</v>
      </c>
    </row>
    <row r="508" spans="1:2" x14ac:dyDescent="0.25">
      <c r="A508" s="2">
        <v>46020</v>
      </c>
      <c r="B508">
        <v>2114.1799999999998</v>
      </c>
    </row>
    <row r="509" spans="1:2" x14ac:dyDescent="0.25">
      <c r="A509" s="2">
        <v>46021</v>
      </c>
      <c r="B509">
        <v>2205.1999999999998</v>
      </c>
    </row>
    <row r="510" spans="1:2" x14ac:dyDescent="0.25">
      <c r="A510" s="2">
        <v>46022</v>
      </c>
      <c r="B510">
        <v>2059.85</v>
      </c>
    </row>
    <row r="511" spans="1:2" x14ac:dyDescent="0.25">
      <c r="A511" s="2">
        <v>46023</v>
      </c>
      <c r="B511">
        <v>2059.85</v>
      </c>
    </row>
    <row r="512" spans="1:2" x14ac:dyDescent="0.25">
      <c r="A512" s="2">
        <v>46024</v>
      </c>
      <c r="B512">
        <v>2148.0500000000002</v>
      </c>
    </row>
    <row r="513" spans="1:2" x14ac:dyDescent="0.25">
      <c r="A513" s="2">
        <v>46027</v>
      </c>
      <c r="B513">
        <v>2276.6999999999998</v>
      </c>
    </row>
    <row r="514" spans="1:2" x14ac:dyDescent="0.25">
      <c r="A514" s="2">
        <v>46028</v>
      </c>
      <c r="B514">
        <v>2447.62</v>
      </c>
    </row>
    <row r="515" spans="1:2" x14ac:dyDescent="0.25">
      <c r="A515" s="2">
        <v>46029</v>
      </c>
      <c r="B515">
        <v>2309.85</v>
      </c>
    </row>
    <row r="516" spans="1:2" x14ac:dyDescent="0.25">
      <c r="A516" s="2">
        <v>46030</v>
      </c>
      <c r="B516">
        <v>2271.6</v>
      </c>
    </row>
    <row r="517" spans="1:2" x14ac:dyDescent="0.25">
      <c r="A517" s="2">
        <v>46031</v>
      </c>
      <c r="B517">
        <v>2278.35</v>
      </c>
    </row>
    <row r="518" spans="1:2" x14ac:dyDescent="0.25">
      <c r="A518" s="2">
        <v>46034</v>
      </c>
      <c r="B518">
        <v>2347.25</v>
      </c>
    </row>
    <row r="519" spans="1:2" x14ac:dyDescent="0.25">
      <c r="A519" s="2">
        <v>46035</v>
      </c>
      <c r="B519">
        <v>2329.75</v>
      </c>
    </row>
    <row r="520" spans="1:2" x14ac:dyDescent="0.25">
      <c r="A520" s="2">
        <v>46036</v>
      </c>
      <c r="B520">
        <v>2388.8000000000002</v>
      </c>
    </row>
    <row r="521" spans="1:2" x14ac:dyDescent="0.25">
      <c r="A521" s="2">
        <v>46037</v>
      </c>
      <c r="B521">
        <v>2415.1</v>
      </c>
    </row>
    <row r="522" spans="1:2" x14ac:dyDescent="0.25">
      <c r="A522" s="2">
        <v>46038</v>
      </c>
      <c r="B522">
        <v>2333.35</v>
      </c>
    </row>
    <row r="523" spans="1:2" x14ac:dyDescent="0.25">
      <c r="A523" s="2">
        <v>46041</v>
      </c>
      <c r="B523">
        <v>2377.04</v>
      </c>
    </row>
    <row r="524" spans="1:2" x14ac:dyDescent="0.25">
      <c r="A524" s="2">
        <v>46042</v>
      </c>
      <c r="B524">
        <v>2466.6</v>
      </c>
    </row>
    <row r="525" spans="1:2" x14ac:dyDescent="0.25">
      <c r="A525" s="2">
        <v>46043</v>
      </c>
      <c r="B525">
        <v>2486.9</v>
      </c>
    </row>
    <row r="526" spans="1:2" x14ac:dyDescent="0.25">
      <c r="A526" s="2">
        <v>46044</v>
      </c>
      <c r="B526">
        <v>2634.7</v>
      </c>
    </row>
    <row r="527" spans="1:2" x14ac:dyDescent="0.25">
      <c r="A527" s="2">
        <v>46045</v>
      </c>
      <c r="B527">
        <v>2772.45</v>
      </c>
    </row>
    <row r="528" spans="1:2" x14ac:dyDescent="0.25">
      <c r="A528" s="2">
        <v>46048</v>
      </c>
      <c r="B528">
        <v>2762.5</v>
      </c>
    </row>
    <row r="529" spans="1:2" x14ac:dyDescent="0.25">
      <c r="A529" s="2">
        <v>46049</v>
      </c>
      <c r="B529">
        <v>2646</v>
      </c>
    </row>
    <row r="530" spans="1:2" x14ac:dyDescent="0.25">
      <c r="A530" s="2">
        <v>46050</v>
      </c>
      <c r="B530">
        <v>2702.25</v>
      </c>
    </row>
  </sheetData>
  <pageMargins left="0.7" right="0.7" top="0.75" bottom="0.75" header="0.3" footer="0.3"/>
  <headerFooter>
    <oddHeader>&amp;L&amp;"Calibri"&amp;12&amp;K000000 Internal&amp;1#_x000D_</oddHeader>
  </headerFooter>
  <customProperties>
    <customPr name="REFI_OFFICE_FUNCTION_DATA" r:id="rId1"/>
  </customProperties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B8524-C561-44A2-8469-93BB4360DA57}">
  <dimension ref="A1:B530"/>
  <sheetViews>
    <sheetView topLeftCell="A480" workbookViewId="0">
      <selection activeCell="B273" sqref="B273:B530"/>
    </sheetView>
  </sheetViews>
  <sheetFormatPr defaultRowHeight="15" x14ac:dyDescent="0.25"/>
  <cols>
    <col min="1" max="1" width="19.42578125" customWidth="1"/>
    <col min="2" max="2" width="13.85546875" customWidth="1"/>
  </cols>
  <sheetData>
    <row r="1" spans="1:2" x14ac:dyDescent="0.25">
      <c r="A1" t="str">
        <f>_xll.DSGRID("PALLUSD","P","-2Y","","Daily","RowHeader=true;ColHeader=true;Heading=true;Code=true;Curn=true;DispSeriesDescription=true;YearlyTSFormat=false;QuarterlyTSFormat=false;MonthlyTSFormat=true")</f>
        <v>Start</v>
      </c>
      <c r="B1" s="2">
        <v>45317</v>
      </c>
    </row>
    <row r="2" spans="1:2" x14ac:dyDescent="0.25">
      <c r="A2" s="1" t="s">
        <v>0</v>
      </c>
      <c r="B2" s="2">
        <v>46050</v>
      </c>
    </row>
    <row r="3" spans="1:2" x14ac:dyDescent="0.25">
      <c r="A3" s="1" t="s">
        <v>1</v>
      </c>
      <c r="B3" s="1" t="s">
        <v>2</v>
      </c>
    </row>
    <row r="4" spans="1:2" x14ac:dyDescent="0.25">
      <c r="A4" s="1" t="s">
        <v>3</v>
      </c>
      <c r="B4" s="1" t="s">
        <v>13</v>
      </c>
    </row>
    <row r="5" spans="1:2" x14ac:dyDescent="0.25">
      <c r="A5" s="1" t="s">
        <v>4</v>
      </c>
      <c r="B5" s="1" t="s">
        <v>14</v>
      </c>
    </row>
    <row r="6" spans="1:2" x14ac:dyDescent="0.25">
      <c r="A6" s="1" t="s">
        <v>5</v>
      </c>
      <c r="B6" s="1" t="s">
        <v>6</v>
      </c>
    </row>
    <row r="7" spans="1:2" x14ac:dyDescent="0.25">
      <c r="A7" s="2">
        <v>45317</v>
      </c>
      <c r="B7">
        <v>958.98</v>
      </c>
    </row>
    <row r="8" spans="1:2" x14ac:dyDescent="0.25">
      <c r="A8" s="2">
        <v>45320</v>
      </c>
      <c r="B8">
        <v>986.09</v>
      </c>
    </row>
    <row r="9" spans="1:2" x14ac:dyDescent="0.25">
      <c r="A9" s="2">
        <v>45321</v>
      </c>
      <c r="B9">
        <v>978.8</v>
      </c>
    </row>
    <row r="10" spans="1:2" x14ac:dyDescent="0.25">
      <c r="A10" s="2">
        <v>45322</v>
      </c>
      <c r="B10">
        <v>980.02</v>
      </c>
    </row>
    <row r="11" spans="1:2" x14ac:dyDescent="0.25">
      <c r="A11" s="2">
        <v>45323</v>
      </c>
      <c r="B11">
        <v>966.37</v>
      </c>
    </row>
    <row r="12" spans="1:2" x14ac:dyDescent="0.25">
      <c r="A12" s="2">
        <v>45324</v>
      </c>
      <c r="B12">
        <v>950.12</v>
      </c>
    </row>
    <row r="13" spans="1:2" x14ac:dyDescent="0.25">
      <c r="A13" s="2">
        <v>45327</v>
      </c>
      <c r="B13">
        <v>952.02</v>
      </c>
    </row>
    <row r="14" spans="1:2" x14ac:dyDescent="0.25">
      <c r="A14" s="2">
        <v>45328</v>
      </c>
      <c r="B14">
        <v>954.4</v>
      </c>
    </row>
    <row r="15" spans="1:2" x14ac:dyDescent="0.25">
      <c r="A15" s="2">
        <v>45329</v>
      </c>
      <c r="B15">
        <v>897.47</v>
      </c>
    </row>
    <row r="16" spans="1:2" x14ac:dyDescent="0.25">
      <c r="A16" s="2">
        <v>45330</v>
      </c>
      <c r="B16">
        <v>890.48</v>
      </c>
    </row>
    <row r="17" spans="1:2" x14ac:dyDescent="0.25">
      <c r="A17" s="2">
        <v>45331</v>
      </c>
      <c r="B17">
        <v>862.59</v>
      </c>
    </row>
    <row r="18" spans="1:2" x14ac:dyDescent="0.25">
      <c r="A18" s="2">
        <v>45334</v>
      </c>
      <c r="B18">
        <v>895.94</v>
      </c>
    </row>
    <row r="19" spans="1:2" x14ac:dyDescent="0.25">
      <c r="A19" s="2">
        <v>45335</v>
      </c>
      <c r="B19">
        <v>867.63</v>
      </c>
    </row>
    <row r="20" spans="1:2" x14ac:dyDescent="0.25">
      <c r="A20" s="2">
        <v>45336</v>
      </c>
      <c r="B20">
        <v>937.21</v>
      </c>
    </row>
    <row r="21" spans="1:2" x14ac:dyDescent="0.25">
      <c r="A21" s="2">
        <v>45337</v>
      </c>
      <c r="B21">
        <v>955.92</v>
      </c>
    </row>
    <row r="22" spans="1:2" x14ac:dyDescent="0.25">
      <c r="A22" s="2">
        <v>45338</v>
      </c>
      <c r="B22">
        <v>953.22</v>
      </c>
    </row>
    <row r="23" spans="1:2" x14ac:dyDescent="0.25">
      <c r="A23" s="2">
        <v>45341</v>
      </c>
      <c r="B23">
        <v>956.74</v>
      </c>
    </row>
    <row r="24" spans="1:2" x14ac:dyDescent="0.25">
      <c r="A24" s="2">
        <v>45342</v>
      </c>
      <c r="B24">
        <v>977.4</v>
      </c>
    </row>
    <row r="25" spans="1:2" x14ac:dyDescent="0.25">
      <c r="A25" s="2">
        <v>45343</v>
      </c>
      <c r="B25">
        <v>953.5</v>
      </c>
    </row>
    <row r="26" spans="1:2" x14ac:dyDescent="0.25">
      <c r="A26" s="2">
        <v>45344</v>
      </c>
      <c r="B26">
        <v>971.68</v>
      </c>
    </row>
    <row r="27" spans="1:2" x14ac:dyDescent="0.25">
      <c r="A27" s="2">
        <v>45345</v>
      </c>
      <c r="B27">
        <v>975.25</v>
      </c>
    </row>
    <row r="28" spans="1:2" x14ac:dyDescent="0.25">
      <c r="A28" s="2">
        <v>45348</v>
      </c>
      <c r="B28">
        <v>954.75</v>
      </c>
    </row>
    <row r="29" spans="1:2" x14ac:dyDescent="0.25">
      <c r="A29" s="2">
        <v>45349</v>
      </c>
      <c r="B29">
        <v>940.25</v>
      </c>
    </row>
    <row r="30" spans="1:2" x14ac:dyDescent="0.25">
      <c r="A30" s="2">
        <v>45350</v>
      </c>
      <c r="B30">
        <v>932.23</v>
      </c>
    </row>
    <row r="31" spans="1:2" x14ac:dyDescent="0.25">
      <c r="A31" s="2">
        <v>45351</v>
      </c>
      <c r="B31">
        <v>944.65</v>
      </c>
    </row>
    <row r="32" spans="1:2" x14ac:dyDescent="0.25">
      <c r="A32" s="2">
        <v>45352</v>
      </c>
      <c r="B32">
        <v>959.01</v>
      </c>
    </row>
    <row r="33" spans="1:2" x14ac:dyDescent="0.25">
      <c r="A33" s="2">
        <v>45355</v>
      </c>
      <c r="B33">
        <v>963.07</v>
      </c>
    </row>
    <row r="34" spans="1:2" x14ac:dyDescent="0.25">
      <c r="A34" s="2">
        <v>45356</v>
      </c>
      <c r="B34">
        <v>951.9</v>
      </c>
    </row>
    <row r="35" spans="1:2" x14ac:dyDescent="0.25">
      <c r="A35" s="2">
        <v>45357</v>
      </c>
      <c r="B35">
        <v>1046</v>
      </c>
    </row>
    <row r="36" spans="1:2" x14ac:dyDescent="0.25">
      <c r="A36" s="2">
        <v>45358</v>
      </c>
      <c r="B36">
        <v>1037.82</v>
      </c>
    </row>
    <row r="37" spans="1:2" x14ac:dyDescent="0.25">
      <c r="A37" s="2">
        <v>45359</v>
      </c>
      <c r="B37">
        <v>1023.75</v>
      </c>
    </row>
    <row r="38" spans="1:2" x14ac:dyDescent="0.25">
      <c r="A38" s="2">
        <v>45362</v>
      </c>
      <c r="B38">
        <v>1035.58</v>
      </c>
    </row>
    <row r="39" spans="1:2" x14ac:dyDescent="0.25">
      <c r="A39" s="2">
        <v>45363</v>
      </c>
      <c r="B39">
        <v>1041</v>
      </c>
    </row>
    <row r="40" spans="1:2" x14ac:dyDescent="0.25">
      <c r="A40" s="2">
        <v>45364</v>
      </c>
      <c r="B40">
        <v>1064.5</v>
      </c>
    </row>
    <row r="41" spans="1:2" x14ac:dyDescent="0.25">
      <c r="A41" s="2">
        <v>45365</v>
      </c>
      <c r="B41">
        <v>1072</v>
      </c>
    </row>
    <row r="42" spans="1:2" x14ac:dyDescent="0.25">
      <c r="A42" s="2">
        <v>45366</v>
      </c>
      <c r="B42">
        <v>1080.51</v>
      </c>
    </row>
    <row r="43" spans="1:2" x14ac:dyDescent="0.25">
      <c r="A43" s="2">
        <v>45369</v>
      </c>
      <c r="B43">
        <v>1035.55</v>
      </c>
    </row>
    <row r="44" spans="1:2" x14ac:dyDescent="0.25">
      <c r="A44" s="2">
        <v>45370</v>
      </c>
      <c r="B44">
        <v>993.53</v>
      </c>
    </row>
    <row r="45" spans="1:2" x14ac:dyDescent="0.25">
      <c r="A45" s="2">
        <v>45371</v>
      </c>
      <c r="B45">
        <v>1025.3599999999999</v>
      </c>
    </row>
    <row r="46" spans="1:2" x14ac:dyDescent="0.25">
      <c r="A46" s="2">
        <v>45372</v>
      </c>
      <c r="B46">
        <v>1013.02</v>
      </c>
    </row>
    <row r="47" spans="1:2" x14ac:dyDescent="0.25">
      <c r="A47" s="2">
        <v>45373</v>
      </c>
      <c r="B47">
        <v>988.5</v>
      </c>
    </row>
    <row r="48" spans="1:2" x14ac:dyDescent="0.25">
      <c r="A48" s="2">
        <v>45376</v>
      </c>
      <c r="B48">
        <v>1007.53</v>
      </c>
    </row>
    <row r="49" spans="1:2" x14ac:dyDescent="0.25">
      <c r="A49" s="2">
        <v>45377</v>
      </c>
      <c r="B49">
        <v>997.06</v>
      </c>
    </row>
    <row r="50" spans="1:2" x14ac:dyDescent="0.25">
      <c r="A50" s="2">
        <v>45378</v>
      </c>
      <c r="B50">
        <v>986.16</v>
      </c>
    </row>
    <row r="51" spans="1:2" x14ac:dyDescent="0.25">
      <c r="A51" s="2">
        <v>45379</v>
      </c>
      <c r="B51">
        <v>1018.39</v>
      </c>
    </row>
    <row r="52" spans="1:2" x14ac:dyDescent="0.25">
      <c r="A52" s="2">
        <v>45380</v>
      </c>
      <c r="B52">
        <v>1018.39</v>
      </c>
    </row>
    <row r="53" spans="1:2" x14ac:dyDescent="0.25">
      <c r="A53" s="2">
        <v>45383</v>
      </c>
      <c r="B53">
        <v>999.1</v>
      </c>
    </row>
    <row r="54" spans="1:2" x14ac:dyDescent="0.25">
      <c r="A54" s="2">
        <v>45384</v>
      </c>
      <c r="B54">
        <v>1006.28</v>
      </c>
    </row>
    <row r="55" spans="1:2" x14ac:dyDescent="0.25">
      <c r="A55" s="2">
        <v>45385</v>
      </c>
      <c r="B55">
        <v>1016.52</v>
      </c>
    </row>
    <row r="56" spans="1:2" x14ac:dyDescent="0.25">
      <c r="A56" s="2">
        <v>45386</v>
      </c>
      <c r="B56">
        <v>1023.55</v>
      </c>
    </row>
    <row r="57" spans="1:2" x14ac:dyDescent="0.25">
      <c r="A57" s="2">
        <v>45387</v>
      </c>
      <c r="B57">
        <v>1007.15</v>
      </c>
    </row>
    <row r="58" spans="1:2" x14ac:dyDescent="0.25">
      <c r="A58" s="2">
        <v>45390</v>
      </c>
      <c r="B58">
        <v>1045.53</v>
      </c>
    </row>
    <row r="59" spans="1:2" x14ac:dyDescent="0.25">
      <c r="A59" s="2">
        <v>45391</v>
      </c>
      <c r="B59">
        <v>1095.46</v>
      </c>
    </row>
    <row r="60" spans="1:2" x14ac:dyDescent="0.25">
      <c r="A60" s="2">
        <v>45392</v>
      </c>
      <c r="B60">
        <v>1053.51</v>
      </c>
    </row>
    <row r="61" spans="1:2" x14ac:dyDescent="0.25">
      <c r="A61" s="2">
        <v>45393</v>
      </c>
      <c r="B61">
        <v>1050</v>
      </c>
    </row>
    <row r="62" spans="1:2" x14ac:dyDescent="0.25">
      <c r="A62" s="2">
        <v>45394</v>
      </c>
      <c r="B62">
        <v>1053.26</v>
      </c>
    </row>
    <row r="63" spans="1:2" x14ac:dyDescent="0.25">
      <c r="A63" s="2">
        <v>45397</v>
      </c>
      <c r="B63">
        <v>1038.03</v>
      </c>
    </row>
    <row r="64" spans="1:2" x14ac:dyDescent="0.25">
      <c r="A64" s="2">
        <v>45398</v>
      </c>
      <c r="B64">
        <v>1017.73</v>
      </c>
    </row>
    <row r="65" spans="1:2" x14ac:dyDescent="0.25">
      <c r="A65" s="2">
        <v>45399</v>
      </c>
      <c r="B65">
        <v>1029.53</v>
      </c>
    </row>
    <row r="66" spans="1:2" x14ac:dyDescent="0.25">
      <c r="A66" s="2">
        <v>45400</v>
      </c>
      <c r="B66">
        <v>1026.71</v>
      </c>
    </row>
    <row r="67" spans="1:2" x14ac:dyDescent="0.25">
      <c r="A67" s="2">
        <v>45401</v>
      </c>
      <c r="B67">
        <v>1030.42</v>
      </c>
    </row>
    <row r="68" spans="1:2" x14ac:dyDescent="0.25">
      <c r="A68" s="2">
        <v>45404</v>
      </c>
      <c r="B68">
        <v>1011.67</v>
      </c>
    </row>
    <row r="69" spans="1:2" x14ac:dyDescent="0.25">
      <c r="A69" s="2">
        <v>45405</v>
      </c>
      <c r="B69">
        <v>1022.02</v>
      </c>
    </row>
    <row r="70" spans="1:2" x14ac:dyDescent="0.25">
      <c r="A70" s="2">
        <v>45406</v>
      </c>
      <c r="B70">
        <v>1003.5</v>
      </c>
    </row>
    <row r="71" spans="1:2" x14ac:dyDescent="0.25">
      <c r="A71" s="2">
        <v>45407</v>
      </c>
      <c r="B71">
        <v>977.05</v>
      </c>
    </row>
    <row r="72" spans="1:2" x14ac:dyDescent="0.25">
      <c r="A72" s="2">
        <v>45408</v>
      </c>
      <c r="B72">
        <v>958.12</v>
      </c>
    </row>
    <row r="73" spans="1:2" x14ac:dyDescent="0.25">
      <c r="A73" s="2">
        <v>45411</v>
      </c>
      <c r="B73">
        <v>977.6</v>
      </c>
    </row>
    <row r="74" spans="1:2" x14ac:dyDescent="0.25">
      <c r="A74" s="2">
        <v>45412</v>
      </c>
      <c r="B74">
        <v>956</v>
      </c>
    </row>
    <row r="75" spans="1:2" x14ac:dyDescent="0.25">
      <c r="A75" s="2">
        <v>45413</v>
      </c>
      <c r="B75">
        <v>951.5</v>
      </c>
    </row>
    <row r="76" spans="1:2" x14ac:dyDescent="0.25">
      <c r="A76" s="2">
        <v>45414</v>
      </c>
      <c r="B76">
        <v>938.29</v>
      </c>
    </row>
    <row r="77" spans="1:2" x14ac:dyDescent="0.25">
      <c r="A77" s="2">
        <v>45415</v>
      </c>
      <c r="B77">
        <v>949.75</v>
      </c>
    </row>
    <row r="78" spans="1:2" x14ac:dyDescent="0.25">
      <c r="A78" s="2">
        <v>45418</v>
      </c>
      <c r="B78">
        <v>981.05</v>
      </c>
    </row>
    <row r="79" spans="1:2" x14ac:dyDescent="0.25">
      <c r="A79" s="2">
        <v>45419</v>
      </c>
      <c r="B79">
        <v>974.04</v>
      </c>
    </row>
    <row r="80" spans="1:2" x14ac:dyDescent="0.25">
      <c r="A80" s="2">
        <v>45420</v>
      </c>
      <c r="B80">
        <v>954.5</v>
      </c>
    </row>
    <row r="81" spans="1:2" x14ac:dyDescent="0.25">
      <c r="A81" s="2">
        <v>45421</v>
      </c>
      <c r="B81">
        <v>969.82</v>
      </c>
    </row>
    <row r="82" spans="1:2" x14ac:dyDescent="0.25">
      <c r="A82" s="2">
        <v>45422</v>
      </c>
      <c r="B82">
        <v>980.5</v>
      </c>
    </row>
    <row r="83" spans="1:2" x14ac:dyDescent="0.25">
      <c r="A83" s="2">
        <v>45425</v>
      </c>
      <c r="B83">
        <v>964.07</v>
      </c>
    </row>
    <row r="84" spans="1:2" x14ac:dyDescent="0.25">
      <c r="A84" s="2">
        <v>45426</v>
      </c>
      <c r="B84">
        <v>980.54</v>
      </c>
    </row>
    <row r="85" spans="1:2" x14ac:dyDescent="0.25">
      <c r="A85" s="2">
        <v>45427</v>
      </c>
      <c r="B85">
        <v>1013.07</v>
      </c>
    </row>
    <row r="86" spans="1:2" x14ac:dyDescent="0.25">
      <c r="A86" s="2">
        <v>45428</v>
      </c>
      <c r="B86">
        <v>996.54</v>
      </c>
    </row>
    <row r="87" spans="1:2" x14ac:dyDescent="0.25">
      <c r="A87" s="2">
        <v>45429</v>
      </c>
      <c r="B87">
        <v>1011.4</v>
      </c>
    </row>
    <row r="88" spans="1:2" x14ac:dyDescent="0.25">
      <c r="A88" s="2">
        <v>45432</v>
      </c>
      <c r="B88">
        <v>1029.53</v>
      </c>
    </row>
    <row r="89" spans="1:2" x14ac:dyDescent="0.25">
      <c r="A89" s="2">
        <v>45433</v>
      </c>
      <c r="B89">
        <v>1028.5</v>
      </c>
    </row>
    <row r="90" spans="1:2" x14ac:dyDescent="0.25">
      <c r="A90" s="2">
        <v>45434</v>
      </c>
      <c r="B90">
        <v>1002</v>
      </c>
    </row>
    <row r="91" spans="1:2" x14ac:dyDescent="0.25">
      <c r="A91" s="2">
        <v>45435</v>
      </c>
      <c r="B91">
        <v>972.03</v>
      </c>
    </row>
    <row r="92" spans="1:2" x14ac:dyDescent="0.25">
      <c r="A92" s="2">
        <v>45436</v>
      </c>
      <c r="B92">
        <v>967.5</v>
      </c>
    </row>
    <row r="93" spans="1:2" x14ac:dyDescent="0.25">
      <c r="A93" s="2">
        <v>45439</v>
      </c>
      <c r="B93">
        <v>993.76</v>
      </c>
    </row>
    <row r="94" spans="1:2" x14ac:dyDescent="0.25">
      <c r="A94" s="2">
        <v>45440</v>
      </c>
      <c r="B94">
        <v>986.29</v>
      </c>
    </row>
    <row r="95" spans="1:2" x14ac:dyDescent="0.25">
      <c r="A95" s="2">
        <v>45441</v>
      </c>
      <c r="B95">
        <v>959</v>
      </c>
    </row>
    <row r="96" spans="1:2" x14ac:dyDescent="0.25">
      <c r="A96" s="2">
        <v>45442</v>
      </c>
      <c r="B96">
        <v>950.58</v>
      </c>
    </row>
    <row r="97" spans="1:2" x14ac:dyDescent="0.25">
      <c r="A97" s="2">
        <v>45443</v>
      </c>
      <c r="B97">
        <v>916.76</v>
      </c>
    </row>
    <row r="98" spans="1:2" x14ac:dyDescent="0.25">
      <c r="A98" s="2">
        <v>45446</v>
      </c>
      <c r="B98">
        <v>921.54</v>
      </c>
    </row>
    <row r="99" spans="1:2" x14ac:dyDescent="0.25">
      <c r="A99" s="2">
        <v>45447</v>
      </c>
      <c r="B99">
        <v>918.01</v>
      </c>
    </row>
    <row r="100" spans="1:2" x14ac:dyDescent="0.25">
      <c r="A100" s="2">
        <v>45448</v>
      </c>
      <c r="B100">
        <v>934.09</v>
      </c>
    </row>
    <row r="101" spans="1:2" x14ac:dyDescent="0.25">
      <c r="A101" s="2">
        <v>45449</v>
      </c>
      <c r="B101">
        <v>932.53</v>
      </c>
    </row>
    <row r="102" spans="1:2" x14ac:dyDescent="0.25">
      <c r="A102" s="2">
        <v>45450</v>
      </c>
      <c r="B102">
        <v>915.94</v>
      </c>
    </row>
    <row r="103" spans="1:2" x14ac:dyDescent="0.25">
      <c r="A103" s="2">
        <v>45453</v>
      </c>
      <c r="B103">
        <v>906.52</v>
      </c>
    </row>
    <row r="104" spans="1:2" x14ac:dyDescent="0.25">
      <c r="A104" s="2">
        <v>45454</v>
      </c>
      <c r="B104">
        <v>886.5</v>
      </c>
    </row>
    <row r="105" spans="1:2" x14ac:dyDescent="0.25">
      <c r="A105" s="2">
        <v>45455</v>
      </c>
      <c r="B105">
        <v>909</v>
      </c>
    </row>
    <row r="106" spans="1:2" x14ac:dyDescent="0.25">
      <c r="A106" s="2">
        <v>45456</v>
      </c>
      <c r="B106">
        <v>885.52</v>
      </c>
    </row>
    <row r="107" spans="1:2" x14ac:dyDescent="0.25">
      <c r="A107" s="2">
        <v>45457</v>
      </c>
      <c r="B107">
        <v>894.17</v>
      </c>
    </row>
    <row r="108" spans="1:2" x14ac:dyDescent="0.25">
      <c r="A108" s="2">
        <v>45460</v>
      </c>
      <c r="B108">
        <v>892.06</v>
      </c>
    </row>
    <row r="109" spans="1:2" x14ac:dyDescent="0.25">
      <c r="A109" s="2">
        <v>45461</v>
      </c>
      <c r="B109">
        <v>889.51</v>
      </c>
    </row>
    <row r="110" spans="1:2" x14ac:dyDescent="0.25">
      <c r="A110" s="2">
        <v>45462</v>
      </c>
      <c r="B110">
        <v>907.25</v>
      </c>
    </row>
    <row r="111" spans="1:2" x14ac:dyDescent="0.25">
      <c r="A111" s="2">
        <v>45463</v>
      </c>
      <c r="B111">
        <v>926.02</v>
      </c>
    </row>
    <row r="112" spans="1:2" x14ac:dyDescent="0.25">
      <c r="A112" s="2">
        <v>45464</v>
      </c>
      <c r="B112">
        <v>951.5</v>
      </c>
    </row>
    <row r="113" spans="1:2" x14ac:dyDescent="0.25">
      <c r="A113" s="2">
        <v>45467</v>
      </c>
      <c r="B113">
        <v>985.5</v>
      </c>
    </row>
    <row r="114" spans="1:2" x14ac:dyDescent="0.25">
      <c r="A114" s="2">
        <v>45468</v>
      </c>
      <c r="B114">
        <v>951.76</v>
      </c>
    </row>
    <row r="115" spans="1:2" x14ac:dyDescent="0.25">
      <c r="A115" s="2">
        <v>45469</v>
      </c>
      <c r="B115">
        <v>933.92</v>
      </c>
    </row>
    <row r="116" spans="1:2" x14ac:dyDescent="0.25">
      <c r="A116" s="2">
        <v>45470</v>
      </c>
      <c r="B116">
        <v>934.53</v>
      </c>
    </row>
    <row r="117" spans="1:2" x14ac:dyDescent="0.25">
      <c r="A117" s="2">
        <v>45471</v>
      </c>
      <c r="B117">
        <v>975.25</v>
      </c>
    </row>
    <row r="118" spans="1:2" x14ac:dyDescent="0.25">
      <c r="A118" s="2">
        <v>45474</v>
      </c>
      <c r="B118">
        <v>976.57</v>
      </c>
    </row>
    <row r="119" spans="1:2" x14ac:dyDescent="0.25">
      <c r="A119" s="2">
        <v>45475</v>
      </c>
      <c r="B119">
        <v>1024.6099999999999</v>
      </c>
    </row>
    <row r="120" spans="1:2" x14ac:dyDescent="0.25">
      <c r="A120" s="2">
        <v>45476</v>
      </c>
      <c r="B120">
        <v>1033.54</v>
      </c>
    </row>
    <row r="121" spans="1:2" x14ac:dyDescent="0.25">
      <c r="A121" s="2">
        <v>45477</v>
      </c>
      <c r="B121">
        <v>1020</v>
      </c>
    </row>
    <row r="122" spans="1:2" x14ac:dyDescent="0.25">
      <c r="A122" s="2">
        <v>45478</v>
      </c>
      <c r="B122">
        <v>1030.25</v>
      </c>
    </row>
    <row r="123" spans="1:2" x14ac:dyDescent="0.25">
      <c r="A123" s="2">
        <v>45481</v>
      </c>
      <c r="B123">
        <v>1012.5</v>
      </c>
    </row>
    <row r="124" spans="1:2" x14ac:dyDescent="0.25">
      <c r="A124" s="2">
        <v>45482</v>
      </c>
      <c r="B124">
        <v>984.04</v>
      </c>
    </row>
    <row r="125" spans="1:2" x14ac:dyDescent="0.25">
      <c r="A125" s="2">
        <v>45483</v>
      </c>
      <c r="B125">
        <v>989.52</v>
      </c>
    </row>
    <row r="126" spans="1:2" x14ac:dyDescent="0.25">
      <c r="A126" s="2">
        <v>45484</v>
      </c>
      <c r="B126">
        <v>998.02</v>
      </c>
    </row>
    <row r="127" spans="1:2" x14ac:dyDescent="0.25">
      <c r="A127" s="2">
        <v>45485</v>
      </c>
      <c r="B127">
        <v>971.88</v>
      </c>
    </row>
    <row r="128" spans="1:2" x14ac:dyDescent="0.25">
      <c r="A128" s="2">
        <v>45488</v>
      </c>
      <c r="B128">
        <v>953.07</v>
      </c>
    </row>
    <row r="129" spans="1:2" x14ac:dyDescent="0.25">
      <c r="A129" s="2">
        <v>45489</v>
      </c>
      <c r="B129">
        <v>961.98</v>
      </c>
    </row>
    <row r="130" spans="1:2" x14ac:dyDescent="0.25">
      <c r="A130" s="2">
        <v>45490</v>
      </c>
      <c r="B130">
        <v>955.03</v>
      </c>
    </row>
    <row r="131" spans="1:2" x14ac:dyDescent="0.25">
      <c r="A131" s="2">
        <v>45491</v>
      </c>
      <c r="B131">
        <v>933.04</v>
      </c>
    </row>
    <row r="132" spans="1:2" x14ac:dyDescent="0.25">
      <c r="A132" s="2">
        <v>45492</v>
      </c>
      <c r="B132">
        <v>908.79</v>
      </c>
    </row>
    <row r="133" spans="1:2" x14ac:dyDescent="0.25">
      <c r="A133" s="2">
        <v>45495</v>
      </c>
      <c r="B133">
        <v>909.5</v>
      </c>
    </row>
    <row r="134" spans="1:2" x14ac:dyDescent="0.25">
      <c r="A134" s="2">
        <v>45496</v>
      </c>
      <c r="B134">
        <v>929.78</v>
      </c>
    </row>
    <row r="135" spans="1:2" x14ac:dyDescent="0.25">
      <c r="A135" s="2">
        <v>45497</v>
      </c>
      <c r="B135">
        <v>935.67</v>
      </c>
    </row>
    <row r="136" spans="1:2" x14ac:dyDescent="0.25">
      <c r="A136" s="2">
        <v>45498</v>
      </c>
      <c r="B136">
        <v>909.51</v>
      </c>
    </row>
    <row r="137" spans="1:2" x14ac:dyDescent="0.25">
      <c r="A137" s="2">
        <v>45499</v>
      </c>
      <c r="B137">
        <v>902.96</v>
      </c>
    </row>
    <row r="138" spans="1:2" x14ac:dyDescent="0.25">
      <c r="A138" s="2">
        <v>45502</v>
      </c>
      <c r="B138">
        <v>907.51</v>
      </c>
    </row>
    <row r="139" spans="1:2" x14ac:dyDescent="0.25">
      <c r="A139" s="2">
        <v>45503</v>
      </c>
      <c r="B139">
        <v>892.75</v>
      </c>
    </row>
    <row r="140" spans="1:2" x14ac:dyDescent="0.25">
      <c r="A140" s="2">
        <v>45504</v>
      </c>
      <c r="B140">
        <v>939.05</v>
      </c>
    </row>
    <row r="141" spans="1:2" x14ac:dyDescent="0.25">
      <c r="A141" s="2">
        <v>45505</v>
      </c>
      <c r="B141">
        <v>909.03</v>
      </c>
    </row>
    <row r="142" spans="1:2" x14ac:dyDescent="0.25">
      <c r="A142" s="2">
        <v>45506</v>
      </c>
      <c r="B142">
        <v>893.75</v>
      </c>
    </row>
    <row r="143" spans="1:2" x14ac:dyDescent="0.25">
      <c r="A143" s="2">
        <v>45509</v>
      </c>
      <c r="B143">
        <v>852.5</v>
      </c>
    </row>
    <row r="144" spans="1:2" x14ac:dyDescent="0.25">
      <c r="A144" s="2">
        <v>45510</v>
      </c>
      <c r="B144">
        <v>878.54</v>
      </c>
    </row>
    <row r="145" spans="1:2" x14ac:dyDescent="0.25">
      <c r="A145" s="2">
        <v>45511</v>
      </c>
      <c r="B145">
        <v>886.28</v>
      </c>
    </row>
    <row r="146" spans="1:2" x14ac:dyDescent="0.25">
      <c r="A146" s="2">
        <v>45512</v>
      </c>
      <c r="B146">
        <v>926.55</v>
      </c>
    </row>
    <row r="147" spans="1:2" x14ac:dyDescent="0.25">
      <c r="A147" s="2">
        <v>45513</v>
      </c>
      <c r="B147">
        <v>908.02</v>
      </c>
    </row>
    <row r="148" spans="1:2" x14ac:dyDescent="0.25">
      <c r="A148" s="2">
        <v>45516</v>
      </c>
      <c r="B148">
        <v>922.65</v>
      </c>
    </row>
    <row r="149" spans="1:2" x14ac:dyDescent="0.25">
      <c r="A149" s="2">
        <v>45517</v>
      </c>
      <c r="B149">
        <v>942.51</v>
      </c>
    </row>
    <row r="150" spans="1:2" x14ac:dyDescent="0.25">
      <c r="A150" s="2">
        <v>45518</v>
      </c>
      <c r="B150">
        <v>938.16</v>
      </c>
    </row>
    <row r="151" spans="1:2" x14ac:dyDescent="0.25">
      <c r="A151" s="2">
        <v>45519</v>
      </c>
      <c r="B151">
        <v>948.03</v>
      </c>
    </row>
    <row r="152" spans="1:2" x14ac:dyDescent="0.25">
      <c r="A152" s="2">
        <v>45520</v>
      </c>
      <c r="B152">
        <v>953.75</v>
      </c>
    </row>
    <row r="153" spans="1:2" x14ac:dyDescent="0.25">
      <c r="A153" s="2">
        <v>45523</v>
      </c>
      <c r="B153">
        <v>935.02</v>
      </c>
    </row>
    <row r="154" spans="1:2" x14ac:dyDescent="0.25">
      <c r="A154" s="2">
        <v>45524</v>
      </c>
      <c r="B154">
        <v>929.05</v>
      </c>
    </row>
    <row r="155" spans="1:2" x14ac:dyDescent="0.25">
      <c r="A155" s="2">
        <v>45525</v>
      </c>
      <c r="B155">
        <v>955.22</v>
      </c>
    </row>
    <row r="156" spans="1:2" x14ac:dyDescent="0.25">
      <c r="A156" s="2">
        <v>45526</v>
      </c>
      <c r="B156">
        <v>935.59</v>
      </c>
    </row>
    <row r="157" spans="1:2" x14ac:dyDescent="0.25">
      <c r="A157" s="2">
        <v>45527</v>
      </c>
      <c r="B157">
        <v>965.5</v>
      </c>
    </row>
    <row r="158" spans="1:2" x14ac:dyDescent="0.25">
      <c r="A158" s="2">
        <v>45530</v>
      </c>
      <c r="B158">
        <v>961.53</v>
      </c>
    </row>
    <row r="159" spans="1:2" x14ac:dyDescent="0.25">
      <c r="A159" s="2">
        <v>45531</v>
      </c>
      <c r="B159">
        <v>973.52</v>
      </c>
    </row>
    <row r="160" spans="1:2" x14ac:dyDescent="0.25">
      <c r="A160" s="2">
        <v>45532</v>
      </c>
      <c r="B160">
        <v>949.01</v>
      </c>
    </row>
    <row r="161" spans="1:2" x14ac:dyDescent="0.25">
      <c r="A161" s="2">
        <v>45533</v>
      </c>
      <c r="B161">
        <v>982.71</v>
      </c>
    </row>
    <row r="162" spans="1:2" x14ac:dyDescent="0.25">
      <c r="A162" s="2">
        <v>45534</v>
      </c>
      <c r="B162">
        <v>968.03</v>
      </c>
    </row>
    <row r="163" spans="1:2" x14ac:dyDescent="0.25">
      <c r="A163" s="2">
        <v>45537</v>
      </c>
      <c r="B163">
        <v>981.25</v>
      </c>
    </row>
    <row r="164" spans="1:2" x14ac:dyDescent="0.25">
      <c r="A164" s="2">
        <v>45538</v>
      </c>
      <c r="B164">
        <v>941.04</v>
      </c>
    </row>
    <row r="165" spans="1:2" x14ac:dyDescent="0.25">
      <c r="A165" s="2">
        <v>45539</v>
      </c>
      <c r="B165">
        <v>937.46</v>
      </c>
    </row>
    <row r="166" spans="1:2" x14ac:dyDescent="0.25">
      <c r="A166" s="2">
        <v>45540</v>
      </c>
      <c r="B166">
        <v>943.65</v>
      </c>
    </row>
    <row r="167" spans="1:2" x14ac:dyDescent="0.25">
      <c r="A167" s="2">
        <v>45541</v>
      </c>
      <c r="B167">
        <v>914.5</v>
      </c>
    </row>
    <row r="168" spans="1:2" x14ac:dyDescent="0.25">
      <c r="A168" s="2">
        <v>45544</v>
      </c>
      <c r="B168">
        <v>950</v>
      </c>
    </row>
    <row r="169" spans="1:2" x14ac:dyDescent="0.25">
      <c r="A169" s="2">
        <v>45545</v>
      </c>
      <c r="B169">
        <v>968.55</v>
      </c>
    </row>
    <row r="170" spans="1:2" x14ac:dyDescent="0.25">
      <c r="A170" s="2">
        <v>45546</v>
      </c>
      <c r="B170">
        <v>1011.11</v>
      </c>
    </row>
    <row r="171" spans="1:2" x14ac:dyDescent="0.25">
      <c r="A171" s="2">
        <v>45547</v>
      </c>
      <c r="B171">
        <v>1049.01</v>
      </c>
    </row>
    <row r="172" spans="1:2" x14ac:dyDescent="0.25">
      <c r="A172" s="2">
        <v>45548</v>
      </c>
      <c r="B172">
        <v>1071.26</v>
      </c>
    </row>
    <row r="173" spans="1:2" x14ac:dyDescent="0.25">
      <c r="A173" s="2">
        <v>45551</v>
      </c>
      <c r="B173">
        <v>1079.25</v>
      </c>
    </row>
    <row r="174" spans="1:2" x14ac:dyDescent="0.25">
      <c r="A174" s="2">
        <v>45552</v>
      </c>
      <c r="B174">
        <v>1119.99</v>
      </c>
    </row>
    <row r="175" spans="1:2" x14ac:dyDescent="0.25">
      <c r="A175" s="2">
        <v>45553</v>
      </c>
      <c r="B175">
        <v>1064.53</v>
      </c>
    </row>
    <row r="176" spans="1:2" x14ac:dyDescent="0.25">
      <c r="A176" s="2">
        <v>45554</v>
      </c>
      <c r="B176">
        <v>1083.22</v>
      </c>
    </row>
    <row r="177" spans="1:2" x14ac:dyDescent="0.25">
      <c r="A177" s="2">
        <v>45555</v>
      </c>
      <c r="B177">
        <v>1070.5</v>
      </c>
    </row>
    <row r="178" spans="1:2" x14ac:dyDescent="0.25">
      <c r="A178" s="2">
        <v>45558</v>
      </c>
      <c r="B178">
        <v>1045.02</v>
      </c>
    </row>
    <row r="179" spans="1:2" x14ac:dyDescent="0.25">
      <c r="A179" s="2">
        <v>45559</v>
      </c>
      <c r="B179">
        <v>1060.05</v>
      </c>
    </row>
    <row r="180" spans="1:2" x14ac:dyDescent="0.25">
      <c r="A180" s="2">
        <v>45560</v>
      </c>
      <c r="B180">
        <v>1040.53</v>
      </c>
    </row>
    <row r="181" spans="1:2" x14ac:dyDescent="0.25">
      <c r="A181" s="2">
        <v>45561</v>
      </c>
      <c r="B181">
        <v>1051.0899999999999</v>
      </c>
    </row>
    <row r="182" spans="1:2" x14ac:dyDescent="0.25">
      <c r="A182" s="2">
        <v>45562</v>
      </c>
      <c r="B182">
        <v>1015.05</v>
      </c>
    </row>
    <row r="183" spans="1:2" x14ac:dyDescent="0.25">
      <c r="A183" s="2">
        <v>45565</v>
      </c>
      <c r="B183">
        <v>1003.05</v>
      </c>
    </row>
    <row r="184" spans="1:2" x14ac:dyDescent="0.25">
      <c r="A184" s="2">
        <v>45566</v>
      </c>
      <c r="B184">
        <v>998.6</v>
      </c>
    </row>
    <row r="185" spans="1:2" x14ac:dyDescent="0.25">
      <c r="A185" s="2">
        <v>45567</v>
      </c>
      <c r="B185">
        <v>1018.55</v>
      </c>
    </row>
    <row r="186" spans="1:2" x14ac:dyDescent="0.25">
      <c r="A186" s="2">
        <v>45568</v>
      </c>
      <c r="B186">
        <v>1002.52</v>
      </c>
    </row>
    <row r="187" spans="1:2" x14ac:dyDescent="0.25">
      <c r="A187" s="2">
        <v>45569</v>
      </c>
      <c r="B187">
        <v>1015.51</v>
      </c>
    </row>
    <row r="188" spans="1:2" x14ac:dyDescent="0.25">
      <c r="A188" s="2">
        <v>45572</v>
      </c>
      <c r="B188">
        <v>1027.93</v>
      </c>
    </row>
    <row r="189" spans="1:2" x14ac:dyDescent="0.25">
      <c r="A189" s="2">
        <v>45573</v>
      </c>
      <c r="B189">
        <v>1025.0899999999999</v>
      </c>
    </row>
    <row r="190" spans="1:2" x14ac:dyDescent="0.25">
      <c r="A190" s="2">
        <v>45574</v>
      </c>
      <c r="B190">
        <v>1043.07</v>
      </c>
    </row>
    <row r="191" spans="1:2" x14ac:dyDescent="0.25">
      <c r="A191" s="2">
        <v>45575</v>
      </c>
      <c r="B191">
        <v>1072.01</v>
      </c>
    </row>
    <row r="192" spans="1:2" x14ac:dyDescent="0.25">
      <c r="A192" s="2">
        <v>45576</v>
      </c>
      <c r="B192">
        <v>1072.6600000000001</v>
      </c>
    </row>
    <row r="193" spans="1:2" x14ac:dyDescent="0.25">
      <c r="A193" s="2">
        <v>45579</v>
      </c>
      <c r="B193">
        <v>1033.71</v>
      </c>
    </row>
    <row r="194" spans="1:2" x14ac:dyDescent="0.25">
      <c r="A194" s="2">
        <v>45580</v>
      </c>
      <c r="B194">
        <v>1012.05</v>
      </c>
    </row>
    <row r="195" spans="1:2" x14ac:dyDescent="0.25">
      <c r="A195" s="2">
        <v>45581</v>
      </c>
      <c r="B195">
        <v>1026.02</v>
      </c>
    </row>
    <row r="196" spans="1:2" x14ac:dyDescent="0.25">
      <c r="A196" s="2">
        <v>45582</v>
      </c>
      <c r="B196">
        <v>1045.56</v>
      </c>
    </row>
    <row r="197" spans="1:2" x14ac:dyDescent="0.25">
      <c r="A197" s="2">
        <v>45583</v>
      </c>
      <c r="B197">
        <v>1083</v>
      </c>
    </row>
    <row r="198" spans="1:2" x14ac:dyDescent="0.25">
      <c r="A198" s="2">
        <v>45586</v>
      </c>
      <c r="B198">
        <v>1054.54</v>
      </c>
    </row>
    <row r="199" spans="1:2" x14ac:dyDescent="0.25">
      <c r="A199" s="2">
        <v>45587</v>
      </c>
      <c r="B199">
        <v>1078.53</v>
      </c>
    </row>
    <row r="200" spans="1:2" x14ac:dyDescent="0.25">
      <c r="A200" s="2">
        <v>45588</v>
      </c>
      <c r="B200">
        <v>1061.51</v>
      </c>
    </row>
    <row r="201" spans="1:2" x14ac:dyDescent="0.25">
      <c r="A201" s="2">
        <v>45589</v>
      </c>
      <c r="B201">
        <v>1160.53</v>
      </c>
    </row>
    <row r="202" spans="1:2" x14ac:dyDescent="0.25">
      <c r="A202" s="2">
        <v>45590</v>
      </c>
      <c r="B202">
        <v>1197.26</v>
      </c>
    </row>
    <row r="203" spans="1:2" x14ac:dyDescent="0.25">
      <c r="A203" s="2">
        <v>45593</v>
      </c>
      <c r="B203">
        <v>1222.02</v>
      </c>
    </row>
    <row r="204" spans="1:2" x14ac:dyDescent="0.25">
      <c r="A204" s="2">
        <v>45594</v>
      </c>
      <c r="B204">
        <v>1225.51</v>
      </c>
    </row>
    <row r="205" spans="1:2" x14ac:dyDescent="0.25">
      <c r="A205" s="2">
        <v>45595</v>
      </c>
      <c r="B205">
        <v>1150.1099999999999</v>
      </c>
    </row>
    <row r="206" spans="1:2" x14ac:dyDescent="0.25">
      <c r="A206" s="2">
        <v>45596</v>
      </c>
      <c r="B206">
        <v>1108.51</v>
      </c>
    </row>
    <row r="207" spans="1:2" x14ac:dyDescent="0.25">
      <c r="A207" s="2">
        <v>45597</v>
      </c>
      <c r="B207">
        <v>1101.5</v>
      </c>
    </row>
    <row r="208" spans="1:2" x14ac:dyDescent="0.25">
      <c r="A208" s="2">
        <v>45600</v>
      </c>
      <c r="B208">
        <v>1078.43</v>
      </c>
    </row>
    <row r="209" spans="1:2" x14ac:dyDescent="0.25">
      <c r="A209" s="2">
        <v>45601</v>
      </c>
      <c r="B209">
        <v>1079.01</v>
      </c>
    </row>
    <row r="210" spans="1:2" x14ac:dyDescent="0.25">
      <c r="A210" s="2">
        <v>45602</v>
      </c>
      <c r="B210">
        <v>1039</v>
      </c>
    </row>
    <row r="211" spans="1:2" x14ac:dyDescent="0.25">
      <c r="A211" s="2">
        <v>45603</v>
      </c>
      <c r="B211">
        <v>1028.3699999999999</v>
      </c>
    </row>
    <row r="212" spans="1:2" x14ac:dyDescent="0.25">
      <c r="A212" s="2">
        <v>45604</v>
      </c>
      <c r="B212">
        <v>992.84</v>
      </c>
    </row>
    <row r="213" spans="1:2" x14ac:dyDescent="0.25">
      <c r="A213" s="2">
        <v>45607</v>
      </c>
      <c r="B213">
        <v>984.75</v>
      </c>
    </row>
    <row r="214" spans="1:2" x14ac:dyDescent="0.25">
      <c r="A214" s="2">
        <v>45608</v>
      </c>
      <c r="B214">
        <v>947.84</v>
      </c>
    </row>
    <row r="215" spans="1:2" x14ac:dyDescent="0.25">
      <c r="A215" s="2">
        <v>45609</v>
      </c>
      <c r="B215">
        <v>937.25</v>
      </c>
    </row>
    <row r="216" spans="1:2" x14ac:dyDescent="0.25">
      <c r="A216" s="2">
        <v>45610</v>
      </c>
      <c r="B216">
        <v>944.69</v>
      </c>
    </row>
    <row r="217" spans="1:2" x14ac:dyDescent="0.25">
      <c r="A217" s="2">
        <v>45611</v>
      </c>
      <c r="B217">
        <v>954.75</v>
      </c>
    </row>
    <row r="218" spans="1:2" x14ac:dyDescent="0.25">
      <c r="A218" s="2">
        <v>45614</v>
      </c>
      <c r="B218">
        <v>1008.75</v>
      </c>
    </row>
    <row r="219" spans="1:2" x14ac:dyDescent="0.25">
      <c r="A219" s="2">
        <v>45615</v>
      </c>
      <c r="B219">
        <v>1039</v>
      </c>
    </row>
    <row r="220" spans="1:2" x14ac:dyDescent="0.25">
      <c r="A220" s="2">
        <v>45616</v>
      </c>
      <c r="B220">
        <v>1024.6199999999999</v>
      </c>
    </row>
    <row r="221" spans="1:2" x14ac:dyDescent="0.25">
      <c r="A221" s="2">
        <v>45617</v>
      </c>
      <c r="B221">
        <v>1032.82</v>
      </c>
    </row>
    <row r="222" spans="1:2" x14ac:dyDescent="0.25">
      <c r="A222" s="2">
        <v>45618</v>
      </c>
      <c r="B222">
        <v>1013.25</v>
      </c>
    </row>
    <row r="223" spans="1:2" x14ac:dyDescent="0.25">
      <c r="A223" s="2">
        <v>45621</v>
      </c>
      <c r="B223">
        <v>977</v>
      </c>
    </row>
    <row r="224" spans="1:2" x14ac:dyDescent="0.25">
      <c r="A224" s="2">
        <v>45622</v>
      </c>
      <c r="B224">
        <v>981.11</v>
      </c>
    </row>
    <row r="225" spans="1:2" x14ac:dyDescent="0.25">
      <c r="A225" s="2">
        <v>45623</v>
      </c>
      <c r="B225">
        <v>976</v>
      </c>
    </row>
    <row r="226" spans="1:2" x14ac:dyDescent="0.25">
      <c r="A226" s="2">
        <v>45624</v>
      </c>
      <c r="B226">
        <v>980.32</v>
      </c>
    </row>
    <row r="227" spans="1:2" x14ac:dyDescent="0.25">
      <c r="A227" s="2">
        <v>45625</v>
      </c>
      <c r="B227">
        <v>983.59</v>
      </c>
    </row>
    <row r="228" spans="1:2" x14ac:dyDescent="0.25">
      <c r="A228" s="2">
        <v>45628</v>
      </c>
      <c r="B228">
        <v>984.84</v>
      </c>
    </row>
    <row r="229" spans="1:2" x14ac:dyDescent="0.25">
      <c r="A229" s="2">
        <v>45629</v>
      </c>
      <c r="B229">
        <v>975.35</v>
      </c>
    </row>
    <row r="230" spans="1:2" x14ac:dyDescent="0.25">
      <c r="A230" s="2">
        <v>45630</v>
      </c>
      <c r="B230">
        <v>981.34</v>
      </c>
    </row>
    <row r="231" spans="1:2" x14ac:dyDescent="0.25">
      <c r="A231" s="2">
        <v>45631</v>
      </c>
      <c r="B231">
        <v>967</v>
      </c>
    </row>
    <row r="232" spans="1:2" x14ac:dyDescent="0.25">
      <c r="A232" s="2">
        <v>45632</v>
      </c>
      <c r="B232">
        <v>959.51</v>
      </c>
    </row>
    <row r="233" spans="1:2" x14ac:dyDescent="0.25">
      <c r="A233" s="2">
        <v>45635</v>
      </c>
      <c r="B233">
        <v>977.5</v>
      </c>
    </row>
    <row r="234" spans="1:2" x14ac:dyDescent="0.25">
      <c r="A234" s="2">
        <v>45636</v>
      </c>
      <c r="B234">
        <v>972</v>
      </c>
    </row>
    <row r="235" spans="1:2" x14ac:dyDescent="0.25">
      <c r="A235" s="2">
        <v>45637</v>
      </c>
      <c r="B235">
        <v>985.28</v>
      </c>
    </row>
    <row r="236" spans="1:2" x14ac:dyDescent="0.25">
      <c r="A236" s="2">
        <v>45638</v>
      </c>
      <c r="B236">
        <v>973.86</v>
      </c>
    </row>
    <row r="237" spans="1:2" x14ac:dyDescent="0.25">
      <c r="A237" s="2">
        <v>45639</v>
      </c>
      <c r="B237">
        <v>956.29</v>
      </c>
    </row>
    <row r="238" spans="1:2" x14ac:dyDescent="0.25">
      <c r="A238" s="2">
        <v>45642</v>
      </c>
      <c r="B238">
        <v>950.72</v>
      </c>
    </row>
    <row r="239" spans="1:2" x14ac:dyDescent="0.25">
      <c r="A239" s="2">
        <v>45643</v>
      </c>
      <c r="B239">
        <v>938.63</v>
      </c>
    </row>
    <row r="240" spans="1:2" x14ac:dyDescent="0.25">
      <c r="A240" s="2">
        <v>45644</v>
      </c>
      <c r="B240">
        <v>906.89</v>
      </c>
    </row>
    <row r="241" spans="1:2" x14ac:dyDescent="0.25">
      <c r="A241" s="2">
        <v>45645</v>
      </c>
      <c r="B241">
        <v>909.9</v>
      </c>
    </row>
    <row r="242" spans="1:2" x14ac:dyDescent="0.25">
      <c r="A242" s="2">
        <v>45646</v>
      </c>
      <c r="B242">
        <v>924.34</v>
      </c>
    </row>
    <row r="243" spans="1:2" x14ac:dyDescent="0.25">
      <c r="A243" s="2">
        <v>45649</v>
      </c>
      <c r="B243">
        <v>933.76</v>
      </c>
    </row>
    <row r="244" spans="1:2" x14ac:dyDescent="0.25">
      <c r="A244" s="2">
        <v>45650</v>
      </c>
      <c r="B244">
        <v>958.52</v>
      </c>
    </row>
    <row r="245" spans="1:2" x14ac:dyDescent="0.25">
      <c r="A245" s="2">
        <v>45651</v>
      </c>
      <c r="B245">
        <v>958.52</v>
      </c>
    </row>
    <row r="246" spans="1:2" x14ac:dyDescent="0.25">
      <c r="A246" s="2">
        <v>45652</v>
      </c>
      <c r="B246">
        <v>928.83</v>
      </c>
    </row>
    <row r="247" spans="1:2" x14ac:dyDescent="0.25">
      <c r="A247" s="2">
        <v>45653</v>
      </c>
      <c r="B247">
        <v>915.52</v>
      </c>
    </row>
    <row r="248" spans="1:2" x14ac:dyDescent="0.25">
      <c r="A248" s="2">
        <v>45656</v>
      </c>
      <c r="B248">
        <v>904.7</v>
      </c>
    </row>
    <row r="249" spans="1:2" x14ac:dyDescent="0.25">
      <c r="A249" s="2">
        <v>45657</v>
      </c>
      <c r="B249">
        <v>914.43</v>
      </c>
    </row>
    <row r="250" spans="1:2" x14ac:dyDescent="0.25">
      <c r="A250" s="2">
        <v>45658</v>
      </c>
      <c r="B250">
        <v>914.43</v>
      </c>
    </row>
    <row r="251" spans="1:2" x14ac:dyDescent="0.25">
      <c r="A251" s="2">
        <v>45659</v>
      </c>
      <c r="B251">
        <v>915.23</v>
      </c>
    </row>
    <row r="252" spans="1:2" x14ac:dyDescent="0.25">
      <c r="A252" s="2">
        <v>45660</v>
      </c>
      <c r="B252">
        <v>926.5</v>
      </c>
    </row>
    <row r="253" spans="1:2" x14ac:dyDescent="0.25">
      <c r="A253" s="2">
        <v>45663</v>
      </c>
      <c r="B253">
        <v>924.46</v>
      </c>
    </row>
    <row r="254" spans="1:2" x14ac:dyDescent="0.25">
      <c r="A254" s="2">
        <v>45664</v>
      </c>
      <c r="B254">
        <v>929.5</v>
      </c>
    </row>
    <row r="255" spans="1:2" x14ac:dyDescent="0.25">
      <c r="A255" s="2">
        <v>45665</v>
      </c>
      <c r="B255">
        <v>932.5</v>
      </c>
    </row>
    <row r="256" spans="1:2" x14ac:dyDescent="0.25">
      <c r="A256" s="2">
        <v>45666</v>
      </c>
      <c r="B256">
        <v>930.17</v>
      </c>
    </row>
    <row r="257" spans="1:2" x14ac:dyDescent="0.25">
      <c r="A257" s="2">
        <v>45667</v>
      </c>
      <c r="B257">
        <v>951.8</v>
      </c>
    </row>
    <row r="258" spans="1:2" x14ac:dyDescent="0.25">
      <c r="A258" s="2">
        <v>45670</v>
      </c>
      <c r="B258">
        <v>942.5</v>
      </c>
    </row>
    <row r="259" spans="1:2" x14ac:dyDescent="0.25">
      <c r="A259" s="2">
        <v>45671</v>
      </c>
      <c r="B259">
        <v>942.93</v>
      </c>
    </row>
    <row r="260" spans="1:2" x14ac:dyDescent="0.25">
      <c r="A260" s="2">
        <v>45672</v>
      </c>
      <c r="B260">
        <v>964.83</v>
      </c>
    </row>
    <row r="261" spans="1:2" x14ac:dyDescent="0.25">
      <c r="A261" s="2">
        <v>45673</v>
      </c>
      <c r="B261">
        <v>944.31</v>
      </c>
    </row>
    <row r="262" spans="1:2" x14ac:dyDescent="0.25">
      <c r="A262" s="2">
        <v>45674</v>
      </c>
      <c r="B262">
        <v>952.5</v>
      </c>
    </row>
    <row r="263" spans="1:2" x14ac:dyDescent="0.25">
      <c r="A263" s="2">
        <v>45677</v>
      </c>
      <c r="B263">
        <v>948.8</v>
      </c>
    </row>
    <row r="264" spans="1:2" x14ac:dyDescent="0.25">
      <c r="A264" s="2">
        <v>45678</v>
      </c>
      <c r="B264">
        <v>960.72</v>
      </c>
    </row>
    <row r="265" spans="1:2" x14ac:dyDescent="0.25">
      <c r="A265" s="2">
        <v>45679</v>
      </c>
      <c r="B265">
        <v>981.27</v>
      </c>
    </row>
    <row r="266" spans="1:2" x14ac:dyDescent="0.25">
      <c r="A266" s="2">
        <v>45680</v>
      </c>
      <c r="B266">
        <v>995.33</v>
      </c>
    </row>
    <row r="267" spans="1:2" x14ac:dyDescent="0.25">
      <c r="A267" s="2">
        <v>45681</v>
      </c>
      <c r="B267">
        <v>993</v>
      </c>
    </row>
    <row r="268" spans="1:2" x14ac:dyDescent="0.25">
      <c r="A268" s="2">
        <v>45684</v>
      </c>
      <c r="B268">
        <v>965.75</v>
      </c>
    </row>
    <row r="269" spans="1:2" x14ac:dyDescent="0.25">
      <c r="A269" s="2">
        <v>45685</v>
      </c>
      <c r="B269">
        <v>960</v>
      </c>
    </row>
    <row r="270" spans="1:2" x14ac:dyDescent="0.25">
      <c r="A270" s="2">
        <v>45686</v>
      </c>
      <c r="B270">
        <v>966.21</v>
      </c>
    </row>
    <row r="271" spans="1:2" x14ac:dyDescent="0.25">
      <c r="A271" s="2">
        <v>45687</v>
      </c>
      <c r="B271">
        <v>992.16</v>
      </c>
    </row>
    <row r="272" spans="1:2" x14ac:dyDescent="0.25">
      <c r="A272" s="2">
        <v>45688</v>
      </c>
      <c r="B272">
        <v>1018.5</v>
      </c>
    </row>
    <row r="273" spans="1:2" x14ac:dyDescent="0.25">
      <c r="A273" s="2">
        <v>45691</v>
      </c>
      <c r="B273">
        <v>1015.5</v>
      </c>
    </row>
    <row r="274" spans="1:2" x14ac:dyDescent="0.25">
      <c r="A274" s="2">
        <v>45692</v>
      </c>
      <c r="B274">
        <v>996.75</v>
      </c>
    </row>
    <row r="275" spans="1:2" x14ac:dyDescent="0.25">
      <c r="A275" s="2">
        <v>45693</v>
      </c>
      <c r="B275">
        <v>995.5</v>
      </c>
    </row>
    <row r="276" spans="1:2" x14ac:dyDescent="0.25">
      <c r="A276" s="2">
        <v>45694</v>
      </c>
      <c r="B276">
        <v>982.51</v>
      </c>
    </row>
    <row r="277" spans="1:2" x14ac:dyDescent="0.25">
      <c r="A277" s="2">
        <v>45695</v>
      </c>
      <c r="B277">
        <v>972.25</v>
      </c>
    </row>
    <row r="278" spans="1:2" x14ac:dyDescent="0.25">
      <c r="A278" s="2">
        <v>45698</v>
      </c>
      <c r="B278">
        <v>985.75</v>
      </c>
    </row>
    <row r="279" spans="1:2" x14ac:dyDescent="0.25">
      <c r="A279" s="2">
        <v>45699</v>
      </c>
      <c r="B279">
        <v>979.75</v>
      </c>
    </row>
    <row r="280" spans="1:2" x14ac:dyDescent="0.25">
      <c r="A280" s="2">
        <v>45700</v>
      </c>
      <c r="B280">
        <v>977.41</v>
      </c>
    </row>
    <row r="281" spans="1:2" x14ac:dyDescent="0.25">
      <c r="A281" s="2">
        <v>45701</v>
      </c>
      <c r="B281">
        <v>999.25</v>
      </c>
    </row>
    <row r="282" spans="1:2" x14ac:dyDescent="0.25">
      <c r="A282" s="2">
        <v>45702</v>
      </c>
      <c r="B282">
        <v>968.75</v>
      </c>
    </row>
    <row r="283" spans="1:2" x14ac:dyDescent="0.25">
      <c r="A283" s="2">
        <v>45705</v>
      </c>
      <c r="B283">
        <v>970</v>
      </c>
    </row>
    <row r="284" spans="1:2" x14ac:dyDescent="0.25">
      <c r="A284" s="2">
        <v>45706</v>
      </c>
      <c r="B284">
        <v>989.5</v>
      </c>
    </row>
    <row r="285" spans="1:2" x14ac:dyDescent="0.25">
      <c r="A285" s="2">
        <v>45707</v>
      </c>
      <c r="B285">
        <v>971.88</v>
      </c>
    </row>
    <row r="286" spans="1:2" x14ac:dyDescent="0.25">
      <c r="A286" s="2">
        <v>45708</v>
      </c>
      <c r="B286">
        <v>981.26</v>
      </c>
    </row>
    <row r="287" spans="1:2" x14ac:dyDescent="0.25">
      <c r="A287" s="2">
        <v>45709</v>
      </c>
      <c r="B287">
        <v>972.09</v>
      </c>
    </row>
    <row r="288" spans="1:2" x14ac:dyDescent="0.25">
      <c r="A288" s="2">
        <v>45712</v>
      </c>
      <c r="B288">
        <v>944.21</v>
      </c>
    </row>
    <row r="289" spans="1:2" x14ac:dyDescent="0.25">
      <c r="A289" s="2">
        <v>45713</v>
      </c>
      <c r="B289">
        <v>931.72</v>
      </c>
    </row>
    <row r="290" spans="1:2" x14ac:dyDescent="0.25">
      <c r="A290" s="2">
        <v>45714</v>
      </c>
      <c r="B290">
        <v>930.31</v>
      </c>
    </row>
    <row r="291" spans="1:2" x14ac:dyDescent="0.25">
      <c r="A291" s="2">
        <v>45715</v>
      </c>
      <c r="B291">
        <v>923.28</v>
      </c>
    </row>
    <row r="292" spans="1:2" x14ac:dyDescent="0.25">
      <c r="A292" s="2">
        <v>45716</v>
      </c>
      <c r="B292">
        <v>923.03</v>
      </c>
    </row>
    <row r="293" spans="1:2" x14ac:dyDescent="0.25">
      <c r="A293" s="2">
        <v>45719</v>
      </c>
      <c r="B293">
        <v>941.72</v>
      </c>
    </row>
    <row r="294" spans="1:2" x14ac:dyDescent="0.25">
      <c r="A294" s="2">
        <v>45720</v>
      </c>
      <c r="B294">
        <v>947</v>
      </c>
    </row>
    <row r="295" spans="1:2" x14ac:dyDescent="0.25">
      <c r="A295" s="2">
        <v>45721</v>
      </c>
      <c r="B295">
        <v>947.5</v>
      </c>
    </row>
    <row r="296" spans="1:2" x14ac:dyDescent="0.25">
      <c r="A296" s="2">
        <v>45722</v>
      </c>
      <c r="B296">
        <v>946.3</v>
      </c>
    </row>
    <row r="297" spans="1:2" x14ac:dyDescent="0.25">
      <c r="A297" s="2">
        <v>45723</v>
      </c>
      <c r="B297">
        <v>952.25</v>
      </c>
    </row>
    <row r="298" spans="1:2" x14ac:dyDescent="0.25">
      <c r="A298" s="2">
        <v>45726</v>
      </c>
      <c r="B298">
        <v>946.93</v>
      </c>
    </row>
    <row r="299" spans="1:2" x14ac:dyDescent="0.25">
      <c r="A299" s="2">
        <v>45727</v>
      </c>
      <c r="B299">
        <v>949.03</v>
      </c>
    </row>
    <row r="300" spans="1:2" x14ac:dyDescent="0.25">
      <c r="A300" s="2">
        <v>45728</v>
      </c>
      <c r="B300">
        <v>952.01</v>
      </c>
    </row>
    <row r="301" spans="1:2" x14ac:dyDescent="0.25">
      <c r="A301" s="2">
        <v>45729</v>
      </c>
      <c r="B301">
        <v>961.04</v>
      </c>
    </row>
    <row r="302" spans="1:2" x14ac:dyDescent="0.25">
      <c r="A302" s="2">
        <v>45730</v>
      </c>
      <c r="B302">
        <v>969.04</v>
      </c>
    </row>
    <row r="303" spans="1:2" x14ac:dyDescent="0.25">
      <c r="A303" s="2">
        <v>45733</v>
      </c>
      <c r="B303">
        <v>968.77</v>
      </c>
    </row>
    <row r="304" spans="1:2" x14ac:dyDescent="0.25">
      <c r="A304" s="2">
        <v>45734</v>
      </c>
      <c r="B304">
        <v>971.09</v>
      </c>
    </row>
    <row r="305" spans="1:2" x14ac:dyDescent="0.25">
      <c r="A305" s="2">
        <v>45735</v>
      </c>
      <c r="B305">
        <v>962.02</v>
      </c>
    </row>
    <row r="306" spans="1:2" x14ac:dyDescent="0.25">
      <c r="A306" s="2">
        <v>45736</v>
      </c>
      <c r="B306">
        <v>955.41</v>
      </c>
    </row>
    <row r="307" spans="1:2" x14ac:dyDescent="0.25">
      <c r="A307" s="2">
        <v>45737</v>
      </c>
      <c r="B307">
        <v>962.01</v>
      </c>
    </row>
    <row r="308" spans="1:2" x14ac:dyDescent="0.25">
      <c r="A308" s="2">
        <v>45740</v>
      </c>
      <c r="B308">
        <v>954.02</v>
      </c>
    </row>
    <row r="309" spans="1:2" x14ac:dyDescent="0.25">
      <c r="A309" s="2">
        <v>45741</v>
      </c>
      <c r="B309">
        <v>959.52</v>
      </c>
    </row>
    <row r="310" spans="1:2" x14ac:dyDescent="0.25">
      <c r="A310" s="2">
        <v>45742</v>
      </c>
      <c r="B310">
        <v>971.57</v>
      </c>
    </row>
    <row r="311" spans="1:2" x14ac:dyDescent="0.25">
      <c r="A311" s="2">
        <v>45743</v>
      </c>
      <c r="B311">
        <v>978.02</v>
      </c>
    </row>
    <row r="312" spans="1:2" x14ac:dyDescent="0.25">
      <c r="A312" s="2">
        <v>45744</v>
      </c>
      <c r="B312">
        <v>975.5</v>
      </c>
    </row>
    <row r="313" spans="1:2" x14ac:dyDescent="0.25">
      <c r="A313" s="2">
        <v>45747</v>
      </c>
      <c r="B313">
        <v>985.54</v>
      </c>
    </row>
    <row r="314" spans="1:2" x14ac:dyDescent="0.25">
      <c r="A314" s="2">
        <v>45748</v>
      </c>
      <c r="B314">
        <v>987</v>
      </c>
    </row>
    <row r="315" spans="1:2" x14ac:dyDescent="0.25">
      <c r="A315" s="2">
        <v>45749</v>
      </c>
      <c r="B315">
        <v>972.56</v>
      </c>
    </row>
    <row r="316" spans="1:2" x14ac:dyDescent="0.25">
      <c r="A316" s="2">
        <v>45750</v>
      </c>
      <c r="B316">
        <v>932.16</v>
      </c>
    </row>
    <row r="317" spans="1:2" x14ac:dyDescent="0.25">
      <c r="A317" s="2">
        <v>45751</v>
      </c>
      <c r="B317">
        <v>915.51</v>
      </c>
    </row>
    <row r="318" spans="1:2" x14ac:dyDescent="0.25">
      <c r="A318" s="2">
        <v>45754</v>
      </c>
      <c r="B318">
        <v>922.63</v>
      </c>
    </row>
    <row r="319" spans="1:2" x14ac:dyDescent="0.25">
      <c r="A319" s="2">
        <v>45755</v>
      </c>
      <c r="B319">
        <v>909.51</v>
      </c>
    </row>
    <row r="320" spans="1:2" x14ac:dyDescent="0.25">
      <c r="A320" s="2">
        <v>45756</v>
      </c>
      <c r="B320">
        <v>935</v>
      </c>
    </row>
    <row r="321" spans="1:2" x14ac:dyDescent="0.25">
      <c r="A321" s="2">
        <v>45757</v>
      </c>
      <c r="B321">
        <v>912.07</v>
      </c>
    </row>
    <row r="322" spans="1:2" x14ac:dyDescent="0.25">
      <c r="A322" s="2">
        <v>45758</v>
      </c>
      <c r="B322">
        <v>919.4</v>
      </c>
    </row>
    <row r="323" spans="1:2" x14ac:dyDescent="0.25">
      <c r="A323" s="2">
        <v>45761</v>
      </c>
      <c r="B323">
        <v>959.55</v>
      </c>
    </row>
    <row r="324" spans="1:2" x14ac:dyDescent="0.25">
      <c r="A324" s="2">
        <v>45762</v>
      </c>
      <c r="B324">
        <v>975.02</v>
      </c>
    </row>
    <row r="325" spans="1:2" x14ac:dyDescent="0.25">
      <c r="A325" s="2">
        <v>45763</v>
      </c>
      <c r="B325">
        <v>974.52</v>
      </c>
    </row>
    <row r="326" spans="1:2" x14ac:dyDescent="0.25">
      <c r="A326" s="2">
        <v>45764</v>
      </c>
      <c r="B326">
        <v>965.03</v>
      </c>
    </row>
    <row r="327" spans="1:2" x14ac:dyDescent="0.25">
      <c r="A327" s="2">
        <v>45765</v>
      </c>
      <c r="B327">
        <v>965.03</v>
      </c>
    </row>
    <row r="328" spans="1:2" x14ac:dyDescent="0.25">
      <c r="A328" s="2">
        <v>45768</v>
      </c>
      <c r="B328">
        <v>930.02</v>
      </c>
    </row>
    <row r="329" spans="1:2" x14ac:dyDescent="0.25">
      <c r="A329" s="2">
        <v>45769</v>
      </c>
      <c r="B329">
        <v>939.73</v>
      </c>
    </row>
    <row r="330" spans="1:2" x14ac:dyDescent="0.25">
      <c r="A330" s="2">
        <v>45770</v>
      </c>
      <c r="B330">
        <v>946.55</v>
      </c>
    </row>
    <row r="331" spans="1:2" x14ac:dyDescent="0.25">
      <c r="A331" s="2">
        <v>45771</v>
      </c>
      <c r="B331">
        <v>956.5</v>
      </c>
    </row>
    <row r="332" spans="1:2" x14ac:dyDescent="0.25">
      <c r="A332" s="2">
        <v>45772</v>
      </c>
      <c r="B332">
        <v>952.54</v>
      </c>
    </row>
    <row r="333" spans="1:2" x14ac:dyDescent="0.25">
      <c r="A333" s="2">
        <v>45775</v>
      </c>
      <c r="B333">
        <v>952.55</v>
      </c>
    </row>
    <row r="334" spans="1:2" x14ac:dyDescent="0.25">
      <c r="A334" s="2">
        <v>45776</v>
      </c>
      <c r="B334">
        <v>938.47</v>
      </c>
    </row>
    <row r="335" spans="1:2" x14ac:dyDescent="0.25">
      <c r="A335" s="2">
        <v>45777</v>
      </c>
      <c r="B335">
        <v>940.52</v>
      </c>
    </row>
    <row r="336" spans="1:2" x14ac:dyDescent="0.25">
      <c r="A336" s="2">
        <v>45778</v>
      </c>
      <c r="B336">
        <v>943.02</v>
      </c>
    </row>
    <row r="337" spans="1:2" x14ac:dyDescent="0.25">
      <c r="A337" s="2">
        <v>45779</v>
      </c>
      <c r="B337">
        <v>956.5</v>
      </c>
    </row>
    <row r="338" spans="1:2" x14ac:dyDescent="0.25">
      <c r="A338" s="2">
        <v>45782</v>
      </c>
      <c r="B338">
        <v>943.51</v>
      </c>
    </row>
    <row r="339" spans="1:2" x14ac:dyDescent="0.25">
      <c r="A339" s="2">
        <v>45783</v>
      </c>
      <c r="B339">
        <v>978.03</v>
      </c>
    </row>
    <row r="340" spans="1:2" x14ac:dyDescent="0.25">
      <c r="A340" s="2">
        <v>45784</v>
      </c>
      <c r="B340">
        <v>975.04</v>
      </c>
    </row>
    <row r="341" spans="1:2" x14ac:dyDescent="0.25">
      <c r="A341" s="2">
        <v>45785</v>
      </c>
      <c r="B341">
        <v>978.54</v>
      </c>
    </row>
    <row r="342" spans="1:2" x14ac:dyDescent="0.25">
      <c r="A342" s="2">
        <v>45786</v>
      </c>
      <c r="B342">
        <v>979.68</v>
      </c>
    </row>
    <row r="343" spans="1:2" x14ac:dyDescent="0.25">
      <c r="A343" s="2">
        <v>45789</v>
      </c>
      <c r="B343">
        <v>949.24</v>
      </c>
    </row>
    <row r="344" spans="1:2" x14ac:dyDescent="0.25">
      <c r="A344" s="2">
        <v>45790</v>
      </c>
      <c r="B344">
        <v>959.52</v>
      </c>
    </row>
    <row r="345" spans="1:2" x14ac:dyDescent="0.25">
      <c r="A345" s="2">
        <v>45791</v>
      </c>
      <c r="B345">
        <v>953.53</v>
      </c>
    </row>
    <row r="346" spans="1:2" x14ac:dyDescent="0.25">
      <c r="A346" s="2">
        <v>45792</v>
      </c>
      <c r="B346">
        <v>971.06</v>
      </c>
    </row>
    <row r="347" spans="1:2" x14ac:dyDescent="0.25">
      <c r="A347" s="2">
        <v>45793</v>
      </c>
      <c r="B347">
        <v>964.66</v>
      </c>
    </row>
    <row r="348" spans="1:2" x14ac:dyDescent="0.25">
      <c r="A348" s="2">
        <v>45796</v>
      </c>
      <c r="B348">
        <v>977.52</v>
      </c>
    </row>
    <row r="349" spans="1:2" x14ac:dyDescent="0.25">
      <c r="A349" s="2">
        <v>45797</v>
      </c>
      <c r="B349">
        <v>1016.01</v>
      </c>
    </row>
    <row r="350" spans="1:2" x14ac:dyDescent="0.25">
      <c r="A350" s="2">
        <v>45798</v>
      </c>
      <c r="B350">
        <v>1040</v>
      </c>
    </row>
    <row r="351" spans="1:2" x14ac:dyDescent="0.25">
      <c r="A351" s="2">
        <v>45799</v>
      </c>
      <c r="B351">
        <v>1017.52</v>
      </c>
    </row>
    <row r="352" spans="1:2" x14ac:dyDescent="0.25">
      <c r="A352" s="2">
        <v>45800</v>
      </c>
      <c r="B352">
        <v>996.76</v>
      </c>
    </row>
    <row r="353" spans="1:2" x14ac:dyDescent="0.25">
      <c r="A353" s="2">
        <v>45803</v>
      </c>
      <c r="B353">
        <v>990</v>
      </c>
    </row>
    <row r="354" spans="1:2" x14ac:dyDescent="0.25">
      <c r="A354" s="2">
        <v>45804</v>
      </c>
      <c r="B354">
        <v>981.02</v>
      </c>
    </row>
    <row r="355" spans="1:2" x14ac:dyDescent="0.25">
      <c r="A355" s="2">
        <v>45805</v>
      </c>
      <c r="B355">
        <v>966.19</v>
      </c>
    </row>
    <row r="356" spans="1:2" x14ac:dyDescent="0.25">
      <c r="A356" s="2">
        <v>45806</v>
      </c>
      <c r="B356">
        <v>976.56</v>
      </c>
    </row>
    <row r="357" spans="1:2" x14ac:dyDescent="0.25">
      <c r="A357" s="2">
        <v>45807</v>
      </c>
      <c r="B357">
        <v>974.67</v>
      </c>
    </row>
    <row r="358" spans="1:2" x14ac:dyDescent="0.25">
      <c r="A358" s="2">
        <v>45810</v>
      </c>
      <c r="B358">
        <v>991.53</v>
      </c>
    </row>
    <row r="359" spans="1:2" x14ac:dyDescent="0.25">
      <c r="A359" s="2">
        <v>45811</v>
      </c>
      <c r="B359">
        <v>1013.02</v>
      </c>
    </row>
    <row r="360" spans="1:2" x14ac:dyDescent="0.25">
      <c r="A360" s="2">
        <v>45812</v>
      </c>
      <c r="B360">
        <v>1003.53</v>
      </c>
    </row>
    <row r="361" spans="1:2" x14ac:dyDescent="0.25">
      <c r="A361" s="2">
        <v>45813</v>
      </c>
      <c r="B361">
        <v>1009.8</v>
      </c>
    </row>
    <row r="362" spans="1:2" x14ac:dyDescent="0.25">
      <c r="A362" s="2">
        <v>45814</v>
      </c>
      <c r="B362">
        <v>1050.97</v>
      </c>
    </row>
    <row r="363" spans="1:2" x14ac:dyDescent="0.25">
      <c r="A363" s="2">
        <v>45817</v>
      </c>
      <c r="B363">
        <v>1077.03</v>
      </c>
    </row>
    <row r="364" spans="1:2" x14ac:dyDescent="0.25">
      <c r="A364" s="2">
        <v>45818</v>
      </c>
      <c r="B364">
        <v>1064.0999999999999</v>
      </c>
    </row>
    <row r="365" spans="1:2" x14ac:dyDescent="0.25">
      <c r="A365" s="2">
        <v>45819</v>
      </c>
      <c r="B365">
        <v>1083.57</v>
      </c>
    </row>
    <row r="366" spans="1:2" x14ac:dyDescent="0.25">
      <c r="A366" s="2">
        <v>45820</v>
      </c>
      <c r="B366">
        <v>1059.03</v>
      </c>
    </row>
    <row r="367" spans="1:2" x14ac:dyDescent="0.25">
      <c r="A367" s="2">
        <v>45821</v>
      </c>
      <c r="B367">
        <v>1031.71</v>
      </c>
    </row>
    <row r="368" spans="1:2" x14ac:dyDescent="0.25">
      <c r="A368" s="2">
        <v>45824</v>
      </c>
      <c r="B368">
        <v>1033.04</v>
      </c>
    </row>
    <row r="369" spans="1:2" x14ac:dyDescent="0.25">
      <c r="A369" s="2">
        <v>45825</v>
      </c>
      <c r="B369">
        <v>1033.04</v>
      </c>
    </row>
    <row r="370" spans="1:2" x14ac:dyDescent="0.25">
      <c r="A370" s="2">
        <v>45826</v>
      </c>
      <c r="B370">
        <v>1033.04</v>
      </c>
    </row>
    <row r="371" spans="1:2" x14ac:dyDescent="0.25">
      <c r="A371" s="2">
        <v>45827</v>
      </c>
      <c r="B371">
        <v>1053.32</v>
      </c>
    </row>
    <row r="372" spans="1:2" x14ac:dyDescent="0.25">
      <c r="A372" s="2">
        <v>45828</v>
      </c>
      <c r="B372">
        <v>1048.07</v>
      </c>
    </row>
    <row r="373" spans="1:2" x14ac:dyDescent="0.25">
      <c r="A373" s="2">
        <v>45831</v>
      </c>
      <c r="B373">
        <v>1079.55</v>
      </c>
    </row>
    <row r="374" spans="1:2" x14ac:dyDescent="0.25">
      <c r="A374" s="2">
        <v>45832</v>
      </c>
      <c r="B374">
        <v>1069</v>
      </c>
    </row>
    <row r="375" spans="1:2" x14ac:dyDescent="0.25">
      <c r="A375" s="2">
        <v>45833</v>
      </c>
      <c r="B375">
        <v>1060.58</v>
      </c>
    </row>
    <row r="376" spans="1:2" x14ac:dyDescent="0.25">
      <c r="A376" s="2">
        <v>45834</v>
      </c>
      <c r="B376">
        <v>1060.58</v>
      </c>
    </row>
    <row r="377" spans="1:2" x14ac:dyDescent="0.25">
      <c r="A377" s="2">
        <v>45835</v>
      </c>
      <c r="B377">
        <v>1137.5999999999999</v>
      </c>
    </row>
    <row r="378" spans="1:2" x14ac:dyDescent="0.25">
      <c r="A378" s="2">
        <v>45838</v>
      </c>
      <c r="B378">
        <v>1100.05</v>
      </c>
    </row>
    <row r="379" spans="1:2" x14ac:dyDescent="0.25">
      <c r="A379" s="2">
        <v>45839</v>
      </c>
      <c r="B379">
        <v>1103.1099999999999</v>
      </c>
    </row>
    <row r="380" spans="1:2" x14ac:dyDescent="0.25">
      <c r="A380" s="2">
        <v>45840</v>
      </c>
      <c r="B380">
        <v>1157.55</v>
      </c>
    </row>
    <row r="381" spans="1:2" x14ac:dyDescent="0.25">
      <c r="A381" s="2">
        <v>45841</v>
      </c>
      <c r="B381">
        <v>1139.55</v>
      </c>
    </row>
    <row r="382" spans="1:2" x14ac:dyDescent="0.25">
      <c r="A382" s="2">
        <v>45842</v>
      </c>
      <c r="B382">
        <v>1138.03</v>
      </c>
    </row>
    <row r="383" spans="1:2" x14ac:dyDescent="0.25">
      <c r="A383" s="2">
        <v>45845</v>
      </c>
      <c r="B383">
        <v>1114.0899999999999</v>
      </c>
    </row>
    <row r="384" spans="1:2" x14ac:dyDescent="0.25">
      <c r="A384" s="2">
        <v>45846</v>
      </c>
      <c r="B384">
        <v>1113.55</v>
      </c>
    </row>
    <row r="385" spans="1:2" x14ac:dyDescent="0.25">
      <c r="A385" s="2">
        <v>45847</v>
      </c>
      <c r="B385">
        <v>1107.56</v>
      </c>
    </row>
    <row r="386" spans="1:2" x14ac:dyDescent="0.25">
      <c r="A386" s="2">
        <v>45848</v>
      </c>
      <c r="B386">
        <v>1144.57</v>
      </c>
    </row>
    <row r="387" spans="1:2" x14ac:dyDescent="0.25">
      <c r="A387" s="2">
        <v>45849</v>
      </c>
      <c r="B387">
        <v>1220</v>
      </c>
    </row>
    <row r="388" spans="1:2" x14ac:dyDescent="0.25">
      <c r="A388" s="2">
        <v>45852</v>
      </c>
      <c r="B388">
        <v>1197.02</v>
      </c>
    </row>
    <row r="389" spans="1:2" x14ac:dyDescent="0.25">
      <c r="A389" s="2">
        <v>45853</v>
      </c>
      <c r="B389">
        <v>1210</v>
      </c>
    </row>
    <row r="390" spans="1:2" x14ac:dyDescent="0.25">
      <c r="A390" s="2">
        <v>45854</v>
      </c>
      <c r="B390">
        <v>1233.55</v>
      </c>
    </row>
    <row r="391" spans="1:2" x14ac:dyDescent="0.25">
      <c r="A391" s="2">
        <v>45855</v>
      </c>
      <c r="B391">
        <v>1283.92</v>
      </c>
    </row>
    <row r="392" spans="1:2" x14ac:dyDescent="0.25">
      <c r="A392" s="2">
        <v>45856</v>
      </c>
      <c r="B392">
        <v>1244.5</v>
      </c>
    </row>
    <row r="393" spans="1:2" x14ac:dyDescent="0.25">
      <c r="A393" s="2">
        <v>45859</v>
      </c>
      <c r="B393">
        <v>1267.58</v>
      </c>
    </row>
    <row r="394" spans="1:2" x14ac:dyDescent="0.25">
      <c r="A394" s="2">
        <v>45860</v>
      </c>
      <c r="B394">
        <v>1277.54</v>
      </c>
    </row>
    <row r="395" spans="1:2" x14ac:dyDescent="0.25">
      <c r="A395" s="2">
        <v>45861</v>
      </c>
      <c r="B395">
        <v>1281.57</v>
      </c>
    </row>
    <row r="396" spans="1:2" x14ac:dyDescent="0.25">
      <c r="A396" s="2">
        <v>45862</v>
      </c>
      <c r="B396">
        <v>1231.52</v>
      </c>
    </row>
    <row r="397" spans="1:2" x14ac:dyDescent="0.25">
      <c r="A397" s="2">
        <v>45863</v>
      </c>
      <c r="B397">
        <v>1222.76</v>
      </c>
    </row>
    <row r="398" spans="1:2" x14ac:dyDescent="0.25">
      <c r="A398" s="2">
        <v>45866</v>
      </c>
      <c r="B398">
        <v>1249.52</v>
      </c>
    </row>
    <row r="399" spans="1:2" x14ac:dyDescent="0.25">
      <c r="A399" s="2">
        <v>45867</v>
      </c>
      <c r="B399">
        <v>1262</v>
      </c>
    </row>
    <row r="400" spans="1:2" x14ac:dyDescent="0.25">
      <c r="A400" s="2">
        <v>45868</v>
      </c>
      <c r="B400">
        <v>1209.04</v>
      </c>
    </row>
    <row r="401" spans="1:2" x14ac:dyDescent="0.25">
      <c r="A401" s="2">
        <v>45869</v>
      </c>
      <c r="B401">
        <v>1194.52</v>
      </c>
    </row>
    <row r="402" spans="1:2" x14ac:dyDescent="0.25">
      <c r="A402" s="2">
        <v>45870</v>
      </c>
      <c r="B402">
        <v>1212.1400000000001</v>
      </c>
    </row>
    <row r="403" spans="1:2" x14ac:dyDescent="0.25">
      <c r="A403" s="2">
        <v>45873</v>
      </c>
      <c r="B403">
        <v>1210</v>
      </c>
    </row>
    <row r="404" spans="1:2" x14ac:dyDescent="0.25">
      <c r="A404" s="2">
        <v>45874</v>
      </c>
      <c r="B404">
        <v>1178.6400000000001</v>
      </c>
    </row>
    <row r="405" spans="1:2" x14ac:dyDescent="0.25">
      <c r="A405" s="2">
        <v>45875</v>
      </c>
      <c r="B405">
        <v>1135.53</v>
      </c>
    </row>
    <row r="406" spans="1:2" x14ac:dyDescent="0.25">
      <c r="A406" s="2">
        <v>45876</v>
      </c>
      <c r="B406">
        <v>1155</v>
      </c>
    </row>
    <row r="407" spans="1:2" x14ac:dyDescent="0.25">
      <c r="A407" s="2">
        <v>45877</v>
      </c>
      <c r="B407">
        <v>1130</v>
      </c>
    </row>
    <row r="408" spans="1:2" x14ac:dyDescent="0.25">
      <c r="A408" s="2">
        <v>45880</v>
      </c>
      <c r="B408">
        <v>1139.54</v>
      </c>
    </row>
    <row r="409" spans="1:2" x14ac:dyDescent="0.25">
      <c r="A409" s="2">
        <v>45881</v>
      </c>
      <c r="B409">
        <v>1133.51</v>
      </c>
    </row>
    <row r="410" spans="1:2" x14ac:dyDescent="0.25">
      <c r="A410" s="2">
        <v>45882</v>
      </c>
      <c r="B410">
        <v>1126.55</v>
      </c>
    </row>
    <row r="411" spans="1:2" x14ac:dyDescent="0.25">
      <c r="A411" s="2">
        <v>45883</v>
      </c>
      <c r="B411">
        <v>1149.5899999999999</v>
      </c>
    </row>
    <row r="412" spans="1:2" x14ac:dyDescent="0.25">
      <c r="A412" s="2">
        <v>45884</v>
      </c>
      <c r="B412">
        <v>1117</v>
      </c>
    </row>
    <row r="413" spans="1:2" x14ac:dyDescent="0.25">
      <c r="A413" s="2">
        <v>45887</v>
      </c>
      <c r="B413">
        <v>1126.51</v>
      </c>
    </row>
    <row r="414" spans="1:2" x14ac:dyDescent="0.25">
      <c r="A414" s="2">
        <v>45888</v>
      </c>
      <c r="B414">
        <v>1119.06</v>
      </c>
    </row>
    <row r="415" spans="1:2" x14ac:dyDescent="0.25">
      <c r="A415" s="2">
        <v>45889</v>
      </c>
      <c r="B415">
        <v>1118.5</v>
      </c>
    </row>
    <row r="416" spans="1:2" x14ac:dyDescent="0.25">
      <c r="A416" s="2">
        <v>45890</v>
      </c>
      <c r="B416">
        <v>1114.53</v>
      </c>
    </row>
    <row r="417" spans="1:2" x14ac:dyDescent="0.25">
      <c r="A417" s="2">
        <v>45891</v>
      </c>
      <c r="B417">
        <v>1130.01</v>
      </c>
    </row>
    <row r="418" spans="1:2" x14ac:dyDescent="0.25">
      <c r="A418" s="2">
        <v>45894</v>
      </c>
      <c r="B418">
        <v>1090.06</v>
      </c>
    </row>
    <row r="419" spans="1:2" x14ac:dyDescent="0.25">
      <c r="A419" s="2">
        <v>45895</v>
      </c>
      <c r="B419">
        <v>1098.5</v>
      </c>
    </row>
    <row r="420" spans="1:2" x14ac:dyDescent="0.25">
      <c r="A420" s="2">
        <v>45896</v>
      </c>
      <c r="B420">
        <v>1096</v>
      </c>
    </row>
    <row r="421" spans="1:2" x14ac:dyDescent="0.25">
      <c r="A421" s="2">
        <v>45897</v>
      </c>
      <c r="B421">
        <v>1106.51</v>
      </c>
    </row>
    <row r="422" spans="1:2" x14ac:dyDescent="0.25">
      <c r="A422" s="2">
        <v>45898</v>
      </c>
      <c r="B422">
        <v>1114.0999999999999</v>
      </c>
    </row>
    <row r="423" spans="1:2" x14ac:dyDescent="0.25">
      <c r="A423" s="2">
        <v>45901</v>
      </c>
      <c r="B423">
        <v>1140.03</v>
      </c>
    </row>
    <row r="424" spans="1:2" x14ac:dyDescent="0.25">
      <c r="A424" s="2">
        <v>45902</v>
      </c>
      <c r="B424">
        <v>1138.54</v>
      </c>
    </row>
    <row r="425" spans="1:2" x14ac:dyDescent="0.25">
      <c r="A425" s="2">
        <v>45903</v>
      </c>
      <c r="B425">
        <v>1151.54</v>
      </c>
    </row>
    <row r="426" spans="1:2" x14ac:dyDescent="0.25">
      <c r="A426" s="2">
        <v>45904</v>
      </c>
      <c r="B426">
        <v>1131.56</v>
      </c>
    </row>
    <row r="427" spans="1:2" x14ac:dyDescent="0.25">
      <c r="A427" s="2">
        <v>45905</v>
      </c>
      <c r="B427">
        <v>1113.8</v>
      </c>
    </row>
    <row r="428" spans="1:2" x14ac:dyDescent="0.25">
      <c r="A428" s="2">
        <v>45908</v>
      </c>
      <c r="B428">
        <v>1137.54</v>
      </c>
    </row>
    <row r="429" spans="1:2" x14ac:dyDescent="0.25">
      <c r="A429" s="2">
        <v>45909</v>
      </c>
      <c r="B429">
        <v>1152.04</v>
      </c>
    </row>
    <row r="430" spans="1:2" x14ac:dyDescent="0.25">
      <c r="A430" s="2">
        <v>45910</v>
      </c>
      <c r="B430">
        <v>1177.02</v>
      </c>
    </row>
    <row r="431" spans="1:2" x14ac:dyDescent="0.25">
      <c r="A431" s="2">
        <v>45911</v>
      </c>
      <c r="B431">
        <v>1191.99</v>
      </c>
    </row>
    <row r="432" spans="1:2" x14ac:dyDescent="0.25">
      <c r="A432" s="2">
        <v>45912</v>
      </c>
      <c r="B432">
        <v>1201.0999999999999</v>
      </c>
    </row>
    <row r="433" spans="1:2" x14ac:dyDescent="0.25">
      <c r="A433" s="2">
        <v>45915</v>
      </c>
      <c r="B433">
        <v>1187.6600000000001</v>
      </c>
    </row>
    <row r="434" spans="1:2" x14ac:dyDescent="0.25">
      <c r="A434" s="2">
        <v>45916</v>
      </c>
      <c r="B434">
        <v>1179.52</v>
      </c>
    </row>
    <row r="435" spans="1:2" x14ac:dyDescent="0.25">
      <c r="A435" s="2">
        <v>45917</v>
      </c>
      <c r="B435">
        <v>1157.53</v>
      </c>
    </row>
    <row r="436" spans="1:2" x14ac:dyDescent="0.25">
      <c r="A436" s="2">
        <v>45918</v>
      </c>
      <c r="B436">
        <v>1154.3499999999999</v>
      </c>
    </row>
    <row r="437" spans="1:2" x14ac:dyDescent="0.25">
      <c r="A437" s="2">
        <v>45919</v>
      </c>
      <c r="B437">
        <v>1153.02</v>
      </c>
    </row>
    <row r="438" spans="1:2" x14ac:dyDescent="0.25">
      <c r="A438" s="2">
        <v>45922</v>
      </c>
      <c r="B438">
        <v>1182.52</v>
      </c>
    </row>
    <row r="439" spans="1:2" x14ac:dyDescent="0.25">
      <c r="A439" s="2">
        <v>45923</v>
      </c>
      <c r="B439">
        <v>1223.04</v>
      </c>
    </row>
    <row r="440" spans="1:2" x14ac:dyDescent="0.25">
      <c r="A440" s="2">
        <v>45924</v>
      </c>
      <c r="B440">
        <v>1213.52</v>
      </c>
    </row>
    <row r="441" spans="1:2" x14ac:dyDescent="0.25">
      <c r="A441" s="2">
        <v>45925</v>
      </c>
      <c r="B441">
        <v>1253.52</v>
      </c>
    </row>
    <row r="442" spans="1:2" x14ac:dyDescent="0.25">
      <c r="A442" s="2">
        <v>45926</v>
      </c>
      <c r="B442">
        <v>1274.01</v>
      </c>
    </row>
    <row r="443" spans="1:2" x14ac:dyDescent="0.25">
      <c r="A443" s="2">
        <v>45929</v>
      </c>
      <c r="B443">
        <v>1271.1600000000001</v>
      </c>
    </row>
    <row r="444" spans="1:2" x14ac:dyDescent="0.25">
      <c r="A444" s="2">
        <v>45930</v>
      </c>
      <c r="B444">
        <v>1260.51</v>
      </c>
    </row>
    <row r="445" spans="1:2" x14ac:dyDescent="0.25">
      <c r="A445" s="2">
        <v>45931</v>
      </c>
      <c r="B445">
        <v>1248.51</v>
      </c>
    </row>
    <row r="446" spans="1:2" x14ac:dyDescent="0.25">
      <c r="A446" s="2">
        <v>45932</v>
      </c>
      <c r="B446">
        <v>1244.52</v>
      </c>
    </row>
    <row r="447" spans="1:2" x14ac:dyDescent="0.25">
      <c r="A447" s="2">
        <v>45933</v>
      </c>
      <c r="B447">
        <v>1264.75</v>
      </c>
    </row>
    <row r="448" spans="1:2" x14ac:dyDescent="0.25">
      <c r="A448" s="2">
        <v>45936</v>
      </c>
      <c r="B448">
        <v>1323</v>
      </c>
    </row>
    <row r="449" spans="1:2" x14ac:dyDescent="0.25">
      <c r="A449" s="2">
        <v>45937</v>
      </c>
      <c r="B449">
        <v>1341.5</v>
      </c>
    </row>
    <row r="450" spans="1:2" x14ac:dyDescent="0.25">
      <c r="A450" s="2">
        <v>45938</v>
      </c>
      <c r="B450">
        <v>1453.03</v>
      </c>
    </row>
    <row r="451" spans="1:2" x14ac:dyDescent="0.25">
      <c r="A451" s="2">
        <v>45939</v>
      </c>
      <c r="B451">
        <v>1415.04</v>
      </c>
    </row>
    <row r="452" spans="1:2" x14ac:dyDescent="0.25">
      <c r="A452" s="2">
        <v>45940</v>
      </c>
      <c r="B452">
        <v>1409.01</v>
      </c>
    </row>
    <row r="453" spans="1:2" x14ac:dyDescent="0.25">
      <c r="A453" s="2">
        <v>45943</v>
      </c>
      <c r="B453">
        <v>1478.02</v>
      </c>
    </row>
    <row r="454" spans="1:2" x14ac:dyDescent="0.25">
      <c r="A454" s="2">
        <v>45944</v>
      </c>
      <c r="B454">
        <v>1529.01</v>
      </c>
    </row>
    <row r="455" spans="1:2" x14ac:dyDescent="0.25">
      <c r="A455" s="2">
        <v>45945</v>
      </c>
      <c r="B455">
        <v>1540.04</v>
      </c>
    </row>
    <row r="456" spans="1:2" x14ac:dyDescent="0.25">
      <c r="A456" s="2">
        <v>45946</v>
      </c>
      <c r="B456">
        <v>1616.76</v>
      </c>
    </row>
    <row r="457" spans="1:2" x14ac:dyDescent="0.25">
      <c r="A457" s="2">
        <v>45947</v>
      </c>
      <c r="B457">
        <v>1481.5</v>
      </c>
    </row>
    <row r="458" spans="1:2" x14ac:dyDescent="0.25">
      <c r="A458" s="2">
        <v>45950</v>
      </c>
      <c r="B458">
        <v>1499.51</v>
      </c>
    </row>
    <row r="459" spans="1:2" x14ac:dyDescent="0.25">
      <c r="A459" s="2">
        <v>45951</v>
      </c>
      <c r="B459">
        <v>1411.54</v>
      </c>
    </row>
    <row r="460" spans="1:2" x14ac:dyDescent="0.25">
      <c r="A460" s="2">
        <v>45952</v>
      </c>
      <c r="B460">
        <v>1462.55</v>
      </c>
    </row>
    <row r="461" spans="1:2" x14ac:dyDescent="0.25">
      <c r="A461" s="2">
        <v>45953</v>
      </c>
      <c r="B461">
        <v>1460.58</v>
      </c>
    </row>
    <row r="462" spans="1:2" x14ac:dyDescent="0.25">
      <c r="A462" s="2">
        <v>45954</v>
      </c>
      <c r="B462">
        <v>1432.58</v>
      </c>
    </row>
    <row r="463" spans="1:2" x14ac:dyDescent="0.25">
      <c r="A463" s="2">
        <v>45957</v>
      </c>
      <c r="B463">
        <v>1406.52</v>
      </c>
    </row>
    <row r="464" spans="1:2" x14ac:dyDescent="0.25">
      <c r="A464" s="2">
        <v>45958</v>
      </c>
      <c r="B464">
        <v>1397.51</v>
      </c>
    </row>
    <row r="465" spans="1:2" x14ac:dyDescent="0.25">
      <c r="A465" s="2">
        <v>45959</v>
      </c>
      <c r="B465">
        <v>1404.93</v>
      </c>
    </row>
    <row r="466" spans="1:2" x14ac:dyDescent="0.25">
      <c r="A466" s="2">
        <v>45960</v>
      </c>
      <c r="B466">
        <v>1449.06</v>
      </c>
    </row>
    <row r="467" spans="1:2" x14ac:dyDescent="0.25">
      <c r="A467" s="2">
        <v>45961</v>
      </c>
      <c r="B467">
        <v>1440</v>
      </c>
    </row>
    <row r="468" spans="1:2" x14ac:dyDescent="0.25">
      <c r="A468" s="2">
        <v>45964</v>
      </c>
      <c r="B468">
        <v>1448.44</v>
      </c>
    </row>
    <row r="469" spans="1:2" x14ac:dyDescent="0.25">
      <c r="A469" s="2">
        <v>45965</v>
      </c>
      <c r="B469">
        <v>1395.08</v>
      </c>
    </row>
    <row r="470" spans="1:2" x14ac:dyDescent="0.25">
      <c r="A470" s="2">
        <v>45966</v>
      </c>
      <c r="B470">
        <v>1423.12</v>
      </c>
    </row>
    <row r="471" spans="1:2" x14ac:dyDescent="0.25">
      <c r="A471" s="2">
        <v>45967</v>
      </c>
      <c r="B471">
        <v>1378.21</v>
      </c>
    </row>
    <row r="472" spans="1:2" x14ac:dyDescent="0.25">
      <c r="A472" s="2">
        <v>45968</v>
      </c>
      <c r="B472">
        <v>1383.56</v>
      </c>
    </row>
    <row r="473" spans="1:2" x14ac:dyDescent="0.25">
      <c r="A473" s="2">
        <v>45971</v>
      </c>
      <c r="B473">
        <v>1425</v>
      </c>
    </row>
    <row r="474" spans="1:2" x14ac:dyDescent="0.25">
      <c r="A474" s="2">
        <v>45972</v>
      </c>
      <c r="B474">
        <v>1447.74</v>
      </c>
    </row>
    <row r="475" spans="1:2" x14ac:dyDescent="0.25">
      <c r="A475" s="2">
        <v>45973</v>
      </c>
      <c r="B475">
        <v>1477.38</v>
      </c>
    </row>
    <row r="476" spans="1:2" x14ac:dyDescent="0.25">
      <c r="A476" s="2">
        <v>45974</v>
      </c>
      <c r="B476">
        <v>1429.93</v>
      </c>
    </row>
    <row r="477" spans="1:2" x14ac:dyDescent="0.25">
      <c r="A477" s="2">
        <v>45975</v>
      </c>
      <c r="B477">
        <v>1394.75</v>
      </c>
    </row>
    <row r="478" spans="1:2" x14ac:dyDescent="0.25">
      <c r="A478" s="2">
        <v>45978</v>
      </c>
      <c r="B478">
        <v>1396.51</v>
      </c>
    </row>
    <row r="479" spans="1:2" x14ac:dyDescent="0.25">
      <c r="A479" s="2">
        <v>45979</v>
      </c>
      <c r="B479">
        <v>1404.5</v>
      </c>
    </row>
    <row r="480" spans="1:2" x14ac:dyDescent="0.25">
      <c r="A480" s="2">
        <v>45980</v>
      </c>
      <c r="B480">
        <v>1384.14</v>
      </c>
    </row>
    <row r="481" spans="1:2" x14ac:dyDescent="0.25">
      <c r="A481" s="2">
        <v>45981</v>
      </c>
      <c r="B481">
        <v>1384</v>
      </c>
    </row>
    <row r="482" spans="1:2" x14ac:dyDescent="0.25">
      <c r="A482" s="2">
        <v>45982</v>
      </c>
      <c r="B482">
        <v>1382.25</v>
      </c>
    </row>
    <row r="483" spans="1:2" x14ac:dyDescent="0.25">
      <c r="A483" s="2">
        <v>45985</v>
      </c>
      <c r="B483">
        <v>1398.93</v>
      </c>
    </row>
    <row r="484" spans="1:2" x14ac:dyDescent="0.25">
      <c r="A484" s="2">
        <v>45986</v>
      </c>
      <c r="B484">
        <v>1400.77</v>
      </c>
    </row>
    <row r="485" spans="1:2" x14ac:dyDescent="0.25">
      <c r="A485" s="2">
        <v>45987</v>
      </c>
      <c r="B485">
        <v>1426.73</v>
      </c>
    </row>
    <row r="486" spans="1:2" x14ac:dyDescent="0.25">
      <c r="A486" s="2">
        <v>45988</v>
      </c>
      <c r="B486">
        <v>1442.48</v>
      </c>
    </row>
    <row r="487" spans="1:2" x14ac:dyDescent="0.25">
      <c r="A487" s="2">
        <v>45989</v>
      </c>
      <c r="B487">
        <v>1454.35</v>
      </c>
    </row>
    <row r="488" spans="1:2" x14ac:dyDescent="0.25">
      <c r="A488" s="2">
        <v>45992</v>
      </c>
      <c r="B488">
        <v>1428.34</v>
      </c>
    </row>
    <row r="489" spans="1:2" x14ac:dyDescent="0.25">
      <c r="A489" s="2">
        <v>45993</v>
      </c>
      <c r="B489">
        <v>1466.18</v>
      </c>
    </row>
    <row r="490" spans="1:2" x14ac:dyDescent="0.25">
      <c r="A490" s="2">
        <v>45994</v>
      </c>
      <c r="B490">
        <v>1464.53</v>
      </c>
    </row>
    <row r="491" spans="1:2" x14ac:dyDescent="0.25">
      <c r="A491" s="2">
        <v>45995</v>
      </c>
      <c r="B491">
        <v>1452.43</v>
      </c>
    </row>
    <row r="492" spans="1:2" x14ac:dyDescent="0.25">
      <c r="A492" s="2">
        <v>45996</v>
      </c>
      <c r="B492">
        <v>1461.25</v>
      </c>
    </row>
    <row r="493" spans="1:2" x14ac:dyDescent="0.25">
      <c r="A493" s="2">
        <v>45999</v>
      </c>
      <c r="B493">
        <v>1475.25</v>
      </c>
    </row>
    <row r="494" spans="1:2" x14ac:dyDescent="0.25">
      <c r="A494" s="2">
        <v>46000</v>
      </c>
      <c r="B494">
        <v>1510.01</v>
      </c>
    </row>
    <row r="495" spans="1:2" x14ac:dyDescent="0.25">
      <c r="A495" s="2">
        <v>46001</v>
      </c>
      <c r="B495">
        <v>1479.68</v>
      </c>
    </row>
    <row r="496" spans="1:2" x14ac:dyDescent="0.25">
      <c r="A496" s="2">
        <v>46002</v>
      </c>
      <c r="B496">
        <v>1494</v>
      </c>
    </row>
    <row r="497" spans="1:2" x14ac:dyDescent="0.25">
      <c r="A497" s="2">
        <v>46003</v>
      </c>
      <c r="B497">
        <v>1497.5</v>
      </c>
    </row>
    <row r="498" spans="1:2" x14ac:dyDescent="0.25">
      <c r="A498" s="2">
        <v>46006</v>
      </c>
      <c r="B498">
        <v>1577.25</v>
      </c>
    </row>
    <row r="499" spans="1:2" x14ac:dyDescent="0.25">
      <c r="A499" s="2">
        <v>46007</v>
      </c>
      <c r="B499">
        <v>1607.21</v>
      </c>
    </row>
    <row r="500" spans="1:2" x14ac:dyDescent="0.25">
      <c r="A500" s="2">
        <v>46008</v>
      </c>
      <c r="B500">
        <v>1658</v>
      </c>
    </row>
    <row r="501" spans="1:2" x14ac:dyDescent="0.25">
      <c r="A501" s="2">
        <v>46009</v>
      </c>
      <c r="B501">
        <v>1699.41</v>
      </c>
    </row>
    <row r="502" spans="1:2" x14ac:dyDescent="0.25">
      <c r="A502" s="2">
        <v>46010</v>
      </c>
      <c r="B502">
        <v>1717.46</v>
      </c>
    </row>
    <row r="503" spans="1:2" x14ac:dyDescent="0.25">
      <c r="A503" s="2">
        <v>46013</v>
      </c>
      <c r="B503">
        <v>1771.75</v>
      </c>
    </row>
    <row r="504" spans="1:2" x14ac:dyDescent="0.25">
      <c r="A504" s="2">
        <v>46014</v>
      </c>
      <c r="B504">
        <v>1873</v>
      </c>
    </row>
    <row r="505" spans="1:2" x14ac:dyDescent="0.25">
      <c r="A505" s="2">
        <v>46015</v>
      </c>
      <c r="B505">
        <v>1689.67</v>
      </c>
    </row>
    <row r="506" spans="1:2" x14ac:dyDescent="0.25">
      <c r="A506" s="2">
        <v>46016</v>
      </c>
      <c r="B506">
        <v>1689.67</v>
      </c>
    </row>
    <row r="507" spans="1:2" x14ac:dyDescent="0.25">
      <c r="A507" s="2">
        <v>46017</v>
      </c>
      <c r="B507">
        <v>1927.31</v>
      </c>
    </row>
    <row r="508" spans="1:2" x14ac:dyDescent="0.25">
      <c r="A508" s="2">
        <v>46020</v>
      </c>
      <c r="B508">
        <v>1634</v>
      </c>
    </row>
    <row r="509" spans="1:2" x14ac:dyDescent="0.25">
      <c r="A509" s="2">
        <v>46021</v>
      </c>
      <c r="B509">
        <v>1615.33</v>
      </c>
    </row>
    <row r="510" spans="1:2" x14ac:dyDescent="0.25">
      <c r="A510" s="2">
        <v>46022</v>
      </c>
      <c r="B510">
        <v>1610.25</v>
      </c>
    </row>
    <row r="511" spans="1:2" x14ac:dyDescent="0.25">
      <c r="A511" s="2">
        <v>46023</v>
      </c>
      <c r="B511">
        <v>1610.25</v>
      </c>
    </row>
    <row r="512" spans="1:2" x14ac:dyDescent="0.25">
      <c r="A512" s="2">
        <v>46024</v>
      </c>
      <c r="B512">
        <v>1643.52</v>
      </c>
    </row>
    <row r="513" spans="1:2" x14ac:dyDescent="0.25">
      <c r="A513" s="2">
        <v>46027</v>
      </c>
      <c r="B513">
        <v>1712.69</v>
      </c>
    </row>
    <row r="514" spans="1:2" x14ac:dyDescent="0.25">
      <c r="A514" s="2">
        <v>46028</v>
      </c>
      <c r="B514">
        <v>1835</v>
      </c>
    </row>
    <row r="515" spans="1:2" x14ac:dyDescent="0.25">
      <c r="A515" s="2">
        <v>46029</v>
      </c>
      <c r="B515">
        <v>1768.27</v>
      </c>
    </row>
    <row r="516" spans="1:2" x14ac:dyDescent="0.25">
      <c r="A516" s="2">
        <v>46030</v>
      </c>
      <c r="B516">
        <v>1789.76</v>
      </c>
    </row>
    <row r="517" spans="1:2" x14ac:dyDescent="0.25">
      <c r="A517" s="2">
        <v>46031</v>
      </c>
      <c r="B517">
        <v>1819.5</v>
      </c>
    </row>
    <row r="518" spans="1:2" x14ac:dyDescent="0.25">
      <c r="A518" s="2">
        <v>46034</v>
      </c>
      <c r="B518">
        <v>1855</v>
      </c>
    </row>
    <row r="519" spans="1:2" x14ac:dyDescent="0.25">
      <c r="A519" s="2">
        <v>46035</v>
      </c>
      <c r="B519">
        <v>1843.24</v>
      </c>
    </row>
    <row r="520" spans="1:2" x14ac:dyDescent="0.25">
      <c r="A520" s="2">
        <v>46036</v>
      </c>
      <c r="B520">
        <v>1832</v>
      </c>
    </row>
    <row r="521" spans="1:2" x14ac:dyDescent="0.25">
      <c r="A521" s="2">
        <v>46037</v>
      </c>
      <c r="B521">
        <v>1816.25</v>
      </c>
    </row>
    <row r="522" spans="1:2" x14ac:dyDescent="0.25">
      <c r="A522" s="2">
        <v>46038</v>
      </c>
      <c r="B522">
        <v>1812.25</v>
      </c>
    </row>
    <row r="523" spans="1:2" x14ac:dyDescent="0.25">
      <c r="A523" s="2">
        <v>46041</v>
      </c>
      <c r="B523">
        <v>1844.38</v>
      </c>
    </row>
    <row r="524" spans="1:2" x14ac:dyDescent="0.25">
      <c r="A524" s="2">
        <v>46042</v>
      </c>
      <c r="B524">
        <v>1878</v>
      </c>
    </row>
    <row r="525" spans="1:2" x14ac:dyDescent="0.25">
      <c r="A525" s="2">
        <v>46043</v>
      </c>
      <c r="B525">
        <v>1852</v>
      </c>
    </row>
    <row r="526" spans="1:2" x14ac:dyDescent="0.25">
      <c r="A526" s="2">
        <v>46044</v>
      </c>
      <c r="B526">
        <v>1923.5</v>
      </c>
    </row>
    <row r="527" spans="1:2" x14ac:dyDescent="0.25">
      <c r="A527" s="2">
        <v>46045</v>
      </c>
      <c r="B527">
        <v>2014</v>
      </c>
    </row>
    <row r="528" spans="1:2" x14ac:dyDescent="0.25">
      <c r="A528" s="2">
        <v>46048</v>
      </c>
      <c r="B528">
        <v>1994.5</v>
      </c>
    </row>
    <row r="529" spans="1:2" x14ac:dyDescent="0.25">
      <c r="A529" s="2">
        <v>46049</v>
      </c>
      <c r="B529">
        <v>1939.03</v>
      </c>
    </row>
    <row r="530" spans="1:2" x14ac:dyDescent="0.25">
      <c r="A530" s="2">
        <v>46050</v>
      </c>
      <c r="B530">
        <v>2086.5</v>
      </c>
    </row>
  </sheetData>
  <pageMargins left="0.7" right="0.7" top="0.75" bottom="0.75" header="0.3" footer="0.3"/>
  <headerFooter>
    <oddHeader>&amp;L&amp;"Calibri"&amp;12&amp;K000000 Internal&amp;1#_x000D_</oddHeader>
  </headerFooter>
  <customProperties>
    <customPr name="REFI_OFFICE_FUNCTION_DATA" r:id="rId1"/>
  </customProperties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DC799-EA21-4B26-8B8E-AF678A7036D1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48168-48B8-4D54-9235-D2EB6A9B53C3}">
  <dimension ref="A1:G12"/>
  <sheetViews>
    <sheetView zoomScale="160" zoomScaleNormal="160" workbookViewId="0">
      <selection activeCell="A10" activeCellId="1" sqref="A2:A3 A10:A12"/>
    </sheetView>
  </sheetViews>
  <sheetFormatPr defaultRowHeight="15" x14ac:dyDescent="0.25"/>
  <cols>
    <col min="1" max="1" width="41.7109375" bestFit="1" customWidth="1"/>
    <col min="2" max="2" width="11.42578125" bestFit="1" customWidth="1"/>
    <col min="3" max="3" width="26.42578125" bestFit="1" customWidth="1"/>
    <col min="4" max="4" width="13.5703125" bestFit="1" customWidth="1"/>
    <col min="5" max="5" width="14.85546875" customWidth="1"/>
    <col min="6" max="6" width="17.28515625" customWidth="1"/>
  </cols>
  <sheetData>
    <row r="1" spans="1:7" x14ac:dyDescent="0.25">
      <c r="A1" s="3" t="s">
        <v>3</v>
      </c>
      <c r="B1" s="3" t="s">
        <v>15</v>
      </c>
      <c r="C1" s="3" t="s">
        <v>16</v>
      </c>
      <c r="D1" s="3" t="s">
        <v>17</v>
      </c>
      <c r="E1" s="3" t="s">
        <v>18</v>
      </c>
      <c r="F1" s="3" t="s">
        <v>19</v>
      </c>
    </row>
    <row r="2" spans="1:7" x14ac:dyDescent="0.25">
      <c r="A2" t="s">
        <v>20</v>
      </c>
      <c r="B2" t="s">
        <v>21</v>
      </c>
      <c r="C2">
        <v>4789.84</v>
      </c>
      <c r="D2" t="s">
        <v>22</v>
      </c>
      <c r="E2" t="s">
        <v>23</v>
      </c>
      <c r="F2" t="s">
        <v>24</v>
      </c>
    </row>
    <row r="3" spans="1:7" x14ac:dyDescent="0.25">
      <c r="A3" t="s">
        <v>25</v>
      </c>
      <c r="B3" t="s">
        <v>26</v>
      </c>
      <c r="C3">
        <v>1668.62</v>
      </c>
      <c r="D3" t="s">
        <v>27</v>
      </c>
      <c r="E3" t="s">
        <v>28</v>
      </c>
      <c r="F3" t="s">
        <v>24</v>
      </c>
    </row>
    <row r="4" spans="1:7" x14ac:dyDescent="0.25">
      <c r="A4" s="5" t="s">
        <v>29</v>
      </c>
      <c r="B4" s="5" t="s">
        <v>30</v>
      </c>
      <c r="C4" s="5">
        <v>1169.92</v>
      </c>
      <c r="D4" s="5" t="s">
        <v>31</v>
      </c>
      <c r="E4" s="5" t="s">
        <v>32</v>
      </c>
      <c r="F4" s="5" t="s">
        <v>33</v>
      </c>
    </row>
    <row r="5" spans="1:7" x14ac:dyDescent="0.25">
      <c r="A5" s="5" t="s">
        <v>34</v>
      </c>
      <c r="B5" s="5" t="s">
        <v>35</v>
      </c>
      <c r="C5" s="5">
        <v>485.6</v>
      </c>
      <c r="D5" s="5" t="s">
        <v>36</v>
      </c>
      <c r="E5" s="5" t="s">
        <v>37</v>
      </c>
      <c r="F5" s="5" t="s">
        <v>24</v>
      </c>
    </row>
    <row r="6" spans="1:7" x14ac:dyDescent="0.25">
      <c r="A6" s="5" t="s">
        <v>38</v>
      </c>
      <c r="B6" s="5" t="s">
        <v>39</v>
      </c>
      <c r="C6" s="5">
        <v>407.03</v>
      </c>
      <c r="D6" s="5" t="s">
        <v>40</v>
      </c>
      <c r="E6" s="5" t="s">
        <v>41</v>
      </c>
      <c r="F6" s="5" t="s">
        <v>33</v>
      </c>
      <c r="G6" s="5" t="s">
        <v>193</v>
      </c>
    </row>
    <row r="7" spans="1:7" x14ac:dyDescent="0.25">
      <c r="A7" s="5" t="s">
        <v>42</v>
      </c>
      <c r="B7" s="5" t="s">
        <v>43</v>
      </c>
      <c r="C7" s="5">
        <v>282.98</v>
      </c>
      <c r="D7" s="5" t="s">
        <v>44</v>
      </c>
      <c r="E7" s="5" t="s">
        <v>45</v>
      </c>
      <c r="F7" s="5" t="s">
        <v>33</v>
      </c>
    </row>
    <row r="8" spans="1:7" x14ac:dyDescent="0.25">
      <c r="A8" s="5" t="s">
        <v>46</v>
      </c>
      <c r="B8" s="5" t="s">
        <v>47</v>
      </c>
      <c r="C8" s="5">
        <v>200.04</v>
      </c>
      <c r="D8" s="5" t="s">
        <v>48</v>
      </c>
      <c r="E8" s="5" t="s">
        <v>49</v>
      </c>
      <c r="F8" s="5" t="s">
        <v>33</v>
      </c>
    </row>
    <row r="9" spans="1:7" x14ac:dyDescent="0.25">
      <c r="A9" s="5" t="s">
        <v>50</v>
      </c>
      <c r="B9" s="5" t="s">
        <v>51</v>
      </c>
      <c r="C9" s="5">
        <v>184.1</v>
      </c>
      <c r="D9" s="5" t="s">
        <v>52</v>
      </c>
      <c r="E9" s="5" t="s">
        <v>53</v>
      </c>
      <c r="F9" s="5" t="s">
        <v>33</v>
      </c>
    </row>
    <row r="10" spans="1:7" x14ac:dyDescent="0.25">
      <c r="A10" t="s">
        <v>54</v>
      </c>
      <c r="B10" t="s">
        <v>55</v>
      </c>
      <c r="C10">
        <v>118.53</v>
      </c>
      <c r="D10" t="s">
        <v>56</v>
      </c>
      <c r="E10" t="s">
        <v>57</v>
      </c>
      <c r="F10" t="s">
        <v>24</v>
      </c>
    </row>
    <row r="11" spans="1:7" x14ac:dyDescent="0.25">
      <c r="A11" t="s">
        <v>58</v>
      </c>
      <c r="B11" t="s">
        <v>59</v>
      </c>
      <c r="C11">
        <v>85.91</v>
      </c>
      <c r="D11" t="s">
        <v>27</v>
      </c>
      <c r="E11" t="s">
        <v>60</v>
      </c>
      <c r="F11" t="s">
        <v>24</v>
      </c>
    </row>
    <row r="12" spans="1:7" x14ac:dyDescent="0.25">
      <c r="A12" t="s">
        <v>61</v>
      </c>
      <c r="B12" t="s">
        <v>62</v>
      </c>
      <c r="C12">
        <v>19.149999999999999</v>
      </c>
      <c r="D12" t="s">
        <v>27</v>
      </c>
      <c r="E12" t="s">
        <v>63</v>
      </c>
      <c r="F12" t="s">
        <v>24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20585-2A2F-4BD3-8AD4-1A6978DE2FA4}">
  <dimension ref="A1:AF61"/>
  <sheetViews>
    <sheetView tabSelected="1" topLeftCell="H1" zoomScale="145" zoomScaleNormal="145" workbookViewId="0">
      <selection activeCell="L57" sqref="L57"/>
    </sheetView>
  </sheetViews>
  <sheetFormatPr defaultRowHeight="15" x14ac:dyDescent="0.25"/>
  <cols>
    <col min="1" max="1" width="11" bestFit="1" customWidth="1"/>
    <col min="2" max="2" width="31.5703125" bestFit="1" customWidth="1"/>
    <col min="6" max="6" width="31.42578125" bestFit="1" customWidth="1"/>
    <col min="7" max="7" width="13.28515625" bestFit="1" customWidth="1"/>
    <col min="8" max="8" width="14.85546875" bestFit="1" customWidth="1"/>
    <col min="9" max="9" width="13.7109375" bestFit="1" customWidth="1"/>
    <col min="10" max="10" width="9.28515625" bestFit="1" customWidth="1"/>
    <col min="11" max="11" width="15.28515625" customWidth="1"/>
    <col min="12" max="12" width="13.42578125" bestFit="1" customWidth="1"/>
    <col min="13" max="13" width="13.7109375" bestFit="1" customWidth="1"/>
    <col min="14" max="14" width="18.28515625" customWidth="1"/>
    <col min="15" max="15" width="9.28515625" bestFit="1" customWidth="1"/>
    <col min="16" max="16" width="16" bestFit="1" customWidth="1"/>
    <col min="17" max="17" width="11.28515625" bestFit="1" customWidth="1"/>
    <col min="18" max="18" width="13.7109375" bestFit="1" customWidth="1"/>
    <col min="19" max="20" width="9.28515625" bestFit="1" customWidth="1"/>
    <col min="21" max="21" width="14.85546875" bestFit="1" customWidth="1"/>
    <col min="22" max="22" width="15.28515625" customWidth="1"/>
    <col min="23" max="23" width="11.42578125" bestFit="1" customWidth="1"/>
    <col min="24" max="24" width="9.28515625" bestFit="1" customWidth="1"/>
    <col min="26" max="26" width="14.85546875" bestFit="1" customWidth="1"/>
    <col min="27" max="27" width="17" bestFit="1" customWidth="1"/>
    <col min="28" max="28" width="14.85546875" bestFit="1" customWidth="1"/>
    <col min="29" max="29" width="16" bestFit="1" customWidth="1"/>
    <col min="30" max="30" width="14.85546875" bestFit="1" customWidth="1"/>
    <col min="31" max="31" width="16" bestFit="1" customWidth="1"/>
    <col min="32" max="32" width="12.5703125" bestFit="1" customWidth="1"/>
  </cols>
  <sheetData>
    <row r="1" spans="1:32" x14ac:dyDescent="0.25">
      <c r="A1" t="s">
        <v>65</v>
      </c>
      <c r="B1" t="s">
        <v>3</v>
      </c>
      <c r="C1" t="s">
        <v>64</v>
      </c>
      <c r="D1" t="s">
        <v>66</v>
      </c>
      <c r="E1" t="s">
        <v>67</v>
      </c>
      <c r="F1" t="s">
        <v>68</v>
      </c>
      <c r="G1" t="s">
        <v>69</v>
      </c>
      <c r="H1" t="s">
        <v>70</v>
      </c>
      <c r="I1" t="s">
        <v>71</v>
      </c>
      <c r="J1" t="s">
        <v>72</v>
      </c>
      <c r="K1" t="s">
        <v>73</v>
      </c>
      <c r="L1" t="s">
        <v>74</v>
      </c>
      <c r="M1" t="s">
        <v>75</v>
      </c>
      <c r="N1" t="s">
        <v>76</v>
      </c>
      <c r="O1" t="s">
        <v>77</v>
      </c>
      <c r="P1" t="s">
        <v>78</v>
      </c>
      <c r="Q1" t="s">
        <v>79</v>
      </c>
      <c r="R1" t="s">
        <v>80</v>
      </c>
      <c r="S1" t="s">
        <v>81</v>
      </c>
      <c r="T1" t="s">
        <v>82</v>
      </c>
      <c r="U1" t="s">
        <v>83</v>
      </c>
      <c r="V1" t="s">
        <v>84</v>
      </c>
      <c r="W1" t="s">
        <v>85</v>
      </c>
      <c r="X1" t="s">
        <v>86</v>
      </c>
      <c r="Y1" t="s">
        <v>194</v>
      </c>
      <c r="Z1" t="s">
        <v>71</v>
      </c>
      <c r="AA1" t="s">
        <v>73</v>
      </c>
      <c r="AB1" t="s">
        <v>75</v>
      </c>
      <c r="AC1" t="s">
        <v>78</v>
      </c>
      <c r="AD1" t="s">
        <v>80</v>
      </c>
      <c r="AE1" t="s">
        <v>83</v>
      </c>
      <c r="AF1" t="s">
        <v>85</v>
      </c>
    </row>
    <row r="2" spans="1:32" x14ac:dyDescent="0.25">
      <c r="A2" t="s">
        <v>87</v>
      </c>
      <c r="B2" t="s">
        <v>25</v>
      </c>
      <c r="C2">
        <v>2</v>
      </c>
      <c r="D2">
        <v>2025</v>
      </c>
      <c r="E2" t="s">
        <v>102</v>
      </c>
      <c r="F2" t="s">
        <v>103</v>
      </c>
      <c r="G2" s="6">
        <v>33811</v>
      </c>
      <c r="H2" s="6">
        <v>1626508.69</v>
      </c>
      <c r="I2" s="6">
        <v>229677</v>
      </c>
      <c r="J2" s="6">
        <v>10.214213097738099</v>
      </c>
      <c r="K2" s="6">
        <v>10825549.189999999</v>
      </c>
      <c r="L2" s="6">
        <v>10.216444687252499</v>
      </c>
      <c r="M2" s="6">
        <v>131744</v>
      </c>
      <c r="N2" s="6">
        <v>11.717858473842901</v>
      </c>
      <c r="O2" s="6">
        <v>47.258538832888</v>
      </c>
      <c r="P2" s="6">
        <v>6226028.9400000004</v>
      </c>
      <c r="Q2" s="6">
        <v>11.7514371190523</v>
      </c>
      <c r="R2" s="6">
        <v>97933</v>
      </c>
      <c r="S2" s="6">
        <v>8.7105677216332609</v>
      </c>
      <c r="T2" s="6">
        <v>46.9659895030276</v>
      </c>
      <c r="U2" s="6">
        <v>4599520.25</v>
      </c>
      <c r="V2" s="6">
        <v>8.6814522557424691</v>
      </c>
      <c r="W2" s="6">
        <v>939</v>
      </c>
      <c r="X2" s="6">
        <v>14.052678838671101</v>
      </c>
      <c r="Y2" s="6"/>
      <c r="Z2" s="6">
        <v>2248602</v>
      </c>
      <c r="AA2" s="6">
        <v>105962000.69</v>
      </c>
      <c r="AB2" s="6">
        <v>1124301</v>
      </c>
      <c r="AC2" s="6">
        <v>52981000.340000004</v>
      </c>
      <c r="AD2" s="6">
        <v>1124301</v>
      </c>
      <c r="AE2" s="6">
        <v>52981000.350000001</v>
      </c>
      <c r="AF2" s="6">
        <v>6682</v>
      </c>
    </row>
    <row r="3" spans="1:32" x14ac:dyDescent="0.25">
      <c r="A3" t="s">
        <v>87</v>
      </c>
      <c r="B3" t="s">
        <v>25</v>
      </c>
      <c r="C3">
        <v>3</v>
      </c>
      <c r="D3">
        <v>2025</v>
      </c>
      <c r="E3" t="s">
        <v>102</v>
      </c>
      <c r="F3" t="s">
        <v>103</v>
      </c>
      <c r="G3" s="6">
        <v>52171</v>
      </c>
      <c r="H3" s="6">
        <v>2559874.31</v>
      </c>
      <c r="I3" s="6">
        <v>323415</v>
      </c>
      <c r="J3" s="6">
        <v>11.493593169838601</v>
      </c>
      <c r="K3" s="6">
        <v>15904654.289999999</v>
      </c>
      <c r="L3" s="6">
        <v>11.5614879837592</v>
      </c>
      <c r="M3" s="6">
        <v>187793</v>
      </c>
      <c r="N3" s="6">
        <v>13.3476576048946</v>
      </c>
      <c r="O3" s="6">
        <v>49.161919240866297</v>
      </c>
      <c r="P3" s="6">
        <v>9232264.3000000007</v>
      </c>
      <c r="Q3" s="6">
        <v>13.422324160098301</v>
      </c>
      <c r="R3" s="6">
        <v>135622</v>
      </c>
      <c r="S3" s="6">
        <v>9.6395287347825391</v>
      </c>
      <c r="T3" s="6">
        <v>49.198433808674103</v>
      </c>
      <c r="U3" s="6">
        <v>6672389.9900000002</v>
      </c>
      <c r="V3" s="6">
        <v>9.7006518074200798</v>
      </c>
      <c r="W3" s="6">
        <v>1425</v>
      </c>
      <c r="X3" s="6">
        <v>15.8544726301736</v>
      </c>
      <c r="Y3" s="6"/>
      <c r="Z3" s="6">
        <v>2813872</v>
      </c>
      <c r="AA3" s="6">
        <v>137565807.38</v>
      </c>
      <c r="AB3" s="6">
        <v>1406936</v>
      </c>
      <c r="AC3" s="6">
        <v>68782903.689999998</v>
      </c>
      <c r="AD3" s="6">
        <v>1406936</v>
      </c>
      <c r="AE3" s="6">
        <v>68782903.689999998</v>
      </c>
      <c r="AF3" s="6">
        <v>8988</v>
      </c>
    </row>
    <row r="4" spans="1:32" x14ac:dyDescent="0.25">
      <c r="A4" t="s">
        <v>87</v>
      </c>
      <c r="B4" t="s">
        <v>25</v>
      </c>
      <c r="C4">
        <v>4</v>
      </c>
      <c r="D4">
        <v>2025</v>
      </c>
      <c r="E4" t="s">
        <v>102</v>
      </c>
      <c r="F4" t="s">
        <v>103</v>
      </c>
      <c r="G4" s="6">
        <v>137624</v>
      </c>
      <c r="H4" s="6">
        <v>6648423.2099999897</v>
      </c>
      <c r="I4" s="6">
        <v>1012988</v>
      </c>
      <c r="J4" s="6">
        <v>17.372392009496799</v>
      </c>
      <c r="K4" s="6">
        <v>47792130.490000002</v>
      </c>
      <c r="L4" s="6">
        <v>17.326987966400299</v>
      </c>
      <c r="M4" s="6">
        <v>575306</v>
      </c>
      <c r="N4" s="6">
        <v>19.732595761086099</v>
      </c>
      <c r="O4" s="6">
        <v>47.314432406406297</v>
      </c>
      <c r="P4" s="6">
        <v>27220276.850000001</v>
      </c>
      <c r="Q4" s="6">
        <v>19.7373669926986</v>
      </c>
      <c r="R4" s="6">
        <v>437682</v>
      </c>
      <c r="S4" s="6">
        <v>15.0121882579074</v>
      </c>
      <c r="T4" s="6">
        <v>47.001826988544202</v>
      </c>
      <c r="U4" s="6">
        <v>20571853.640000001</v>
      </c>
      <c r="V4" s="6">
        <v>14.916608940102099</v>
      </c>
      <c r="W4" s="6">
        <v>3603</v>
      </c>
      <c r="X4" s="6">
        <v>18.8421713209915</v>
      </c>
      <c r="Y4" s="6"/>
      <c r="Z4" s="6">
        <v>5831022</v>
      </c>
      <c r="AA4" s="6">
        <v>275824803.38</v>
      </c>
      <c r="AB4" s="6">
        <v>2915511</v>
      </c>
      <c r="AC4" s="6">
        <v>137912401.69</v>
      </c>
      <c r="AD4" s="6">
        <v>2915511</v>
      </c>
      <c r="AE4" s="6">
        <v>137912401.69</v>
      </c>
      <c r="AF4" s="6">
        <v>19122</v>
      </c>
    </row>
    <row r="5" spans="1:32" x14ac:dyDescent="0.25">
      <c r="A5" t="s">
        <v>87</v>
      </c>
      <c r="B5" t="s">
        <v>25</v>
      </c>
      <c r="C5">
        <v>5</v>
      </c>
      <c r="D5">
        <v>2025</v>
      </c>
      <c r="E5" t="s">
        <v>102</v>
      </c>
      <c r="F5" t="s">
        <v>103</v>
      </c>
      <c r="G5" s="6">
        <v>22642</v>
      </c>
      <c r="H5" s="6">
        <v>1135967.4099999999</v>
      </c>
      <c r="I5" s="6">
        <v>594220</v>
      </c>
      <c r="J5" s="6">
        <v>8.2395061454497007</v>
      </c>
      <c r="K5" s="6">
        <v>27919442.530000001</v>
      </c>
      <c r="L5" s="6">
        <v>8.2243404933044193</v>
      </c>
      <c r="M5" s="6">
        <v>308431</v>
      </c>
      <c r="N5" s="6">
        <v>8.5534620845720397</v>
      </c>
      <c r="O5" s="6">
        <v>47.101961119342697</v>
      </c>
      <c r="P5" s="6">
        <v>14527704.970000001</v>
      </c>
      <c r="Q5" s="6">
        <v>8.5589669013746494</v>
      </c>
      <c r="R5" s="6">
        <v>285789</v>
      </c>
      <c r="S5" s="6">
        <v>7.9255502063273697</v>
      </c>
      <c r="T5" s="6">
        <v>46.858827876510297</v>
      </c>
      <c r="U5" s="6">
        <v>13391737.560000001</v>
      </c>
      <c r="V5" s="6">
        <v>7.88971408523419</v>
      </c>
      <c r="W5" s="6">
        <v>2606</v>
      </c>
      <c r="X5" s="6">
        <v>14.681690140845101</v>
      </c>
      <c r="Y5" s="6"/>
      <c r="Z5" s="6">
        <v>7211840</v>
      </c>
      <c r="AA5" s="6">
        <v>339473329.83999997</v>
      </c>
      <c r="AB5" s="6">
        <v>3605920</v>
      </c>
      <c r="AC5" s="6">
        <v>169736664.91999999</v>
      </c>
      <c r="AD5" s="6">
        <v>3605920</v>
      </c>
      <c r="AE5" s="6">
        <v>169736664.91999999</v>
      </c>
      <c r="AF5" s="6">
        <v>17750</v>
      </c>
    </row>
    <row r="6" spans="1:32" x14ac:dyDescent="0.25">
      <c r="A6" t="s">
        <v>87</v>
      </c>
      <c r="B6" t="s">
        <v>25</v>
      </c>
      <c r="C6">
        <v>6</v>
      </c>
      <c r="D6">
        <v>2025</v>
      </c>
      <c r="E6" t="s">
        <v>102</v>
      </c>
      <c r="F6" t="s">
        <v>103</v>
      </c>
      <c r="G6" s="6">
        <v>202612</v>
      </c>
      <c r="H6" s="6">
        <v>10257837.189999999</v>
      </c>
      <c r="I6" s="6">
        <v>927232</v>
      </c>
      <c r="J6" s="6">
        <v>16.878274922173699</v>
      </c>
      <c r="K6" s="6">
        <v>47374171.93</v>
      </c>
      <c r="L6" s="6">
        <v>16.8829346712341</v>
      </c>
      <c r="M6" s="6">
        <v>564922</v>
      </c>
      <c r="N6" s="6">
        <v>20.566392932047599</v>
      </c>
      <c r="O6" s="6">
        <v>51.008819907881097</v>
      </c>
      <c r="P6" s="6">
        <v>28816004.559999999</v>
      </c>
      <c r="Q6" s="6">
        <v>20.538563637220498</v>
      </c>
      <c r="R6" s="6">
        <v>362310</v>
      </c>
      <c r="S6" s="6">
        <v>13.190156912299701</v>
      </c>
      <c r="T6" s="6">
        <v>51.221791752918797</v>
      </c>
      <c r="U6" s="6">
        <v>18558167.370000001</v>
      </c>
      <c r="V6" s="6">
        <v>13.227305705247799</v>
      </c>
      <c r="W6" s="6">
        <v>3904</v>
      </c>
      <c r="X6" s="6">
        <v>16.842105263157901</v>
      </c>
      <c r="Y6" s="6"/>
      <c r="Z6" s="6">
        <v>5493642</v>
      </c>
      <c r="AA6" s="6">
        <v>280603892.94</v>
      </c>
      <c r="AB6" s="6">
        <v>2746821</v>
      </c>
      <c r="AC6" s="6">
        <v>140301946.47</v>
      </c>
      <c r="AD6" s="6">
        <v>2746821</v>
      </c>
      <c r="AE6" s="6">
        <v>140301946.47</v>
      </c>
      <c r="AF6" s="6">
        <v>23180</v>
      </c>
    </row>
    <row r="7" spans="1:32" x14ac:dyDescent="0.25">
      <c r="A7" t="s">
        <v>87</v>
      </c>
      <c r="B7" t="s">
        <v>25</v>
      </c>
      <c r="C7">
        <v>7</v>
      </c>
      <c r="D7">
        <v>2025</v>
      </c>
      <c r="E7" t="s">
        <v>102</v>
      </c>
      <c r="F7" t="s">
        <v>103</v>
      </c>
      <c r="G7" s="6">
        <v>82927</v>
      </c>
      <c r="H7" s="6">
        <v>4445498.9400000004</v>
      </c>
      <c r="I7" s="6">
        <v>429035</v>
      </c>
      <c r="J7" s="6">
        <v>12.0036382885383</v>
      </c>
      <c r="K7" s="6">
        <v>22809605.879999999</v>
      </c>
      <c r="L7" s="6">
        <v>11.964430188756401</v>
      </c>
      <c r="M7" s="6">
        <v>255981</v>
      </c>
      <c r="N7" s="6">
        <v>14.323788654717401</v>
      </c>
      <c r="O7" s="6">
        <v>53.236577753817699</v>
      </c>
      <c r="P7" s="6">
        <v>13627552.41</v>
      </c>
      <c r="Q7" s="6">
        <v>14.2962487217745</v>
      </c>
      <c r="R7" s="6">
        <v>173054</v>
      </c>
      <c r="S7" s="6">
        <v>9.6834879223592996</v>
      </c>
      <c r="T7" s="6">
        <v>53.058891848787098</v>
      </c>
      <c r="U7" s="6">
        <v>9182053.4700000007</v>
      </c>
      <c r="V7" s="6">
        <v>9.6326116557384207</v>
      </c>
      <c r="W7" s="6">
        <v>1810</v>
      </c>
      <c r="X7" s="6">
        <v>13.2523063406062</v>
      </c>
      <c r="Y7" s="6"/>
      <c r="Z7" s="6">
        <v>3574208</v>
      </c>
      <c r="AA7" s="6">
        <v>190645150</v>
      </c>
      <c r="AB7" s="6">
        <v>1787104</v>
      </c>
      <c r="AC7" s="6">
        <v>95322575</v>
      </c>
      <c r="AD7" s="6">
        <v>1787104</v>
      </c>
      <c r="AE7" s="6">
        <v>95322575</v>
      </c>
      <c r="AF7" s="6">
        <v>13658</v>
      </c>
    </row>
    <row r="8" spans="1:32" x14ac:dyDescent="0.25">
      <c r="A8" t="s">
        <v>87</v>
      </c>
      <c r="B8" t="s">
        <v>25</v>
      </c>
      <c r="C8">
        <v>8</v>
      </c>
      <c r="D8">
        <v>2025</v>
      </c>
      <c r="E8" t="s">
        <v>102</v>
      </c>
      <c r="F8" t="s">
        <v>103</v>
      </c>
      <c r="G8" s="6">
        <v>54530</v>
      </c>
      <c r="H8" s="6">
        <v>2945054.52</v>
      </c>
      <c r="I8" s="6">
        <v>300690</v>
      </c>
      <c r="J8" s="6">
        <v>11.928460181737499</v>
      </c>
      <c r="K8" s="6">
        <v>16217480.32</v>
      </c>
      <c r="L8" s="6">
        <v>11.898457655138399</v>
      </c>
      <c r="M8" s="6">
        <v>177610</v>
      </c>
      <c r="N8" s="6">
        <v>14.0916812190522</v>
      </c>
      <c r="O8" s="6">
        <v>53.945540341197002</v>
      </c>
      <c r="P8" s="6">
        <v>9581267.4199999999</v>
      </c>
      <c r="Q8" s="6">
        <v>14.0591882869542</v>
      </c>
      <c r="R8" s="6">
        <v>123080</v>
      </c>
      <c r="S8" s="6">
        <v>9.7652391444228694</v>
      </c>
      <c r="T8" s="6">
        <v>53.917881865453403</v>
      </c>
      <c r="U8" s="6">
        <v>6636212.9000000004</v>
      </c>
      <c r="V8" s="6">
        <v>9.7377270233226092</v>
      </c>
      <c r="W8" s="6">
        <v>1466</v>
      </c>
      <c r="X8" s="6">
        <v>13.5791033716191</v>
      </c>
      <c r="Y8" s="6"/>
      <c r="Z8" s="6">
        <v>2520778</v>
      </c>
      <c r="AA8" s="6">
        <v>136299012.78</v>
      </c>
      <c r="AB8" s="6">
        <v>1260389</v>
      </c>
      <c r="AC8" s="6">
        <v>68149506.390000001</v>
      </c>
      <c r="AD8" s="6">
        <v>1260389</v>
      </c>
      <c r="AE8" s="6">
        <v>68149506.390000001</v>
      </c>
      <c r="AF8" s="6">
        <v>10796</v>
      </c>
    </row>
    <row r="9" spans="1:32" x14ac:dyDescent="0.25">
      <c r="A9" t="s">
        <v>87</v>
      </c>
      <c r="B9" t="s">
        <v>25</v>
      </c>
      <c r="C9">
        <v>9</v>
      </c>
      <c r="D9">
        <v>2025</v>
      </c>
      <c r="E9" t="s">
        <v>102</v>
      </c>
      <c r="F9" t="s">
        <v>103</v>
      </c>
      <c r="G9" s="6">
        <v>273295</v>
      </c>
      <c r="H9" s="6">
        <v>16480886.119999999</v>
      </c>
      <c r="I9" s="6">
        <v>606725</v>
      </c>
      <c r="J9" s="6">
        <v>13.0753780540105</v>
      </c>
      <c r="K9" s="6">
        <v>36335694.219999999</v>
      </c>
      <c r="L9" s="6">
        <v>13.0609110713901</v>
      </c>
      <c r="M9" s="6">
        <v>440010</v>
      </c>
      <c r="N9" s="6">
        <v>18.96508994205</v>
      </c>
      <c r="O9" s="6">
        <v>60.017477261880401</v>
      </c>
      <c r="P9" s="6">
        <v>26408290.170000002</v>
      </c>
      <c r="Q9" s="6">
        <v>18.9849863529282</v>
      </c>
      <c r="R9" s="6">
        <v>166715</v>
      </c>
      <c r="S9" s="6">
        <v>7.1856661659709404</v>
      </c>
      <c r="T9" s="6">
        <v>59.5471556248688</v>
      </c>
      <c r="U9" s="6">
        <v>9927404.0500000007</v>
      </c>
      <c r="V9" s="6">
        <v>7.1368357894260397</v>
      </c>
      <c r="W9" s="6">
        <v>3661</v>
      </c>
      <c r="X9" s="6">
        <v>16.288485495639801</v>
      </c>
      <c r="Y9" s="6"/>
      <c r="Z9" s="6">
        <v>4640210</v>
      </c>
      <c r="AA9" s="6">
        <v>278201834.63</v>
      </c>
      <c r="AB9" s="6">
        <v>2320105</v>
      </c>
      <c r="AC9" s="6">
        <v>139100917.31999999</v>
      </c>
      <c r="AD9" s="6">
        <v>2320105</v>
      </c>
      <c r="AE9" s="6">
        <v>139100917.31</v>
      </c>
      <c r="AF9" s="6">
        <v>22476</v>
      </c>
    </row>
    <row r="10" spans="1:32" x14ac:dyDescent="0.25">
      <c r="A10" t="s">
        <v>87</v>
      </c>
      <c r="B10" t="s">
        <v>25</v>
      </c>
      <c r="C10">
        <v>10</v>
      </c>
      <c r="D10">
        <v>2025</v>
      </c>
      <c r="E10" t="s">
        <v>102</v>
      </c>
      <c r="F10" t="s">
        <v>103</v>
      </c>
      <c r="G10" s="6">
        <v>156586</v>
      </c>
      <c r="H10" s="6">
        <v>11623423.98</v>
      </c>
      <c r="I10" s="6">
        <v>1217746</v>
      </c>
      <c r="J10" s="6">
        <v>14.069982375346701</v>
      </c>
      <c r="K10" s="6">
        <v>85753451.079999998</v>
      </c>
      <c r="L10" s="6">
        <v>14.085020540580301</v>
      </c>
      <c r="M10" s="6">
        <v>687166</v>
      </c>
      <c r="N10" s="6">
        <v>15.8791956761713</v>
      </c>
      <c r="O10" s="6">
        <v>70.853967643917201</v>
      </c>
      <c r="P10" s="6">
        <v>48688437.530000001</v>
      </c>
      <c r="Q10" s="6">
        <v>15.9941701260007</v>
      </c>
      <c r="R10" s="6">
        <v>530580</v>
      </c>
      <c r="S10" s="6">
        <v>12.260769074522001</v>
      </c>
      <c r="T10" s="6">
        <v>69.857539956274294</v>
      </c>
      <c r="U10" s="6">
        <v>37065013.549999997</v>
      </c>
      <c r="V10" s="6">
        <v>12.175870955348</v>
      </c>
      <c r="W10" s="6">
        <v>8866</v>
      </c>
      <c r="X10" s="6">
        <v>18.653482011361199</v>
      </c>
      <c r="Y10" s="6"/>
      <c r="Z10" s="6">
        <v>8654922</v>
      </c>
      <c r="AA10" s="6">
        <v>608827305.80999994</v>
      </c>
      <c r="AB10" s="6">
        <v>4327461</v>
      </c>
      <c r="AC10" s="6">
        <v>304413652.88999999</v>
      </c>
      <c r="AD10" s="6">
        <v>4327461</v>
      </c>
      <c r="AE10" s="6">
        <v>304413652.92000002</v>
      </c>
      <c r="AF10" s="6">
        <v>47530</v>
      </c>
    </row>
    <row r="11" spans="1:32" x14ac:dyDescent="0.25">
      <c r="A11" t="s">
        <v>87</v>
      </c>
      <c r="B11" t="s">
        <v>25</v>
      </c>
      <c r="C11">
        <v>11</v>
      </c>
      <c r="D11">
        <v>2025</v>
      </c>
      <c r="E11" t="s">
        <v>102</v>
      </c>
      <c r="F11" t="s">
        <v>103</v>
      </c>
      <c r="G11" s="6">
        <v>32219</v>
      </c>
      <c r="H11" s="6">
        <v>2476250.29</v>
      </c>
      <c r="I11" s="6">
        <v>472605</v>
      </c>
      <c r="J11" s="6">
        <v>12.6394375162137</v>
      </c>
      <c r="K11" s="6">
        <v>34226603.630000003</v>
      </c>
      <c r="L11" s="6">
        <v>12.7559723449122</v>
      </c>
      <c r="M11" s="6">
        <v>252412</v>
      </c>
      <c r="N11" s="6">
        <v>13.5011085466405</v>
      </c>
      <c r="O11" s="6">
        <v>72.704257166854205</v>
      </c>
      <c r="P11" s="6">
        <v>18351426.960000001</v>
      </c>
      <c r="Q11" s="6">
        <v>13.678850365248</v>
      </c>
      <c r="R11" s="6">
        <v>220193</v>
      </c>
      <c r="S11" s="6">
        <v>11.777766485786801</v>
      </c>
      <c r="T11" s="6">
        <v>72.096645533690904</v>
      </c>
      <c r="U11" s="6">
        <v>15875176.67</v>
      </c>
      <c r="V11" s="6">
        <v>11.8330943245076</v>
      </c>
      <c r="W11" s="6">
        <v>3040</v>
      </c>
      <c r="X11" s="6">
        <v>14.906345003432399</v>
      </c>
      <c r="Y11" s="6"/>
      <c r="Z11" s="6">
        <v>3739130</v>
      </c>
      <c r="AA11" s="6">
        <v>268318264.61000001</v>
      </c>
      <c r="AB11" s="6">
        <v>1869565</v>
      </c>
      <c r="AC11" s="6">
        <v>134159132.31</v>
      </c>
      <c r="AD11" s="6">
        <v>1869565</v>
      </c>
      <c r="AE11" s="6">
        <v>134159132.3</v>
      </c>
      <c r="AF11" s="6">
        <v>20394</v>
      </c>
    </row>
    <row r="12" spans="1:32" x14ac:dyDescent="0.25">
      <c r="A12" t="s">
        <v>87</v>
      </c>
      <c r="B12" t="s">
        <v>25</v>
      </c>
      <c r="C12">
        <v>12</v>
      </c>
      <c r="D12">
        <v>2025</v>
      </c>
      <c r="E12" t="s">
        <v>102</v>
      </c>
      <c r="F12" t="s">
        <v>103</v>
      </c>
      <c r="G12" s="6">
        <v>278915</v>
      </c>
      <c r="H12" s="6">
        <v>25313536.920000002</v>
      </c>
      <c r="I12" s="6">
        <v>1221593</v>
      </c>
      <c r="J12" s="6">
        <v>12.217669796179001</v>
      </c>
      <c r="K12" s="6">
        <v>114757748.88</v>
      </c>
      <c r="L12" s="6">
        <v>12.434234334928</v>
      </c>
      <c r="M12" s="6">
        <v>750254</v>
      </c>
      <c r="N12" s="6">
        <v>15.0072170277047</v>
      </c>
      <c r="O12" s="6">
        <v>93.3492429230634</v>
      </c>
      <c r="P12" s="6">
        <v>70035642.900000006</v>
      </c>
      <c r="Q12" s="6">
        <v>15.177007288437</v>
      </c>
      <c r="R12" s="6">
        <v>471339</v>
      </c>
      <c r="S12" s="6">
        <v>9.4281225646532096</v>
      </c>
      <c r="T12" s="6">
        <v>94.883101080114301</v>
      </c>
      <c r="U12" s="6">
        <v>44722105.979999997</v>
      </c>
      <c r="V12" s="6">
        <v>9.6914613811812007</v>
      </c>
      <c r="W12" s="6">
        <v>9079</v>
      </c>
      <c r="X12" s="6">
        <v>17.644886694912</v>
      </c>
      <c r="Y12" s="6"/>
      <c r="Z12" s="6">
        <v>9998576</v>
      </c>
      <c r="AA12" s="6">
        <v>922917694.72000003</v>
      </c>
      <c r="AB12" s="6">
        <v>4999288</v>
      </c>
      <c r="AC12" s="6">
        <v>461458847.38</v>
      </c>
      <c r="AD12" s="6">
        <v>4999288</v>
      </c>
      <c r="AE12" s="6">
        <v>461458847.33999997</v>
      </c>
      <c r="AF12" s="6">
        <v>51454</v>
      </c>
    </row>
    <row r="13" spans="1:32" x14ac:dyDescent="0.25">
      <c r="A13" t="s">
        <v>87</v>
      </c>
      <c r="B13" t="s">
        <v>25</v>
      </c>
      <c r="C13">
        <v>1</v>
      </c>
      <c r="D13">
        <v>2026</v>
      </c>
      <c r="E13" t="s">
        <v>102</v>
      </c>
      <c r="F13" t="s">
        <v>103</v>
      </c>
      <c r="G13" s="6">
        <v>147481</v>
      </c>
      <c r="H13" s="6">
        <v>18366505.9799999</v>
      </c>
      <c r="I13" s="6">
        <v>1657187</v>
      </c>
      <c r="J13" s="6">
        <v>15.984962904987899</v>
      </c>
      <c r="K13" s="6">
        <v>196945248.46000001</v>
      </c>
      <c r="L13" s="6">
        <v>15.939831414598499</v>
      </c>
      <c r="M13" s="6">
        <v>902334</v>
      </c>
      <c r="N13" s="6">
        <v>17.407541234524899</v>
      </c>
      <c r="O13" s="6">
        <v>119.308235331928</v>
      </c>
      <c r="P13" s="6">
        <v>107655877.22</v>
      </c>
      <c r="Q13" s="6">
        <v>17.426330892708101</v>
      </c>
      <c r="R13" s="6">
        <v>754853</v>
      </c>
      <c r="S13" s="6">
        <v>14.5623845754508</v>
      </c>
      <c r="T13" s="6">
        <v>118.287098600655</v>
      </c>
      <c r="U13" s="6">
        <v>89289371.239999995</v>
      </c>
      <c r="V13" s="6">
        <v>14.4533319365369</v>
      </c>
      <c r="W13" s="6">
        <v>13256</v>
      </c>
      <c r="X13" s="6">
        <v>18.038319181362901</v>
      </c>
      <c r="Y13" s="6"/>
      <c r="Z13" s="6">
        <v>10367162</v>
      </c>
      <c r="AA13" s="6">
        <v>1235554149.46</v>
      </c>
      <c r="AB13" s="6">
        <v>5183581</v>
      </c>
      <c r="AC13" s="6">
        <v>617777074.72000003</v>
      </c>
      <c r="AD13" s="6">
        <v>5183581</v>
      </c>
      <c r="AE13" s="6">
        <v>617777074.74000001</v>
      </c>
      <c r="AF13" s="6">
        <v>73488</v>
      </c>
    </row>
    <row r="14" spans="1:32" x14ac:dyDescent="0.25">
      <c r="A14" t="s">
        <v>179</v>
      </c>
      <c r="B14" t="s">
        <v>61</v>
      </c>
      <c r="C14">
        <v>2</v>
      </c>
      <c r="D14">
        <v>2025</v>
      </c>
      <c r="E14" t="s">
        <v>102</v>
      </c>
      <c r="F14" t="s">
        <v>103</v>
      </c>
      <c r="G14" s="6">
        <v>586</v>
      </c>
      <c r="H14" s="6">
        <v>80684.67</v>
      </c>
      <c r="I14" s="6">
        <v>2458</v>
      </c>
      <c r="J14" s="6">
        <v>27.519032691446501</v>
      </c>
      <c r="K14" s="6">
        <v>350786.39</v>
      </c>
      <c r="L14" s="6">
        <v>27.3339361162427</v>
      </c>
      <c r="M14" s="6">
        <v>1522</v>
      </c>
      <c r="N14" s="6">
        <v>34.079713390058203</v>
      </c>
      <c r="O14" s="6">
        <v>141.74476346911999</v>
      </c>
      <c r="P14" s="6">
        <v>215735.53</v>
      </c>
      <c r="Q14" s="6">
        <v>33.621037549511399</v>
      </c>
      <c r="R14" s="6">
        <v>936</v>
      </c>
      <c r="S14" s="6">
        <v>20.9583519928347</v>
      </c>
      <c r="T14" s="6">
        <v>144.285106837607</v>
      </c>
      <c r="U14" s="6">
        <v>135050.85999999999</v>
      </c>
      <c r="V14" s="6">
        <v>21.046834682974101</v>
      </c>
      <c r="W14" s="6">
        <v>54</v>
      </c>
      <c r="X14" s="6">
        <v>27.835051546391799</v>
      </c>
      <c r="Y14" s="6"/>
      <c r="Z14" s="6">
        <v>8932</v>
      </c>
      <c r="AA14" s="6">
        <v>1283336.54</v>
      </c>
      <c r="AB14" s="6">
        <v>4466</v>
      </c>
      <c r="AC14" s="6">
        <v>641668.27</v>
      </c>
      <c r="AD14" s="6">
        <v>4466</v>
      </c>
      <c r="AE14" s="6">
        <v>641668.27</v>
      </c>
      <c r="AF14" s="6">
        <v>194</v>
      </c>
    </row>
    <row r="15" spans="1:32" x14ac:dyDescent="0.25">
      <c r="A15" t="s">
        <v>179</v>
      </c>
      <c r="B15" t="s">
        <v>61</v>
      </c>
      <c r="C15">
        <v>3</v>
      </c>
      <c r="D15">
        <v>2025</v>
      </c>
      <c r="E15" t="s">
        <v>102</v>
      </c>
      <c r="F15" t="s">
        <v>103</v>
      </c>
      <c r="G15" s="6">
        <v>-827</v>
      </c>
      <c r="H15" s="6">
        <v>-117590.49</v>
      </c>
      <c r="I15" s="6">
        <v>3065</v>
      </c>
      <c r="J15" s="6">
        <v>25.614240347651702</v>
      </c>
      <c r="K15" s="6">
        <v>434581.77</v>
      </c>
      <c r="L15" s="6">
        <v>25.717291623857001</v>
      </c>
      <c r="M15" s="6">
        <v>1119</v>
      </c>
      <c r="N15" s="6">
        <v>18.702991810128701</v>
      </c>
      <c r="O15" s="6">
        <v>141.64042895442401</v>
      </c>
      <c r="P15" s="6">
        <v>158495.64000000001</v>
      </c>
      <c r="Q15" s="6">
        <v>18.758626690621899</v>
      </c>
      <c r="R15" s="6">
        <v>1946</v>
      </c>
      <c r="S15" s="6">
        <v>32.525488885174703</v>
      </c>
      <c r="T15" s="6">
        <v>141.87365364850999</v>
      </c>
      <c r="U15" s="6">
        <v>276086.13</v>
      </c>
      <c r="V15" s="6">
        <v>32.675956557092</v>
      </c>
      <c r="W15" s="6">
        <v>41</v>
      </c>
      <c r="X15" s="6">
        <v>21.3541666666667</v>
      </c>
      <c r="Y15" s="6"/>
      <c r="Z15" s="6">
        <v>11966</v>
      </c>
      <c r="AA15" s="6">
        <v>1689842.68</v>
      </c>
      <c r="AB15" s="6">
        <v>5983</v>
      </c>
      <c r="AC15" s="6">
        <v>844921.34</v>
      </c>
      <c r="AD15" s="6">
        <v>5983</v>
      </c>
      <c r="AE15" s="6">
        <v>844921.34</v>
      </c>
      <c r="AF15" s="6">
        <v>192</v>
      </c>
    </row>
    <row r="16" spans="1:32" x14ac:dyDescent="0.25">
      <c r="A16" t="s">
        <v>179</v>
      </c>
      <c r="B16" t="s">
        <v>61</v>
      </c>
      <c r="C16">
        <v>4</v>
      </c>
      <c r="D16">
        <v>2025</v>
      </c>
      <c r="E16" t="s">
        <v>102</v>
      </c>
      <c r="F16" t="s">
        <v>103</v>
      </c>
      <c r="G16" s="6">
        <v>154</v>
      </c>
      <c r="H16" s="6">
        <v>19929.189999999999</v>
      </c>
      <c r="I16" s="6">
        <v>1932</v>
      </c>
      <c r="J16" s="6">
        <v>14.422215586742301</v>
      </c>
      <c r="K16" s="6">
        <v>268462.11</v>
      </c>
      <c r="L16" s="6">
        <v>14.3457504305348</v>
      </c>
      <c r="M16" s="6">
        <v>1043</v>
      </c>
      <c r="N16" s="6">
        <v>15.5718124813377</v>
      </c>
      <c r="O16" s="6">
        <v>138.25086289549401</v>
      </c>
      <c r="P16" s="6">
        <v>144195.65</v>
      </c>
      <c r="Q16" s="6">
        <v>15.4107021513669</v>
      </c>
      <c r="R16" s="6">
        <v>889</v>
      </c>
      <c r="S16" s="6">
        <v>13.272618692146899</v>
      </c>
      <c r="T16" s="6">
        <v>139.78229471316101</v>
      </c>
      <c r="U16" s="6">
        <v>124266.46</v>
      </c>
      <c r="V16" s="6">
        <v>13.280798709702699</v>
      </c>
      <c r="W16" s="6">
        <v>72</v>
      </c>
      <c r="X16" s="6">
        <v>27.480916030534399</v>
      </c>
      <c r="Y16" s="6"/>
      <c r="Z16" s="6">
        <v>13396</v>
      </c>
      <c r="AA16" s="6">
        <v>1871370.28</v>
      </c>
      <c r="AB16" s="6">
        <v>6698</v>
      </c>
      <c r="AC16" s="6">
        <v>935685.14</v>
      </c>
      <c r="AD16" s="6">
        <v>6698</v>
      </c>
      <c r="AE16" s="6">
        <v>935685.14</v>
      </c>
      <c r="AF16" s="6">
        <v>262</v>
      </c>
    </row>
    <row r="17" spans="1:32" x14ac:dyDescent="0.25">
      <c r="A17" t="s">
        <v>179</v>
      </c>
      <c r="B17" t="s">
        <v>61</v>
      </c>
      <c r="C17">
        <v>5</v>
      </c>
      <c r="D17">
        <v>2025</v>
      </c>
      <c r="E17" t="s">
        <v>102</v>
      </c>
      <c r="F17" t="s">
        <v>103</v>
      </c>
      <c r="G17" s="6">
        <v>-1724</v>
      </c>
      <c r="H17" s="6">
        <v>-245100.92</v>
      </c>
      <c r="I17" s="6">
        <v>4776</v>
      </c>
      <c r="J17" s="6">
        <v>20.128118678354699</v>
      </c>
      <c r="K17" s="6">
        <v>671515.52</v>
      </c>
      <c r="L17" s="6">
        <v>20.237180420718001</v>
      </c>
      <c r="M17" s="6">
        <v>1526</v>
      </c>
      <c r="N17" s="6">
        <v>12.862440997977099</v>
      </c>
      <c r="O17" s="6">
        <v>139.71644823066799</v>
      </c>
      <c r="P17" s="6">
        <v>213207.3</v>
      </c>
      <c r="Q17" s="6">
        <v>12.8506772177481</v>
      </c>
      <c r="R17" s="6">
        <v>3250</v>
      </c>
      <c r="S17" s="6">
        <v>27.393796358732299</v>
      </c>
      <c r="T17" s="6">
        <v>141.01791384615399</v>
      </c>
      <c r="U17" s="6">
        <v>458308.22</v>
      </c>
      <c r="V17" s="6">
        <v>27.6236836236878</v>
      </c>
      <c r="W17" s="6">
        <v>115</v>
      </c>
      <c r="X17" s="6">
        <v>24.468085106383</v>
      </c>
      <c r="Y17" s="6"/>
      <c r="Z17" s="6">
        <v>23728</v>
      </c>
      <c r="AA17" s="6">
        <v>3318226.68</v>
      </c>
      <c r="AB17" s="6">
        <v>11864</v>
      </c>
      <c r="AC17" s="6">
        <v>1659113.34</v>
      </c>
      <c r="AD17" s="6">
        <v>11864</v>
      </c>
      <c r="AE17" s="6">
        <v>1659113.34</v>
      </c>
      <c r="AF17" s="6">
        <v>470</v>
      </c>
    </row>
    <row r="18" spans="1:32" x14ac:dyDescent="0.25">
      <c r="A18" t="s">
        <v>179</v>
      </c>
      <c r="B18" t="s">
        <v>61</v>
      </c>
      <c r="C18">
        <v>6</v>
      </c>
      <c r="D18">
        <v>2025</v>
      </c>
      <c r="E18" t="s">
        <v>102</v>
      </c>
      <c r="F18" t="s">
        <v>103</v>
      </c>
      <c r="G18" s="6">
        <v>1389</v>
      </c>
      <c r="H18" s="6">
        <v>202552.18</v>
      </c>
      <c r="I18" s="6">
        <v>6167</v>
      </c>
      <c r="J18" s="6">
        <v>16.0423495135529</v>
      </c>
      <c r="K18" s="6">
        <v>931792.68</v>
      </c>
      <c r="L18" s="6">
        <v>15.946957162836901</v>
      </c>
      <c r="M18" s="6">
        <v>3778</v>
      </c>
      <c r="N18" s="6">
        <v>19.6555850371989</v>
      </c>
      <c r="O18" s="6">
        <v>150.125047644256</v>
      </c>
      <c r="P18" s="6">
        <v>567172.43000000005</v>
      </c>
      <c r="Q18" s="6">
        <v>19.413491089352899</v>
      </c>
      <c r="R18" s="6">
        <v>2389</v>
      </c>
      <c r="S18" s="6">
        <v>12.429113989906901</v>
      </c>
      <c r="T18" s="6">
        <v>152.62463373796601</v>
      </c>
      <c r="U18" s="6">
        <v>364620.25</v>
      </c>
      <c r="V18" s="6">
        <v>12.480423236321</v>
      </c>
      <c r="W18" s="6">
        <v>162</v>
      </c>
      <c r="X18" s="6">
        <v>24.397590361445801</v>
      </c>
      <c r="Y18" s="6"/>
      <c r="Z18" s="6">
        <v>38442</v>
      </c>
      <c r="AA18" s="6">
        <v>5843075.0800000001</v>
      </c>
      <c r="AB18" s="6">
        <v>19221</v>
      </c>
      <c r="AC18" s="6">
        <v>2921537.54</v>
      </c>
      <c r="AD18" s="6">
        <v>19221</v>
      </c>
      <c r="AE18" s="6">
        <v>2921537.54</v>
      </c>
      <c r="AF18" s="6">
        <v>664</v>
      </c>
    </row>
    <row r="19" spans="1:32" x14ac:dyDescent="0.25">
      <c r="A19" t="s">
        <v>179</v>
      </c>
      <c r="B19" t="s">
        <v>61</v>
      </c>
      <c r="C19">
        <v>7</v>
      </c>
      <c r="D19">
        <v>2025</v>
      </c>
      <c r="E19" t="s">
        <v>102</v>
      </c>
      <c r="F19" t="s">
        <v>103</v>
      </c>
      <c r="G19" s="6">
        <v>129</v>
      </c>
      <c r="H19" s="6">
        <v>16656.849999999999</v>
      </c>
      <c r="I19" s="6">
        <v>2103</v>
      </c>
      <c r="J19" s="6">
        <v>11.496829214957399</v>
      </c>
      <c r="K19" s="6">
        <v>364108.77</v>
      </c>
      <c r="L19" s="6">
        <v>11.5660917194331</v>
      </c>
      <c r="M19" s="6">
        <v>1116</v>
      </c>
      <c r="N19" s="6">
        <v>12.202055543407001</v>
      </c>
      <c r="O19" s="6">
        <v>170.59391577060899</v>
      </c>
      <c r="P19" s="6">
        <v>190382.81</v>
      </c>
      <c r="Q19" s="6">
        <v>12.095204640434201</v>
      </c>
      <c r="R19" s="6">
        <v>987</v>
      </c>
      <c r="S19" s="6">
        <v>10.7916028865078</v>
      </c>
      <c r="T19" s="6">
        <v>176.014143870314</v>
      </c>
      <c r="U19" s="6">
        <v>173725.96</v>
      </c>
      <c r="V19" s="6">
        <v>11.0369787984319</v>
      </c>
      <c r="W19" s="6">
        <v>96</v>
      </c>
      <c r="X19" s="6">
        <v>18.604651162790699</v>
      </c>
      <c r="Y19" s="6"/>
      <c r="Z19" s="6">
        <v>18292</v>
      </c>
      <c r="AA19" s="6">
        <v>3148070.92</v>
      </c>
      <c r="AB19" s="6">
        <v>9146</v>
      </c>
      <c r="AC19" s="6">
        <v>1574035.46</v>
      </c>
      <c r="AD19" s="6">
        <v>9146</v>
      </c>
      <c r="AE19" s="6">
        <v>1574035.46</v>
      </c>
      <c r="AF19" s="6">
        <v>516</v>
      </c>
    </row>
    <row r="20" spans="1:32" x14ac:dyDescent="0.25">
      <c r="A20" t="s">
        <v>179</v>
      </c>
      <c r="B20" t="s">
        <v>61</v>
      </c>
      <c r="C20">
        <v>8</v>
      </c>
      <c r="D20">
        <v>2025</v>
      </c>
      <c r="E20" t="s">
        <v>102</v>
      </c>
      <c r="F20" t="s">
        <v>103</v>
      </c>
      <c r="G20" s="6">
        <v>704</v>
      </c>
      <c r="H20" s="6">
        <v>113190.59</v>
      </c>
      <c r="I20" s="6">
        <v>2208</v>
      </c>
      <c r="J20" s="6">
        <v>17.709335899903799</v>
      </c>
      <c r="K20" s="6">
        <v>362089.21</v>
      </c>
      <c r="L20" s="6">
        <v>17.496602629673301</v>
      </c>
      <c r="M20" s="6">
        <v>1456</v>
      </c>
      <c r="N20" s="6">
        <v>23.355790824510699</v>
      </c>
      <c r="O20" s="6">
        <v>163.21421703296701</v>
      </c>
      <c r="P20" s="6">
        <v>237639.9</v>
      </c>
      <c r="Q20" s="6">
        <v>22.966113236322599</v>
      </c>
      <c r="R20" s="6">
        <v>752</v>
      </c>
      <c r="S20" s="6">
        <v>12.0628809752968</v>
      </c>
      <c r="T20" s="6">
        <v>165.491103723404</v>
      </c>
      <c r="U20" s="6">
        <v>124449.31</v>
      </c>
      <c r="V20" s="6">
        <v>12.027092023024</v>
      </c>
      <c r="W20" s="6">
        <v>77</v>
      </c>
      <c r="X20" s="6">
        <v>20.588235294117599</v>
      </c>
      <c r="Y20" s="6"/>
      <c r="Z20" s="6">
        <v>12468</v>
      </c>
      <c r="AA20" s="6">
        <v>2069482.96</v>
      </c>
      <c r="AB20" s="6">
        <v>6234</v>
      </c>
      <c r="AC20" s="6">
        <v>1034741.48</v>
      </c>
      <c r="AD20" s="6">
        <v>6234</v>
      </c>
      <c r="AE20" s="6">
        <v>1034741.48</v>
      </c>
      <c r="AF20" s="6">
        <v>374</v>
      </c>
    </row>
    <row r="21" spans="1:32" x14ac:dyDescent="0.25">
      <c r="A21" t="s">
        <v>179</v>
      </c>
      <c r="B21" t="s">
        <v>61</v>
      </c>
      <c r="C21">
        <v>9</v>
      </c>
      <c r="D21">
        <v>2025</v>
      </c>
      <c r="E21" t="s">
        <v>102</v>
      </c>
      <c r="F21" t="s">
        <v>103</v>
      </c>
      <c r="G21" s="6">
        <v>3551</v>
      </c>
      <c r="H21" s="6">
        <v>620300.53</v>
      </c>
      <c r="I21" s="6">
        <v>7373</v>
      </c>
      <c r="J21" s="6">
        <v>20.341554930199202</v>
      </c>
      <c r="K21" s="6">
        <v>1298500.19</v>
      </c>
      <c r="L21" s="6">
        <v>20.532489293869901</v>
      </c>
      <c r="M21" s="6">
        <v>5462</v>
      </c>
      <c r="N21" s="6">
        <v>30.138498041163199</v>
      </c>
      <c r="O21" s="6">
        <v>175.65001098498701</v>
      </c>
      <c r="P21" s="6">
        <v>959400.36</v>
      </c>
      <c r="Q21" s="6">
        <v>30.340969946619602</v>
      </c>
      <c r="R21" s="6">
        <v>1911</v>
      </c>
      <c r="S21" s="6">
        <v>10.5446118192352</v>
      </c>
      <c r="T21" s="6">
        <v>177.44627420198799</v>
      </c>
      <c r="U21" s="6">
        <v>339099.83</v>
      </c>
      <c r="V21" s="6">
        <v>10.7240086411202</v>
      </c>
      <c r="W21" s="6">
        <v>216</v>
      </c>
      <c r="X21" s="6">
        <v>21.259842519685002</v>
      </c>
      <c r="Y21" s="6"/>
      <c r="Z21" s="6">
        <v>36246</v>
      </c>
      <c r="AA21" s="6">
        <v>6324124.5199999996</v>
      </c>
      <c r="AB21" s="6">
        <v>18123</v>
      </c>
      <c r="AC21" s="6">
        <v>3162062.26</v>
      </c>
      <c r="AD21" s="6">
        <v>18123</v>
      </c>
      <c r="AE21" s="6">
        <v>3162062.26</v>
      </c>
      <c r="AF21" s="6">
        <v>1016</v>
      </c>
    </row>
    <row r="22" spans="1:32" x14ac:dyDescent="0.25">
      <c r="A22" t="s">
        <v>179</v>
      </c>
      <c r="B22" t="s">
        <v>61</v>
      </c>
      <c r="C22">
        <v>10</v>
      </c>
      <c r="D22">
        <v>2025</v>
      </c>
      <c r="E22" t="s">
        <v>102</v>
      </c>
      <c r="F22" t="s">
        <v>103</v>
      </c>
      <c r="G22" s="6">
        <v>1210</v>
      </c>
      <c r="H22" s="6">
        <v>229690.81000000099</v>
      </c>
      <c r="I22" s="6">
        <v>15302</v>
      </c>
      <c r="J22" s="6">
        <v>22.8231363541449</v>
      </c>
      <c r="K22" s="6">
        <v>3170546.79</v>
      </c>
      <c r="L22" s="6">
        <v>22.912127908920699</v>
      </c>
      <c r="M22" s="6">
        <v>8256</v>
      </c>
      <c r="N22" s="6">
        <v>24.6278674342988</v>
      </c>
      <c r="O22" s="6">
        <v>205.92524224806201</v>
      </c>
      <c r="P22" s="6">
        <v>1700118.8</v>
      </c>
      <c r="Q22" s="6">
        <v>24.572000973977602</v>
      </c>
      <c r="R22" s="6">
        <v>7046</v>
      </c>
      <c r="S22" s="6">
        <v>21.018405273991</v>
      </c>
      <c r="T22" s="6">
        <v>208.68975163213199</v>
      </c>
      <c r="U22" s="6">
        <v>1470427.99</v>
      </c>
      <c r="V22" s="6">
        <v>21.252254843863799</v>
      </c>
      <c r="W22" s="6">
        <v>450</v>
      </c>
      <c r="X22" s="6">
        <v>24.1675617615467</v>
      </c>
      <c r="Y22" s="6"/>
      <c r="Z22" s="6">
        <v>67046</v>
      </c>
      <c r="AA22" s="6">
        <v>13837853.92</v>
      </c>
      <c r="AB22" s="6">
        <v>33523</v>
      </c>
      <c r="AC22" s="6">
        <v>6918926.96</v>
      </c>
      <c r="AD22" s="6">
        <v>33523</v>
      </c>
      <c r="AE22" s="6">
        <v>6918926.96</v>
      </c>
      <c r="AF22" s="6">
        <v>1862</v>
      </c>
    </row>
    <row r="23" spans="1:32" x14ac:dyDescent="0.25">
      <c r="A23" t="s">
        <v>179</v>
      </c>
      <c r="B23" t="s">
        <v>61</v>
      </c>
      <c r="C23">
        <v>11</v>
      </c>
      <c r="D23">
        <v>2025</v>
      </c>
      <c r="E23" t="s">
        <v>102</v>
      </c>
      <c r="F23" t="s">
        <v>103</v>
      </c>
      <c r="G23" s="6">
        <v>-572</v>
      </c>
      <c r="H23" s="6">
        <v>-111403.89</v>
      </c>
      <c r="I23" s="6">
        <v>3784</v>
      </c>
      <c r="J23" s="6">
        <v>18.7252573238321</v>
      </c>
      <c r="K23" s="6">
        <v>760791.21</v>
      </c>
      <c r="L23" s="6">
        <v>18.678247284320101</v>
      </c>
      <c r="M23" s="6">
        <v>1606</v>
      </c>
      <c r="N23" s="6">
        <v>15.8946951702296</v>
      </c>
      <c r="O23" s="6">
        <v>202.17537982565401</v>
      </c>
      <c r="P23" s="6">
        <v>324693.65999999997</v>
      </c>
      <c r="Q23" s="6">
        <v>15.943161260054399</v>
      </c>
      <c r="R23" s="6">
        <v>2178</v>
      </c>
      <c r="S23" s="6">
        <v>21.555819477434699</v>
      </c>
      <c r="T23" s="6">
        <v>200.22844352617099</v>
      </c>
      <c r="U23" s="6">
        <v>436097.55</v>
      </c>
      <c r="V23" s="6">
        <v>21.413333308585798</v>
      </c>
      <c r="W23" s="6">
        <v>103</v>
      </c>
      <c r="X23" s="6">
        <v>20.355731225296399</v>
      </c>
      <c r="Y23" s="6"/>
      <c r="Z23" s="6">
        <v>20208</v>
      </c>
      <c r="AA23" s="6">
        <v>4073140.26</v>
      </c>
      <c r="AB23" s="6">
        <v>10104</v>
      </c>
      <c r="AC23" s="6">
        <v>2036570.13</v>
      </c>
      <c r="AD23" s="6">
        <v>10104</v>
      </c>
      <c r="AE23" s="6">
        <v>2036570.13</v>
      </c>
      <c r="AF23" s="6">
        <v>506</v>
      </c>
    </row>
    <row r="24" spans="1:32" x14ac:dyDescent="0.25">
      <c r="A24" t="s">
        <v>179</v>
      </c>
      <c r="B24" t="s">
        <v>61</v>
      </c>
      <c r="C24">
        <v>12</v>
      </c>
      <c r="D24">
        <v>2025</v>
      </c>
      <c r="E24" t="s">
        <v>102</v>
      </c>
      <c r="F24" t="s">
        <v>103</v>
      </c>
      <c r="G24" s="6">
        <v>2606</v>
      </c>
      <c r="H24" s="6">
        <v>539999.32999999996</v>
      </c>
      <c r="I24" s="6">
        <v>12388</v>
      </c>
      <c r="J24" s="6">
        <v>20.439545934530098</v>
      </c>
      <c r="K24" s="6">
        <v>2850349.65</v>
      </c>
      <c r="L24" s="6">
        <v>20.2266128428865</v>
      </c>
      <c r="M24" s="6">
        <v>7497</v>
      </c>
      <c r="N24" s="6">
        <v>24.7393083421331</v>
      </c>
      <c r="O24" s="6">
        <v>226.11371081766001</v>
      </c>
      <c r="P24" s="6">
        <v>1695174.49</v>
      </c>
      <c r="Q24" s="6">
        <v>24.058548824259201</v>
      </c>
      <c r="R24" s="6">
        <v>4891</v>
      </c>
      <c r="S24" s="6">
        <v>16.139783526927101</v>
      </c>
      <c r="T24" s="6">
        <v>236.18383970558199</v>
      </c>
      <c r="U24" s="6">
        <v>1155175.1599999999</v>
      </c>
      <c r="V24" s="6">
        <v>16.394676861513801</v>
      </c>
      <c r="W24" s="6">
        <v>294</v>
      </c>
      <c r="X24" s="6">
        <v>18.8220230473752</v>
      </c>
      <c r="Y24" s="6"/>
      <c r="Z24" s="6">
        <v>60608</v>
      </c>
      <c r="AA24" s="6">
        <v>14092075.98</v>
      </c>
      <c r="AB24" s="6">
        <v>30304</v>
      </c>
      <c r="AC24" s="6">
        <v>7046037.9900000002</v>
      </c>
      <c r="AD24" s="6">
        <v>30304</v>
      </c>
      <c r="AE24" s="6">
        <v>7046037.9900000002</v>
      </c>
      <c r="AF24" s="6">
        <v>1562</v>
      </c>
    </row>
    <row r="25" spans="1:32" x14ac:dyDescent="0.25">
      <c r="A25" t="s">
        <v>179</v>
      </c>
      <c r="B25" t="s">
        <v>61</v>
      </c>
      <c r="C25">
        <v>1</v>
      </c>
      <c r="D25">
        <v>2026</v>
      </c>
      <c r="E25" t="s">
        <v>102</v>
      </c>
      <c r="F25" t="s">
        <v>103</v>
      </c>
      <c r="G25" s="6">
        <v>397</v>
      </c>
      <c r="H25" s="6">
        <v>134911.62</v>
      </c>
      <c r="I25" s="6">
        <v>7233</v>
      </c>
      <c r="J25" s="6">
        <v>14.3980412453221</v>
      </c>
      <c r="K25" s="6">
        <v>1765168.96</v>
      </c>
      <c r="L25" s="6">
        <v>14.292048266828401</v>
      </c>
      <c r="M25" s="6">
        <v>3815</v>
      </c>
      <c r="N25" s="6">
        <v>15.1883111712716</v>
      </c>
      <c r="O25" s="6">
        <v>249.027598951507</v>
      </c>
      <c r="P25" s="6">
        <v>950040.29</v>
      </c>
      <c r="Q25" s="6">
        <v>15.384387543401701</v>
      </c>
      <c r="R25" s="6">
        <v>3418</v>
      </c>
      <c r="S25" s="6">
        <v>13.607771319372601</v>
      </c>
      <c r="T25" s="6">
        <v>238.48117905207701</v>
      </c>
      <c r="U25" s="6">
        <v>815128.67</v>
      </c>
      <c r="V25" s="6">
        <v>13.1997089902551</v>
      </c>
      <c r="W25" s="6">
        <v>292</v>
      </c>
      <c r="X25" s="6">
        <v>18.790218790218798</v>
      </c>
      <c r="Y25" s="6"/>
      <c r="Z25" s="6">
        <v>50236</v>
      </c>
      <c r="AA25" s="6">
        <v>12350706.68</v>
      </c>
      <c r="AB25" s="6">
        <v>25118</v>
      </c>
      <c r="AC25" s="6">
        <v>6175353.3399999999</v>
      </c>
      <c r="AD25" s="6">
        <v>25118</v>
      </c>
      <c r="AE25" s="6">
        <v>6175353.3399999999</v>
      </c>
      <c r="AF25" s="6">
        <v>1554</v>
      </c>
    </row>
    <row r="26" spans="1:32" x14ac:dyDescent="0.25">
      <c r="A26" t="s">
        <v>180</v>
      </c>
      <c r="B26" t="s">
        <v>54</v>
      </c>
      <c r="C26">
        <v>2</v>
      </c>
      <c r="D26">
        <v>2025</v>
      </c>
      <c r="E26" t="s">
        <v>102</v>
      </c>
      <c r="F26" t="s">
        <v>103</v>
      </c>
      <c r="G26" s="6">
        <v>-227</v>
      </c>
      <c r="H26" s="6">
        <v>-61594.9</v>
      </c>
      <c r="I26" s="6">
        <v>1103</v>
      </c>
      <c r="J26" s="6">
        <v>4.6058125939535701</v>
      </c>
      <c r="K26" s="6">
        <v>299199.12</v>
      </c>
      <c r="L26" s="6">
        <v>4.5992461376848501</v>
      </c>
      <c r="M26" s="6">
        <v>438</v>
      </c>
      <c r="N26" s="6">
        <v>3.6579255052613999</v>
      </c>
      <c r="O26" s="6">
        <v>271.23769406392699</v>
      </c>
      <c r="P26" s="6">
        <v>118802.11</v>
      </c>
      <c r="Q26" s="6">
        <v>3.6524181325553999</v>
      </c>
      <c r="R26" s="6">
        <v>665</v>
      </c>
      <c r="S26" s="6">
        <v>5.5536996826457301</v>
      </c>
      <c r="T26" s="6">
        <v>271.27369924812001</v>
      </c>
      <c r="U26" s="6">
        <v>180397.01</v>
      </c>
      <c r="V26" s="6">
        <v>5.5460741428142901</v>
      </c>
      <c r="W26" s="6">
        <v>49</v>
      </c>
      <c r="X26" s="6">
        <v>7.0605187319884699</v>
      </c>
      <c r="Y26" s="6"/>
      <c r="Z26" s="6">
        <v>23948</v>
      </c>
      <c r="AA26" s="6">
        <v>6505394.8200000003</v>
      </c>
      <c r="AB26" s="6">
        <v>11974</v>
      </c>
      <c r="AC26" s="6">
        <v>3252697.41</v>
      </c>
      <c r="AD26" s="6">
        <v>11974</v>
      </c>
      <c r="AE26" s="6">
        <v>3252697.41</v>
      </c>
      <c r="AF26" s="6">
        <v>694</v>
      </c>
    </row>
    <row r="27" spans="1:32" x14ac:dyDescent="0.25">
      <c r="A27" t="s">
        <v>180</v>
      </c>
      <c r="B27" t="s">
        <v>54</v>
      </c>
      <c r="C27">
        <v>3</v>
      </c>
      <c r="D27">
        <v>2025</v>
      </c>
      <c r="E27" t="s">
        <v>102</v>
      </c>
      <c r="F27" t="s">
        <v>103</v>
      </c>
      <c r="G27" s="6">
        <v>222</v>
      </c>
      <c r="H27" s="6">
        <v>62756.44</v>
      </c>
      <c r="I27" s="6">
        <v>344</v>
      </c>
      <c r="J27" s="6">
        <v>0.77976244446459297</v>
      </c>
      <c r="K27" s="6">
        <v>97003.199999999997</v>
      </c>
      <c r="L27" s="6">
        <v>0.78606446385472495</v>
      </c>
      <c r="M27" s="6">
        <v>283</v>
      </c>
      <c r="N27" s="6">
        <v>1.2829812312993001</v>
      </c>
      <c r="O27" s="6">
        <v>282.26084805653699</v>
      </c>
      <c r="P27" s="6">
        <v>79879.820000000007</v>
      </c>
      <c r="Q27" s="6">
        <v>1.29461064851942</v>
      </c>
      <c r="R27" s="6">
        <v>61</v>
      </c>
      <c r="S27" s="6">
        <v>0.27654365762988498</v>
      </c>
      <c r="T27" s="6">
        <v>280.71114754098397</v>
      </c>
      <c r="U27" s="6">
        <v>17123.38</v>
      </c>
      <c r="V27" s="6">
        <v>0.27751827836582899</v>
      </c>
      <c r="W27" s="6">
        <v>38</v>
      </c>
      <c r="X27" s="6">
        <v>5.3221288515406204</v>
      </c>
      <c r="Y27" s="6"/>
      <c r="Z27" s="6">
        <v>44116</v>
      </c>
      <c r="AA27" s="6">
        <v>12340361.949999999</v>
      </c>
      <c r="AB27" s="6">
        <v>22058</v>
      </c>
      <c r="AC27" s="6">
        <v>6170180.9800000004</v>
      </c>
      <c r="AD27" s="6">
        <v>22058</v>
      </c>
      <c r="AE27" s="6">
        <v>6170180.9699999997</v>
      </c>
      <c r="AF27" s="6">
        <v>714</v>
      </c>
    </row>
    <row r="28" spans="1:32" x14ac:dyDescent="0.25">
      <c r="A28" t="s">
        <v>180</v>
      </c>
      <c r="B28" t="s">
        <v>54</v>
      </c>
      <c r="C28">
        <v>4</v>
      </c>
      <c r="D28">
        <v>2025</v>
      </c>
      <c r="E28" t="s">
        <v>102</v>
      </c>
      <c r="F28" t="s">
        <v>103</v>
      </c>
      <c r="G28" s="6">
        <v>770</v>
      </c>
      <c r="H28" s="6">
        <v>223162.19</v>
      </c>
      <c r="I28" s="6">
        <v>878</v>
      </c>
      <c r="J28" s="6">
        <v>1.85835837954536</v>
      </c>
      <c r="K28" s="6">
        <v>254782.39</v>
      </c>
      <c r="L28" s="6">
        <v>1.8542507247470199</v>
      </c>
      <c r="M28" s="6">
        <v>824</v>
      </c>
      <c r="N28" s="6">
        <v>3.4881259789188501</v>
      </c>
      <c r="O28" s="6">
        <v>290.01491504854403</v>
      </c>
      <c r="P28" s="6">
        <v>238972.29</v>
      </c>
      <c r="Q28" s="6">
        <v>3.47837652301601</v>
      </c>
      <c r="R28" s="6">
        <v>54</v>
      </c>
      <c r="S28" s="6">
        <v>0.22859078017186599</v>
      </c>
      <c r="T28" s="6">
        <v>292.77962962962999</v>
      </c>
      <c r="U28" s="6">
        <v>15810.1</v>
      </c>
      <c r="V28" s="6">
        <v>0.23012492647802499</v>
      </c>
      <c r="W28" s="6">
        <v>60</v>
      </c>
      <c r="X28" s="6">
        <v>6.2111801242236</v>
      </c>
      <c r="Y28" s="6"/>
      <c r="Z28" s="6">
        <v>47246</v>
      </c>
      <c r="AA28" s="6">
        <v>13740449.800000001</v>
      </c>
      <c r="AB28" s="6">
        <v>23623</v>
      </c>
      <c r="AC28" s="6">
        <v>6870224.9000000004</v>
      </c>
      <c r="AD28" s="6">
        <v>23623</v>
      </c>
      <c r="AE28" s="6">
        <v>6870224.9000000004</v>
      </c>
      <c r="AF28" s="6">
        <v>966</v>
      </c>
    </row>
    <row r="29" spans="1:32" x14ac:dyDescent="0.25">
      <c r="A29" t="s">
        <v>180</v>
      </c>
      <c r="B29" t="s">
        <v>54</v>
      </c>
      <c r="C29">
        <v>5</v>
      </c>
      <c r="D29">
        <v>2025</v>
      </c>
      <c r="E29" t="s">
        <v>102</v>
      </c>
      <c r="F29" t="s">
        <v>103</v>
      </c>
      <c r="G29" s="6">
        <v>1003</v>
      </c>
      <c r="H29" s="6">
        <v>296886.26</v>
      </c>
      <c r="I29" s="6">
        <v>1865</v>
      </c>
      <c r="J29" s="6">
        <v>4.6395343051893096</v>
      </c>
      <c r="K29" s="6">
        <v>544777.31999999995</v>
      </c>
      <c r="L29" s="6">
        <v>4.6762155770947498</v>
      </c>
      <c r="M29" s="6">
        <v>1434</v>
      </c>
      <c r="N29" s="6">
        <v>7.1346833175779896</v>
      </c>
      <c r="O29" s="6">
        <v>293.467078103208</v>
      </c>
      <c r="P29" s="6">
        <v>420831.79</v>
      </c>
      <c r="Q29" s="6">
        <v>7.2246038867207902</v>
      </c>
      <c r="R29" s="6">
        <v>431</v>
      </c>
      <c r="S29" s="6">
        <v>2.1443852928006399</v>
      </c>
      <c r="T29" s="6">
        <v>287.57663573085802</v>
      </c>
      <c r="U29" s="6">
        <v>123945.53</v>
      </c>
      <c r="V29" s="6">
        <v>2.1278272674687102</v>
      </c>
      <c r="W29" s="6">
        <v>84</v>
      </c>
      <c r="X29" s="6">
        <v>8.1395348837209305</v>
      </c>
      <c r="Y29" s="6"/>
      <c r="Z29" s="6">
        <v>40198</v>
      </c>
      <c r="AA29" s="6">
        <v>11649961.619999999</v>
      </c>
      <c r="AB29" s="6">
        <v>20099</v>
      </c>
      <c r="AC29" s="6">
        <v>5824980.8099999996</v>
      </c>
      <c r="AD29" s="6">
        <v>20099</v>
      </c>
      <c r="AE29" s="6">
        <v>5824980.8099999996</v>
      </c>
      <c r="AF29" s="6">
        <v>1032</v>
      </c>
    </row>
    <row r="30" spans="1:32" x14ac:dyDescent="0.25">
      <c r="A30" t="s">
        <v>180</v>
      </c>
      <c r="B30" t="s">
        <v>54</v>
      </c>
      <c r="C30">
        <v>6</v>
      </c>
      <c r="D30">
        <v>2025</v>
      </c>
      <c r="E30" t="s">
        <v>102</v>
      </c>
      <c r="F30" t="s">
        <v>103</v>
      </c>
      <c r="G30" s="6">
        <v>725</v>
      </c>
      <c r="H30" s="6">
        <v>222081.07</v>
      </c>
      <c r="I30" s="6">
        <v>2113</v>
      </c>
      <c r="J30" s="6">
        <v>3.92853158814561</v>
      </c>
      <c r="K30" s="6">
        <v>639822.97</v>
      </c>
      <c r="L30" s="6">
        <v>3.9191169390805598</v>
      </c>
      <c r="M30" s="6">
        <v>1419</v>
      </c>
      <c r="N30" s="6">
        <v>5.2764659948685502</v>
      </c>
      <c r="O30" s="6">
        <v>303.701212121212</v>
      </c>
      <c r="P30" s="6">
        <v>430952.02</v>
      </c>
      <c r="Q30" s="6">
        <v>5.2794333454861198</v>
      </c>
      <c r="R30" s="6">
        <v>694</v>
      </c>
      <c r="S30" s="6">
        <v>2.5805971814226698</v>
      </c>
      <c r="T30" s="6">
        <v>300.96678674351602</v>
      </c>
      <c r="U30" s="6">
        <v>208870.95</v>
      </c>
      <c r="V30" s="6">
        <v>2.5588005326749901</v>
      </c>
      <c r="W30" s="6">
        <v>93</v>
      </c>
      <c r="X30" s="6">
        <v>6.8685376661742996</v>
      </c>
      <c r="Y30" s="6"/>
      <c r="Z30" s="6">
        <v>53786</v>
      </c>
      <c r="AA30" s="6">
        <v>16325692.24</v>
      </c>
      <c r="AB30" s="6">
        <v>26893</v>
      </c>
      <c r="AC30" s="6">
        <v>8162846.1200000001</v>
      </c>
      <c r="AD30" s="6">
        <v>26893</v>
      </c>
      <c r="AE30" s="6">
        <v>8162846.1200000001</v>
      </c>
      <c r="AF30" s="6">
        <v>1354</v>
      </c>
    </row>
    <row r="31" spans="1:32" x14ac:dyDescent="0.25">
      <c r="A31" t="s">
        <v>180</v>
      </c>
      <c r="B31" t="s">
        <v>54</v>
      </c>
      <c r="C31">
        <v>7</v>
      </c>
      <c r="D31">
        <v>2025</v>
      </c>
      <c r="E31" t="s">
        <v>102</v>
      </c>
      <c r="F31" t="s">
        <v>103</v>
      </c>
      <c r="G31" s="6">
        <v>2104</v>
      </c>
      <c r="H31" s="6">
        <v>656926.66</v>
      </c>
      <c r="I31" s="6">
        <v>2978</v>
      </c>
      <c r="J31" s="6">
        <v>4.8193940963231503</v>
      </c>
      <c r="K31" s="6">
        <v>923176.48</v>
      </c>
      <c r="L31" s="6">
        <v>4.9173041140190099</v>
      </c>
      <c r="M31" s="6">
        <v>2541</v>
      </c>
      <c r="N31" s="6">
        <v>8.2243656136716705</v>
      </c>
      <c r="O31" s="6">
        <v>310.921515151515</v>
      </c>
      <c r="P31" s="6">
        <v>790051.57</v>
      </c>
      <c r="Q31" s="6">
        <v>8.41642723707211</v>
      </c>
      <c r="R31" s="6">
        <v>437</v>
      </c>
      <c r="S31" s="6">
        <v>1.4144225789746201</v>
      </c>
      <c r="T31" s="6">
        <v>304.63366132723098</v>
      </c>
      <c r="U31" s="6">
        <v>133124.91</v>
      </c>
      <c r="V31" s="6">
        <v>1.41818099096591</v>
      </c>
      <c r="W31" s="6">
        <v>74</v>
      </c>
      <c r="X31" s="6">
        <v>7.53564154786151</v>
      </c>
      <c r="Y31" s="6"/>
      <c r="Z31" s="6">
        <v>61792</v>
      </c>
      <c r="AA31" s="6">
        <v>18774036.719999999</v>
      </c>
      <c r="AB31" s="6">
        <v>30896</v>
      </c>
      <c r="AC31" s="6">
        <v>9387018.3599999994</v>
      </c>
      <c r="AD31" s="6">
        <v>30896</v>
      </c>
      <c r="AE31" s="6">
        <v>9387018.3599999994</v>
      </c>
      <c r="AF31" s="6">
        <v>982</v>
      </c>
    </row>
    <row r="32" spans="1:32" x14ac:dyDescent="0.25">
      <c r="A32" t="s">
        <v>180</v>
      </c>
      <c r="B32" t="s">
        <v>54</v>
      </c>
      <c r="C32">
        <v>8</v>
      </c>
      <c r="D32">
        <v>2025</v>
      </c>
      <c r="E32" t="s">
        <v>102</v>
      </c>
      <c r="F32" t="s">
        <v>103</v>
      </c>
      <c r="G32" s="6">
        <v>119</v>
      </c>
      <c r="H32" s="6">
        <v>36873.53</v>
      </c>
      <c r="I32" s="6">
        <v>821</v>
      </c>
      <c r="J32" s="6">
        <v>4.5389208314904899</v>
      </c>
      <c r="K32" s="6">
        <v>255089.79</v>
      </c>
      <c r="L32" s="6">
        <v>4.5490799640926802</v>
      </c>
      <c r="M32" s="6">
        <v>470</v>
      </c>
      <c r="N32" s="6">
        <v>5.1968155683325996</v>
      </c>
      <c r="O32" s="6">
        <v>310.59927659574498</v>
      </c>
      <c r="P32" s="6">
        <v>145981.66</v>
      </c>
      <c r="Q32" s="6">
        <v>5.2066548381335798</v>
      </c>
      <c r="R32" s="6">
        <v>351</v>
      </c>
      <c r="S32" s="6">
        <v>3.8810260946483899</v>
      </c>
      <c r="T32" s="6">
        <v>310.84937321937298</v>
      </c>
      <c r="U32" s="6">
        <v>109108.13</v>
      </c>
      <c r="V32" s="6">
        <v>3.8915050900517798</v>
      </c>
      <c r="W32" s="6">
        <v>48</v>
      </c>
      <c r="X32" s="6">
        <v>6.7226890756302504</v>
      </c>
      <c r="Y32" s="6"/>
      <c r="Z32" s="6">
        <v>18088</v>
      </c>
      <c r="AA32" s="6">
        <v>5607502.8799999999</v>
      </c>
      <c r="AB32" s="6">
        <v>9044</v>
      </c>
      <c r="AC32" s="6">
        <v>2803751.44</v>
      </c>
      <c r="AD32" s="6">
        <v>9044</v>
      </c>
      <c r="AE32" s="6">
        <v>2803751.44</v>
      </c>
      <c r="AF32" s="6">
        <v>714</v>
      </c>
    </row>
    <row r="33" spans="1:32" x14ac:dyDescent="0.25">
      <c r="A33" t="s">
        <v>180</v>
      </c>
      <c r="B33" t="s">
        <v>54</v>
      </c>
      <c r="C33">
        <v>9</v>
      </c>
      <c r="D33">
        <v>2025</v>
      </c>
      <c r="E33" t="s">
        <v>102</v>
      </c>
      <c r="F33" t="s">
        <v>103</v>
      </c>
      <c r="G33" s="6">
        <v>1791</v>
      </c>
      <c r="H33" s="6">
        <v>598418.27</v>
      </c>
      <c r="I33" s="6">
        <v>2303</v>
      </c>
      <c r="J33" s="6">
        <v>5.7274309873165903</v>
      </c>
      <c r="K33" s="6">
        <v>764950.31</v>
      </c>
      <c r="L33" s="6">
        <v>5.7154945211670602</v>
      </c>
      <c r="M33" s="6">
        <v>2047</v>
      </c>
      <c r="N33" s="6">
        <v>10.1815468788859</v>
      </c>
      <c r="O33" s="6">
        <v>333.01626282364401</v>
      </c>
      <c r="P33" s="6">
        <v>681684.29</v>
      </c>
      <c r="Q33" s="6">
        <v>10.186708270399</v>
      </c>
      <c r="R33" s="6">
        <v>256</v>
      </c>
      <c r="S33" s="6">
        <v>1.27331509574733</v>
      </c>
      <c r="T33" s="6">
        <v>325.25789062500002</v>
      </c>
      <c r="U33" s="6">
        <v>83266.02</v>
      </c>
      <c r="V33" s="6">
        <v>1.2442807719350699</v>
      </c>
      <c r="W33" s="6">
        <v>119</v>
      </c>
      <c r="X33" s="6">
        <v>8.1284153005464503</v>
      </c>
      <c r="Y33" s="6"/>
      <c r="Z33" s="6">
        <v>40210</v>
      </c>
      <c r="AA33" s="6">
        <v>13383799.199999999</v>
      </c>
      <c r="AB33" s="6">
        <v>20105</v>
      </c>
      <c r="AC33" s="6">
        <v>6691899.5999999996</v>
      </c>
      <c r="AD33" s="6">
        <v>20105</v>
      </c>
      <c r="AE33" s="6">
        <v>6691899.5999999996</v>
      </c>
      <c r="AF33" s="6">
        <v>1464</v>
      </c>
    </row>
    <row r="34" spans="1:32" x14ac:dyDescent="0.25">
      <c r="A34" t="s">
        <v>180</v>
      </c>
      <c r="B34" t="s">
        <v>54</v>
      </c>
      <c r="C34">
        <v>10</v>
      </c>
      <c r="D34">
        <v>2025</v>
      </c>
      <c r="E34" t="s">
        <v>102</v>
      </c>
      <c r="F34" t="s">
        <v>103</v>
      </c>
      <c r="G34" s="6">
        <v>327</v>
      </c>
      <c r="H34" s="6">
        <v>135532.41</v>
      </c>
      <c r="I34" s="6">
        <v>10487</v>
      </c>
      <c r="J34" s="6">
        <v>12.5014901175405</v>
      </c>
      <c r="K34" s="6">
        <v>3908613.21</v>
      </c>
      <c r="L34" s="6">
        <v>12.257401548235</v>
      </c>
      <c r="M34" s="6">
        <v>5407</v>
      </c>
      <c r="N34" s="6">
        <v>12.8913048661278</v>
      </c>
      <c r="O34" s="6">
        <v>373.97314777140701</v>
      </c>
      <c r="P34" s="6">
        <v>2022072.81</v>
      </c>
      <c r="Q34" s="6">
        <v>12.682430857330999</v>
      </c>
      <c r="R34" s="6">
        <v>5080</v>
      </c>
      <c r="S34" s="6">
        <v>12.111675368953099</v>
      </c>
      <c r="T34" s="6">
        <v>371.366220472441</v>
      </c>
      <c r="U34" s="6">
        <v>1886540.4</v>
      </c>
      <c r="V34" s="6">
        <v>11.8323722391389</v>
      </c>
      <c r="W34" s="6">
        <v>350</v>
      </c>
      <c r="X34" s="6">
        <v>11.4528795811518</v>
      </c>
      <c r="Y34" s="6"/>
      <c r="Z34" s="6">
        <v>83886</v>
      </c>
      <c r="AA34" s="6">
        <v>31887779.760000002</v>
      </c>
      <c r="AB34" s="6">
        <v>41943</v>
      </c>
      <c r="AC34" s="6">
        <v>15943889.880000001</v>
      </c>
      <c r="AD34" s="6">
        <v>41943</v>
      </c>
      <c r="AE34" s="6">
        <v>15943889.880000001</v>
      </c>
      <c r="AF34" s="6">
        <v>3056</v>
      </c>
    </row>
    <row r="35" spans="1:32" x14ac:dyDescent="0.25">
      <c r="A35" t="s">
        <v>180</v>
      </c>
      <c r="B35" t="s">
        <v>54</v>
      </c>
      <c r="C35">
        <v>11</v>
      </c>
      <c r="D35">
        <v>2025</v>
      </c>
      <c r="E35" t="s">
        <v>102</v>
      </c>
      <c r="F35" t="s">
        <v>103</v>
      </c>
      <c r="G35" s="6">
        <v>608</v>
      </c>
      <c r="H35" s="6">
        <v>233046.95</v>
      </c>
      <c r="I35" s="6">
        <v>3458</v>
      </c>
      <c r="J35" s="6">
        <v>5.8414135612689604</v>
      </c>
      <c r="K35" s="6">
        <v>1333738.01</v>
      </c>
      <c r="L35" s="6">
        <v>5.87519128065796</v>
      </c>
      <c r="M35" s="6">
        <v>2033</v>
      </c>
      <c r="N35" s="6">
        <v>6.8684752863272402</v>
      </c>
      <c r="O35" s="6">
        <v>385.338160354156</v>
      </c>
      <c r="P35" s="6">
        <v>783392.48</v>
      </c>
      <c r="Q35" s="6">
        <v>6.9017762608850202</v>
      </c>
      <c r="R35" s="6">
        <v>1425</v>
      </c>
      <c r="S35" s="6">
        <v>4.8143518362106796</v>
      </c>
      <c r="T35" s="6">
        <v>386.20738947368397</v>
      </c>
      <c r="U35" s="6">
        <v>550345.53</v>
      </c>
      <c r="V35" s="6">
        <v>4.8486063004308999</v>
      </c>
      <c r="W35" s="6">
        <v>95</v>
      </c>
      <c r="X35" s="6">
        <v>7.1214392803598203</v>
      </c>
      <c r="Y35" s="6"/>
      <c r="Z35" s="6">
        <v>59198</v>
      </c>
      <c r="AA35" s="6">
        <v>22701184.460000001</v>
      </c>
      <c r="AB35" s="6">
        <v>29599</v>
      </c>
      <c r="AC35" s="6">
        <v>11350592.23</v>
      </c>
      <c r="AD35" s="6">
        <v>29599</v>
      </c>
      <c r="AE35" s="6">
        <v>11350592.23</v>
      </c>
      <c r="AF35" s="6">
        <v>1334</v>
      </c>
    </row>
    <row r="36" spans="1:32" x14ac:dyDescent="0.25">
      <c r="A36" t="s">
        <v>180</v>
      </c>
      <c r="B36" t="s">
        <v>54</v>
      </c>
      <c r="C36">
        <v>12</v>
      </c>
      <c r="D36">
        <v>2025</v>
      </c>
      <c r="E36" t="s">
        <v>102</v>
      </c>
      <c r="F36" t="s">
        <v>103</v>
      </c>
      <c r="G36" s="6">
        <v>1528</v>
      </c>
      <c r="H36" s="6">
        <v>682510.75</v>
      </c>
      <c r="I36" s="6">
        <v>5520</v>
      </c>
      <c r="J36" s="6">
        <v>9.5983307250912908</v>
      </c>
      <c r="K36" s="6">
        <v>2393749.61</v>
      </c>
      <c r="L36" s="6">
        <v>9.7157704478799793</v>
      </c>
      <c r="M36" s="6">
        <v>3524</v>
      </c>
      <c r="N36" s="6">
        <v>12.2552599547905</v>
      </c>
      <c r="O36" s="6">
        <v>436.47280930760502</v>
      </c>
      <c r="P36" s="6">
        <v>1538130.18</v>
      </c>
      <c r="Q36" s="6">
        <v>12.4859506486447</v>
      </c>
      <c r="R36" s="6">
        <v>1996</v>
      </c>
      <c r="S36" s="6">
        <v>6.9414014953921104</v>
      </c>
      <c r="T36" s="6">
        <v>428.667049098196</v>
      </c>
      <c r="U36" s="6">
        <v>855619.43</v>
      </c>
      <c r="V36" s="6">
        <v>6.9455902471151996</v>
      </c>
      <c r="W36" s="6">
        <v>256</v>
      </c>
      <c r="X36" s="6">
        <v>10.182975338106599</v>
      </c>
      <c r="Y36" s="6"/>
      <c r="Z36" s="6">
        <v>57510</v>
      </c>
      <c r="AA36" s="6">
        <v>24637774.460000001</v>
      </c>
      <c r="AB36" s="6">
        <v>28755</v>
      </c>
      <c r="AC36" s="6">
        <v>12318887.23</v>
      </c>
      <c r="AD36" s="6">
        <v>28755</v>
      </c>
      <c r="AE36" s="6">
        <v>12318887.23</v>
      </c>
      <c r="AF36" s="6">
        <v>2514</v>
      </c>
    </row>
    <row r="37" spans="1:32" x14ac:dyDescent="0.25">
      <c r="A37" t="s">
        <v>180</v>
      </c>
      <c r="B37" t="s">
        <v>54</v>
      </c>
      <c r="C37">
        <v>1</v>
      </c>
      <c r="D37">
        <v>2026</v>
      </c>
      <c r="E37" t="s">
        <v>102</v>
      </c>
      <c r="F37" t="s">
        <v>103</v>
      </c>
      <c r="G37" s="6">
        <v>4311</v>
      </c>
      <c r="H37" s="6">
        <v>2125454.75</v>
      </c>
      <c r="I37" s="6">
        <v>7203</v>
      </c>
      <c r="J37" s="6">
        <v>7.3020153278455897</v>
      </c>
      <c r="K37" s="6">
        <v>3497488.09</v>
      </c>
      <c r="L37" s="6">
        <v>7.2718314000835296</v>
      </c>
      <c r="M37" s="6">
        <v>5757</v>
      </c>
      <c r="N37" s="6">
        <v>11.67227606342</v>
      </c>
      <c r="O37" s="6">
        <v>488.35702970297001</v>
      </c>
      <c r="P37" s="6">
        <v>2811471.42</v>
      </c>
      <c r="Q37" s="6">
        <v>11.690988292482899</v>
      </c>
      <c r="R37" s="6">
        <v>1446</v>
      </c>
      <c r="S37" s="6">
        <v>2.9317545922711998</v>
      </c>
      <c r="T37" s="6">
        <v>474.423699861687</v>
      </c>
      <c r="U37" s="6">
        <v>686016.67</v>
      </c>
      <c r="V37" s="6">
        <v>2.8526745095217998</v>
      </c>
      <c r="W37" s="6">
        <v>449</v>
      </c>
      <c r="X37" s="6">
        <v>11.070019723865901</v>
      </c>
      <c r="Y37" s="6"/>
      <c r="Z37" s="6">
        <v>98644</v>
      </c>
      <c r="AA37" s="6">
        <v>48096385.869999997</v>
      </c>
      <c r="AB37" s="6">
        <v>49322</v>
      </c>
      <c r="AC37" s="6">
        <v>24048192.93</v>
      </c>
      <c r="AD37" s="6">
        <v>49322</v>
      </c>
      <c r="AE37" s="6">
        <v>24048192.940000001</v>
      </c>
      <c r="AF37" s="6">
        <v>4056</v>
      </c>
    </row>
    <row r="38" spans="1:32" x14ac:dyDescent="0.25">
      <c r="A38" t="s">
        <v>181</v>
      </c>
      <c r="B38" t="s">
        <v>58</v>
      </c>
      <c r="C38">
        <v>2</v>
      </c>
      <c r="D38">
        <v>2025</v>
      </c>
      <c r="E38" t="s">
        <v>102</v>
      </c>
      <c r="F38" t="s">
        <v>103</v>
      </c>
      <c r="G38" s="6">
        <v>135</v>
      </c>
      <c r="H38" s="6">
        <v>18470.91</v>
      </c>
      <c r="I38" s="6">
        <v>5061</v>
      </c>
      <c r="J38" s="6">
        <v>12.237643872714999</v>
      </c>
      <c r="K38" s="6">
        <v>732865.79</v>
      </c>
      <c r="L38" s="6">
        <v>12.280287582940399</v>
      </c>
      <c r="M38" s="6">
        <v>2598</v>
      </c>
      <c r="N38" s="6">
        <v>12.5640777638069</v>
      </c>
      <c r="O38" s="6">
        <v>144.59905696689799</v>
      </c>
      <c r="P38" s="6">
        <v>375668.35</v>
      </c>
      <c r="Q38" s="6">
        <v>12.5897959401508</v>
      </c>
      <c r="R38" s="6">
        <v>2463</v>
      </c>
      <c r="S38" s="6">
        <v>11.911209981622999</v>
      </c>
      <c r="T38" s="6">
        <v>145.025351197726</v>
      </c>
      <c r="U38" s="6">
        <v>357197.44</v>
      </c>
      <c r="V38" s="6">
        <v>11.97077922573</v>
      </c>
      <c r="W38" s="6">
        <v>55</v>
      </c>
      <c r="X38" s="6">
        <v>13.681592039801</v>
      </c>
      <c r="Y38" s="6"/>
      <c r="Z38" s="6">
        <v>41356</v>
      </c>
      <c r="AA38" s="6">
        <v>5967822.7000000002</v>
      </c>
      <c r="AB38" s="6">
        <v>20678</v>
      </c>
      <c r="AC38" s="6">
        <v>2983911.35</v>
      </c>
      <c r="AD38" s="6">
        <v>20678</v>
      </c>
      <c r="AE38" s="6">
        <v>2983911.35</v>
      </c>
      <c r="AF38" s="6">
        <v>402</v>
      </c>
    </row>
    <row r="39" spans="1:32" x14ac:dyDescent="0.25">
      <c r="A39" t="s">
        <v>181</v>
      </c>
      <c r="B39" t="s">
        <v>58</v>
      </c>
      <c r="C39">
        <v>3</v>
      </c>
      <c r="D39">
        <v>2025</v>
      </c>
      <c r="E39" t="s">
        <v>102</v>
      </c>
      <c r="F39" t="s">
        <v>103</v>
      </c>
      <c r="G39" s="6">
        <v>-903</v>
      </c>
      <c r="H39" s="6">
        <v>-129095.64</v>
      </c>
      <c r="I39" s="6">
        <v>7043</v>
      </c>
      <c r="J39" s="6">
        <v>11.8537094385351</v>
      </c>
      <c r="K39" s="6">
        <v>1012014.98</v>
      </c>
      <c r="L39" s="6">
        <v>11.787709760355</v>
      </c>
      <c r="M39" s="6">
        <v>3070</v>
      </c>
      <c r="N39" s="6">
        <v>10.3339167900902</v>
      </c>
      <c r="O39" s="6">
        <v>143.79793811074899</v>
      </c>
      <c r="P39" s="6">
        <v>441459.67</v>
      </c>
      <c r="Q39" s="6">
        <v>10.284034453446701</v>
      </c>
      <c r="R39" s="6">
        <v>3973</v>
      </c>
      <c r="S39" s="6">
        <v>13.373502086979901</v>
      </c>
      <c r="T39" s="6">
        <v>143.608182733451</v>
      </c>
      <c r="U39" s="6">
        <v>570555.31000000006</v>
      </c>
      <c r="V39" s="6">
        <v>13.291385067263301</v>
      </c>
      <c r="W39" s="6">
        <v>60</v>
      </c>
      <c r="X39" s="6">
        <v>11.6279069767442</v>
      </c>
      <c r="Y39" s="6"/>
      <c r="Z39" s="6">
        <v>59416</v>
      </c>
      <c r="AA39" s="6">
        <v>8585340.1600000001</v>
      </c>
      <c r="AB39" s="6">
        <v>29708</v>
      </c>
      <c r="AC39" s="6">
        <v>4292670.08</v>
      </c>
      <c r="AD39" s="6">
        <v>29708</v>
      </c>
      <c r="AE39" s="6">
        <v>4292670.08</v>
      </c>
      <c r="AF39" s="6">
        <v>516</v>
      </c>
    </row>
    <row r="40" spans="1:32" x14ac:dyDescent="0.25">
      <c r="A40" t="s">
        <v>181</v>
      </c>
      <c r="B40" t="s">
        <v>58</v>
      </c>
      <c r="C40">
        <v>4</v>
      </c>
      <c r="D40">
        <v>2025</v>
      </c>
      <c r="E40" t="s">
        <v>102</v>
      </c>
      <c r="F40" t="s">
        <v>103</v>
      </c>
      <c r="G40" s="6">
        <v>2804</v>
      </c>
      <c r="H40" s="6">
        <v>396166.34</v>
      </c>
      <c r="I40" s="6">
        <v>6942</v>
      </c>
      <c r="J40" s="6">
        <v>8.4329446064139901</v>
      </c>
      <c r="K40" s="6">
        <v>980164.46</v>
      </c>
      <c r="L40" s="6">
        <v>8.3761003080072598</v>
      </c>
      <c r="M40" s="6">
        <v>4873</v>
      </c>
      <c r="N40" s="6">
        <v>11.8391642371234</v>
      </c>
      <c r="O40" s="6">
        <v>141.220069772214</v>
      </c>
      <c r="P40" s="6">
        <v>688165.4</v>
      </c>
      <c r="Q40" s="6">
        <v>11.7615821714245</v>
      </c>
      <c r="R40" s="6">
        <v>2069</v>
      </c>
      <c r="S40" s="6">
        <v>5.0267249757045702</v>
      </c>
      <c r="T40" s="6">
        <v>141.13052682455299</v>
      </c>
      <c r="U40" s="6">
        <v>291999.06</v>
      </c>
      <c r="V40" s="6">
        <v>4.9906184445900603</v>
      </c>
      <c r="W40" s="6">
        <v>125</v>
      </c>
      <c r="X40" s="6">
        <v>13.8580931263858</v>
      </c>
      <c r="Y40" s="6"/>
      <c r="Z40" s="6">
        <v>82320</v>
      </c>
      <c r="AA40" s="6">
        <v>11701918.84</v>
      </c>
      <c r="AB40" s="6">
        <v>41160</v>
      </c>
      <c r="AC40" s="6">
        <v>5850959.4199999999</v>
      </c>
      <c r="AD40" s="6">
        <v>41160</v>
      </c>
      <c r="AE40" s="6">
        <v>5850959.4199999999</v>
      </c>
      <c r="AF40" s="6">
        <v>902</v>
      </c>
    </row>
    <row r="41" spans="1:32" x14ac:dyDescent="0.25">
      <c r="A41" t="s">
        <v>181</v>
      </c>
      <c r="B41" t="s">
        <v>58</v>
      </c>
      <c r="C41">
        <v>5</v>
      </c>
      <c r="D41">
        <v>2025</v>
      </c>
      <c r="E41" t="s">
        <v>102</v>
      </c>
      <c r="F41" t="s">
        <v>103</v>
      </c>
      <c r="G41" s="6">
        <v>11052</v>
      </c>
      <c r="H41" s="6">
        <v>1688843.26</v>
      </c>
      <c r="I41" s="6">
        <v>19448</v>
      </c>
      <c r="J41" s="6">
        <v>14.6190390282037</v>
      </c>
      <c r="K41" s="6">
        <v>2941839.98</v>
      </c>
      <c r="L41" s="6">
        <v>14.584497372063799</v>
      </c>
      <c r="M41" s="6">
        <v>15250</v>
      </c>
      <c r="N41" s="6">
        <v>22.926814600998298</v>
      </c>
      <c r="O41" s="6">
        <v>151.82568000000001</v>
      </c>
      <c r="P41" s="6">
        <v>2315341.62</v>
      </c>
      <c r="Q41" s="6">
        <v>22.957124793932401</v>
      </c>
      <c r="R41" s="6">
        <v>4198</v>
      </c>
      <c r="S41" s="6">
        <v>6.31126345540922</v>
      </c>
      <c r="T41" s="6">
        <v>149.23734159123401</v>
      </c>
      <c r="U41" s="6">
        <v>626498.36</v>
      </c>
      <c r="V41" s="6">
        <v>6.2118699501950898</v>
      </c>
      <c r="W41" s="6">
        <v>321</v>
      </c>
      <c r="X41" s="6">
        <v>16.7013527575442</v>
      </c>
      <c r="Y41" s="6"/>
      <c r="Z41" s="6">
        <v>133032</v>
      </c>
      <c r="AA41" s="6">
        <v>20171006.960000001</v>
      </c>
      <c r="AB41" s="6">
        <v>66516</v>
      </c>
      <c r="AC41" s="6">
        <v>10085503.48</v>
      </c>
      <c r="AD41" s="6">
        <v>66516</v>
      </c>
      <c r="AE41" s="6">
        <v>10085503.48</v>
      </c>
      <c r="AF41" s="6">
        <v>1922</v>
      </c>
    </row>
    <row r="42" spans="1:32" x14ac:dyDescent="0.25">
      <c r="A42" t="s">
        <v>181</v>
      </c>
      <c r="B42" t="s">
        <v>58</v>
      </c>
      <c r="C42">
        <v>6</v>
      </c>
      <c r="D42">
        <v>2025</v>
      </c>
      <c r="E42" t="s">
        <v>102</v>
      </c>
      <c r="F42" t="s">
        <v>103</v>
      </c>
      <c r="G42" s="6">
        <v>9890</v>
      </c>
      <c r="H42" s="6">
        <v>1711230.87</v>
      </c>
      <c r="I42" s="6">
        <v>27474</v>
      </c>
      <c r="J42" s="6">
        <v>11.1500718338325</v>
      </c>
      <c r="K42" s="6">
        <v>4777926.57</v>
      </c>
      <c r="L42" s="6">
        <v>10.957394501208199</v>
      </c>
      <c r="M42" s="6">
        <v>18682</v>
      </c>
      <c r="N42" s="6">
        <v>15.1638379558607</v>
      </c>
      <c r="O42" s="6">
        <v>173.67405631088701</v>
      </c>
      <c r="P42" s="6">
        <v>3244578.72</v>
      </c>
      <c r="Q42" s="6">
        <v>14.881823110674199</v>
      </c>
      <c r="R42" s="6">
        <v>8792</v>
      </c>
      <c r="S42" s="6">
        <v>7.1363057118042903</v>
      </c>
      <c r="T42" s="6">
        <v>174.40262170154699</v>
      </c>
      <c r="U42" s="6">
        <v>1533347.85</v>
      </c>
      <c r="V42" s="6">
        <v>7.0329658917421902</v>
      </c>
      <c r="W42" s="6">
        <v>534</v>
      </c>
      <c r="X42" s="6">
        <v>15.9307875894988</v>
      </c>
      <c r="Y42" s="6"/>
      <c r="Z42" s="6">
        <v>246402</v>
      </c>
      <c r="AA42" s="6">
        <v>43604586.560000002</v>
      </c>
      <c r="AB42" s="6">
        <v>123201</v>
      </c>
      <c r="AC42" s="6">
        <v>21802293.280000001</v>
      </c>
      <c r="AD42" s="6">
        <v>123201</v>
      </c>
      <c r="AE42" s="6">
        <v>21802293.280000001</v>
      </c>
      <c r="AF42" s="6">
        <v>3352</v>
      </c>
    </row>
    <row r="43" spans="1:32" x14ac:dyDescent="0.25">
      <c r="A43" t="s">
        <v>181</v>
      </c>
      <c r="B43" t="s">
        <v>58</v>
      </c>
      <c r="C43">
        <v>7</v>
      </c>
      <c r="D43">
        <v>2025</v>
      </c>
      <c r="E43" t="s">
        <v>102</v>
      </c>
      <c r="F43" t="s">
        <v>103</v>
      </c>
      <c r="G43" s="6">
        <v>-332</v>
      </c>
      <c r="H43" s="6">
        <v>-57407.5199999998</v>
      </c>
      <c r="I43" s="6">
        <v>11438</v>
      </c>
      <c r="J43" s="6">
        <v>14.0654205607477</v>
      </c>
      <c r="K43" s="6">
        <v>2244019.64</v>
      </c>
      <c r="L43" s="6">
        <v>14.022004536631099</v>
      </c>
      <c r="M43" s="6">
        <v>5553</v>
      </c>
      <c r="N43" s="6">
        <v>13.657156910969</v>
      </c>
      <c r="O43" s="6">
        <v>196.88565820277299</v>
      </c>
      <c r="P43" s="6">
        <v>1093306.06</v>
      </c>
      <c r="Q43" s="6">
        <v>13.6632873081684</v>
      </c>
      <c r="R43" s="6">
        <v>5885</v>
      </c>
      <c r="S43" s="6">
        <v>14.473684210526301</v>
      </c>
      <c r="T43" s="6">
        <v>195.53331860662701</v>
      </c>
      <c r="U43" s="6">
        <v>1150713.58</v>
      </c>
      <c r="V43" s="6">
        <v>14.380721765093901</v>
      </c>
      <c r="W43" s="6">
        <v>273</v>
      </c>
      <c r="X43" s="6">
        <v>19.2524682651622</v>
      </c>
      <c r="Y43" s="6"/>
      <c r="Z43" s="6">
        <v>81320</v>
      </c>
      <c r="AA43" s="6">
        <v>16003558.08</v>
      </c>
      <c r="AB43" s="6">
        <v>40660</v>
      </c>
      <c r="AC43" s="6">
        <v>8001779.04</v>
      </c>
      <c r="AD43" s="6">
        <v>40660</v>
      </c>
      <c r="AE43" s="6">
        <v>8001779.04</v>
      </c>
      <c r="AF43" s="6">
        <v>1418</v>
      </c>
    </row>
    <row r="44" spans="1:32" x14ac:dyDescent="0.25">
      <c r="A44" t="s">
        <v>181</v>
      </c>
      <c r="B44" t="s">
        <v>58</v>
      </c>
      <c r="C44">
        <v>8</v>
      </c>
      <c r="D44">
        <v>2025</v>
      </c>
      <c r="E44" t="s">
        <v>102</v>
      </c>
      <c r="F44" t="s">
        <v>103</v>
      </c>
      <c r="G44" s="6">
        <v>-434</v>
      </c>
      <c r="H44" s="6">
        <v>-77833.91</v>
      </c>
      <c r="I44" s="6">
        <v>5502</v>
      </c>
      <c r="J44" s="6">
        <v>6.5367708209575897</v>
      </c>
      <c r="K44" s="6">
        <v>1041718.69</v>
      </c>
      <c r="L44" s="6">
        <v>6.5294136338745803</v>
      </c>
      <c r="M44" s="6">
        <v>2534</v>
      </c>
      <c r="N44" s="6">
        <v>6.0211476773197097</v>
      </c>
      <c r="O44" s="6">
        <v>190.19036700868199</v>
      </c>
      <c r="P44" s="6">
        <v>481942.39</v>
      </c>
      <c r="Q44" s="6">
        <v>6.0415565972193503</v>
      </c>
      <c r="R44" s="6">
        <v>2968</v>
      </c>
      <c r="S44" s="6">
        <v>7.0523939645954599</v>
      </c>
      <c r="T44" s="6">
        <v>188.60387466307299</v>
      </c>
      <c r="U44" s="6">
        <v>559776.30000000005</v>
      </c>
      <c r="V44" s="6">
        <v>7.0172706705297996</v>
      </c>
      <c r="W44" s="6">
        <v>133</v>
      </c>
      <c r="X44" s="6">
        <v>12.0471014492754</v>
      </c>
      <c r="Y44" s="6"/>
      <c r="Z44" s="6">
        <v>84170</v>
      </c>
      <c r="AA44" s="6">
        <v>15954245.640000001</v>
      </c>
      <c r="AB44" s="6">
        <v>42085</v>
      </c>
      <c r="AC44" s="6">
        <v>7977122.8200000003</v>
      </c>
      <c r="AD44" s="6">
        <v>42085</v>
      </c>
      <c r="AE44" s="6">
        <v>7977122.8200000003</v>
      </c>
      <c r="AF44" s="6">
        <v>1104</v>
      </c>
    </row>
    <row r="45" spans="1:32" x14ac:dyDescent="0.25">
      <c r="A45" t="s">
        <v>181</v>
      </c>
      <c r="B45" t="s">
        <v>58</v>
      </c>
      <c r="C45">
        <v>9</v>
      </c>
      <c r="D45">
        <v>2025</v>
      </c>
      <c r="E45" t="s">
        <v>102</v>
      </c>
      <c r="F45" t="s">
        <v>103</v>
      </c>
      <c r="G45" s="6">
        <v>6620</v>
      </c>
      <c r="H45" s="6">
        <v>1379832.01</v>
      </c>
      <c r="I45" s="6">
        <v>13112</v>
      </c>
      <c r="J45" s="6">
        <v>13.5339898020272</v>
      </c>
      <c r="K45" s="6">
        <v>2725545.41</v>
      </c>
      <c r="L45" s="6">
        <v>13.5817942503348</v>
      </c>
      <c r="M45" s="6">
        <v>9866</v>
      </c>
      <c r="N45" s="6">
        <v>20.367044445820699</v>
      </c>
      <c r="O45" s="6">
        <v>208.05683255625399</v>
      </c>
      <c r="P45" s="6">
        <v>2052688.71</v>
      </c>
      <c r="Q45" s="6">
        <v>20.457700405149499</v>
      </c>
      <c r="R45" s="6">
        <v>3246</v>
      </c>
      <c r="S45" s="6">
        <v>6.7009351582337304</v>
      </c>
      <c r="T45" s="6">
        <v>207.287954405422</v>
      </c>
      <c r="U45" s="6">
        <v>672856.7</v>
      </c>
      <c r="V45" s="6">
        <v>6.7058880955201197</v>
      </c>
      <c r="W45" s="6">
        <v>342</v>
      </c>
      <c r="X45" s="6">
        <v>16.521739130434799</v>
      </c>
      <c r="Y45" s="6"/>
      <c r="Z45" s="6">
        <v>96882</v>
      </c>
      <c r="AA45" s="6">
        <v>20067638.780000001</v>
      </c>
      <c r="AB45" s="6">
        <v>48441</v>
      </c>
      <c r="AC45" s="6">
        <v>10033819.390000001</v>
      </c>
      <c r="AD45" s="6">
        <v>48441</v>
      </c>
      <c r="AE45" s="6">
        <v>10033819.390000001</v>
      </c>
      <c r="AF45" s="6">
        <v>2070</v>
      </c>
    </row>
    <row r="46" spans="1:32" x14ac:dyDescent="0.25">
      <c r="A46" t="s">
        <v>181</v>
      </c>
      <c r="B46" t="s">
        <v>58</v>
      </c>
      <c r="C46">
        <v>10</v>
      </c>
      <c r="D46">
        <v>2025</v>
      </c>
      <c r="E46" t="s">
        <v>102</v>
      </c>
      <c r="F46" t="s">
        <v>103</v>
      </c>
      <c r="G46" s="6">
        <v>3979</v>
      </c>
      <c r="H46" s="6">
        <v>901355.68</v>
      </c>
      <c r="I46" s="6">
        <v>19221</v>
      </c>
      <c r="J46" s="6">
        <v>8.5326550181120808</v>
      </c>
      <c r="K46" s="6">
        <v>4362208.74</v>
      </c>
      <c r="L46" s="6">
        <v>8.5109282327667497</v>
      </c>
      <c r="M46" s="6">
        <v>11600</v>
      </c>
      <c r="N46" s="6">
        <v>10.299026919525501</v>
      </c>
      <c r="O46" s="6">
        <v>226.87777672413799</v>
      </c>
      <c r="P46" s="6">
        <v>2631782.21</v>
      </c>
      <c r="Q46" s="6">
        <v>10.269526677250299</v>
      </c>
      <c r="R46" s="6">
        <v>7621</v>
      </c>
      <c r="S46" s="6">
        <v>6.7662831166986299</v>
      </c>
      <c r="T46" s="6">
        <v>227.06029786117301</v>
      </c>
      <c r="U46" s="6">
        <v>1730426.53</v>
      </c>
      <c r="V46" s="6">
        <v>6.7523297882831699</v>
      </c>
      <c r="W46" s="6">
        <v>501</v>
      </c>
      <c r="X46" s="6">
        <v>14.160542679479899</v>
      </c>
      <c r="Y46" s="6"/>
      <c r="Z46" s="6">
        <v>225264</v>
      </c>
      <c r="AA46" s="6">
        <v>51254206.600000001</v>
      </c>
      <c r="AB46" s="6">
        <v>112632</v>
      </c>
      <c r="AC46" s="6">
        <v>25627103.300000001</v>
      </c>
      <c r="AD46" s="6">
        <v>112632</v>
      </c>
      <c r="AE46" s="6">
        <v>25627103.300000001</v>
      </c>
      <c r="AF46" s="6">
        <v>3538</v>
      </c>
    </row>
    <row r="47" spans="1:32" x14ac:dyDescent="0.25">
      <c r="A47" t="s">
        <v>181</v>
      </c>
      <c r="B47" t="s">
        <v>58</v>
      </c>
      <c r="C47">
        <v>11</v>
      </c>
      <c r="D47">
        <v>2025</v>
      </c>
      <c r="E47" t="s">
        <v>102</v>
      </c>
      <c r="F47" t="s">
        <v>103</v>
      </c>
      <c r="G47" s="6">
        <v>-823</v>
      </c>
      <c r="H47" s="6">
        <v>-180244.27</v>
      </c>
      <c r="I47" s="6">
        <v>9043</v>
      </c>
      <c r="J47" s="6">
        <v>10.6038930581614</v>
      </c>
      <c r="K47" s="6">
        <v>2011748.27</v>
      </c>
      <c r="L47" s="6">
        <v>10.599572082196</v>
      </c>
      <c r="M47" s="6">
        <v>4110</v>
      </c>
      <c r="N47" s="6">
        <v>9.6388367729831099</v>
      </c>
      <c r="O47" s="6">
        <v>222.810705596107</v>
      </c>
      <c r="P47" s="6">
        <v>915752</v>
      </c>
      <c r="Q47" s="6">
        <v>9.6498945500921405</v>
      </c>
      <c r="R47" s="6">
        <v>4933</v>
      </c>
      <c r="S47" s="6">
        <v>11.5689493433396</v>
      </c>
      <c r="T47" s="6">
        <v>222.17641800121601</v>
      </c>
      <c r="U47" s="6">
        <v>1095996.27</v>
      </c>
      <c r="V47" s="6">
        <v>11.549249614299899</v>
      </c>
      <c r="W47" s="6">
        <v>208</v>
      </c>
      <c r="X47" s="6">
        <v>14.325068870523401</v>
      </c>
      <c r="Y47" s="6"/>
      <c r="Z47" s="6">
        <v>85280</v>
      </c>
      <c r="AA47" s="6">
        <v>18979523.460000001</v>
      </c>
      <c r="AB47" s="6">
        <v>42640</v>
      </c>
      <c r="AC47" s="6">
        <v>9489761.7300000004</v>
      </c>
      <c r="AD47" s="6">
        <v>42640</v>
      </c>
      <c r="AE47" s="6">
        <v>9489761.7300000004</v>
      </c>
      <c r="AF47" s="6">
        <v>1452</v>
      </c>
    </row>
    <row r="48" spans="1:32" x14ac:dyDescent="0.25">
      <c r="A48" t="s">
        <v>181</v>
      </c>
      <c r="B48" t="s">
        <v>58</v>
      </c>
      <c r="C48">
        <v>12</v>
      </c>
      <c r="D48">
        <v>2025</v>
      </c>
      <c r="E48" t="s">
        <v>102</v>
      </c>
      <c r="F48" t="s">
        <v>103</v>
      </c>
      <c r="G48" s="6">
        <v>8278</v>
      </c>
      <c r="H48" s="6">
        <v>2194787.37</v>
      </c>
      <c r="I48" s="6">
        <v>19328</v>
      </c>
      <c r="J48" s="6">
        <v>6.9006883550884002</v>
      </c>
      <c r="K48" s="6">
        <v>5508089.6100000003</v>
      </c>
      <c r="L48" s="6">
        <v>6.9658745377793396</v>
      </c>
      <c r="M48" s="6">
        <v>13803</v>
      </c>
      <c r="N48" s="6">
        <v>9.8561880551826597</v>
      </c>
      <c r="O48" s="6">
        <v>279.02908715496602</v>
      </c>
      <c r="P48" s="6">
        <v>3851438.49</v>
      </c>
      <c r="Q48" s="6">
        <v>9.7415398843935392</v>
      </c>
      <c r="R48" s="6">
        <v>5525</v>
      </c>
      <c r="S48" s="6">
        <v>3.9451886549941402</v>
      </c>
      <c r="T48" s="6">
        <v>299.846356561086</v>
      </c>
      <c r="U48" s="6">
        <v>1656651.12</v>
      </c>
      <c r="V48" s="6">
        <v>4.1902091911651498</v>
      </c>
      <c r="W48" s="6">
        <v>611</v>
      </c>
      <c r="X48" s="6">
        <v>12.205353575709101</v>
      </c>
      <c r="Y48" s="6"/>
      <c r="Z48" s="6">
        <v>280088</v>
      </c>
      <c r="AA48" s="6">
        <v>79072477.980000004</v>
      </c>
      <c r="AB48" s="6">
        <v>140044</v>
      </c>
      <c r="AC48" s="6">
        <v>39536238.990000002</v>
      </c>
      <c r="AD48" s="6">
        <v>140044</v>
      </c>
      <c r="AE48" s="6">
        <v>39536238.990000002</v>
      </c>
      <c r="AF48" s="6">
        <v>5006</v>
      </c>
    </row>
    <row r="49" spans="1:32" x14ac:dyDescent="0.25">
      <c r="A49" t="s">
        <v>181</v>
      </c>
      <c r="B49" t="s">
        <v>58</v>
      </c>
      <c r="C49">
        <v>1</v>
      </c>
      <c r="D49">
        <v>2026</v>
      </c>
      <c r="E49" t="s">
        <v>102</v>
      </c>
      <c r="F49" t="s">
        <v>103</v>
      </c>
      <c r="G49" s="6">
        <v>7794</v>
      </c>
      <c r="H49" s="6">
        <v>2530281.63</v>
      </c>
      <c r="I49" s="6">
        <v>24220</v>
      </c>
      <c r="J49" s="6">
        <v>11.334387840101799</v>
      </c>
      <c r="K49" s="6">
        <v>7926827.0700000003</v>
      </c>
      <c r="L49" s="6">
        <v>11.448582580771101</v>
      </c>
      <c r="M49" s="6">
        <v>16007</v>
      </c>
      <c r="N49" s="6">
        <v>14.9817957189521</v>
      </c>
      <c r="O49" s="6">
        <v>326.64174111326298</v>
      </c>
      <c r="P49" s="6">
        <v>5228554.3499999996</v>
      </c>
      <c r="Q49" s="6">
        <v>15.1030256389166</v>
      </c>
      <c r="R49" s="6">
        <v>8213</v>
      </c>
      <c r="S49" s="6">
        <v>7.6869799612515601</v>
      </c>
      <c r="T49" s="6">
        <v>328.53679775964901</v>
      </c>
      <c r="U49" s="6">
        <v>2698272.72</v>
      </c>
      <c r="V49" s="6">
        <v>7.7941395205143804</v>
      </c>
      <c r="W49" s="6">
        <v>809</v>
      </c>
      <c r="X49" s="6">
        <v>16.369890732497002</v>
      </c>
      <c r="Y49" s="6"/>
      <c r="Z49" s="6">
        <v>213686</v>
      </c>
      <c r="AA49" s="6">
        <v>69238501.920000002</v>
      </c>
      <c r="AB49" s="6">
        <v>106843</v>
      </c>
      <c r="AC49" s="6">
        <v>34619250.969999999</v>
      </c>
      <c r="AD49" s="6">
        <v>106843</v>
      </c>
      <c r="AE49" s="6">
        <v>34619250.950000003</v>
      </c>
      <c r="AF49" s="6">
        <v>4942</v>
      </c>
    </row>
    <row r="50" spans="1:32" x14ac:dyDescent="0.25">
      <c r="A50" t="s">
        <v>182</v>
      </c>
      <c r="B50" t="s">
        <v>20</v>
      </c>
      <c r="C50">
        <v>2</v>
      </c>
      <c r="D50">
        <v>2025</v>
      </c>
      <c r="E50" t="s">
        <v>102</v>
      </c>
      <c r="F50" t="s">
        <v>103</v>
      </c>
      <c r="G50" s="6">
        <v>407290</v>
      </c>
      <c r="H50" s="6">
        <v>17213067.780000001</v>
      </c>
      <c r="I50" s="6">
        <v>1177670</v>
      </c>
      <c r="J50" s="6">
        <v>8.5422007944877105</v>
      </c>
      <c r="K50" s="6">
        <v>49833410.539999999</v>
      </c>
      <c r="L50" s="6">
        <v>8.5427521362960306</v>
      </c>
      <c r="M50" s="6">
        <v>792480</v>
      </c>
      <c r="N50" s="6">
        <v>11.496468935466799</v>
      </c>
      <c r="O50" s="6">
        <v>42.301684786997797</v>
      </c>
      <c r="P50" s="6">
        <v>33523239.16</v>
      </c>
      <c r="Q50" s="6">
        <v>11.493522911726</v>
      </c>
      <c r="R50" s="6">
        <v>385190</v>
      </c>
      <c r="S50" s="6">
        <v>5.5879326535085703</v>
      </c>
      <c r="T50" s="6">
        <v>42.343184869804503</v>
      </c>
      <c r="U50" s="6">
        <v>16310171.380000001</v>
      </c>
      <c r="V50" s="6">
        <v>5.5919813599555503</v>
      </c>
      <c r="W50" s="6">
        <v>5846</v>
      </c>
      <c r="X50" s="6">
        <v>11.2813585488228</v>
      </c>
      <c r="Y50" s="6"/>
      <c r="Z50" s="6">
        <v>13786494</v>
      </c>
      <c r="AA50" s="6">
        <v>583341407.37</v>
      </c>
      <c r="AB50" s="6">
        <v>6893247</v>
      </c>
      <c r="AC50" s="6">
        <v>291670703.73000002</v>
      </c>
      <c r="AD50" s="6">
        <v>6893247</v>
      </c>
      <c r="AE50" s="6">
        <v>291670703.63999999</v>
      </c>
      <c r="AF50" s="6">
        <v>51820</v>
      </c>
    </row>
    <row r="51" spans="1:32" x14ac:dyDescent="0.25">
      <c r="A51" t="s">
        <v>182</v>
      </c>
      <c r="B51" t="s">
        <v>20</v>
      </c>
      <c r="C51">
        <v>3</v>
      </c>
      <c r="D51">
        <v>2025</v>
      </c>
      <c r="E51" t="s">
        <v>102</v>
      </c>
      <c r="F51" t="s">
        <v>103</v>
      </c>
      <c r="G51" s="6">
        <v>336054</v>
      </c>
      <c r="H51" s="6">
        <v>14775406.609999999</v>
      </c>
      <c r="I51" s="6">
        <v>1202850</v>
      </c>
      <c r="J51" s="6">
        <v>10.1135362895896</v>
      </c>
      <c r="K51" s="6">
        <v>52294837.390000001</v>
      </c>
      <c r="L51" s="6">
        <v>10.111127894366</v>
      </c>
      <c r="M51" s="6">
        <v>769452</v>
      </c>
      <c r="N51" s="6">
        <v>12.9390709150722</v>
      </c>
      <c r="O51" s="6">
        <v>43.583124093510698</v>
      </c>
      <c r="P51" s="6">
        <v>33535122</v>
      </c>
      <c r="Q51" s="6">
        <v>12.967930466234399</v>
      </c>
      <c r="R51" s="6">
        <v>433398</v>
      </c>
      <c r="S51" s="6">
        <v>7.288001664107</v>
      </c>
      <c r="T51" s="6">
        <v>43.2851914175885</v>
      </c>
      <c r="U51" s="6">
        <v>18759715.390000001</v>
      </c>
      <c r="V51" s="6">
        <v>7.2543253227184499</v>
      </c>
      <c r="W51" s="6">
        <v>5425</v>
      </c>
      <c r="X51" s="6">
        <v>11.089533932951801</v>
      </c>
      <c r="Y51" s="6"/>
      <c r="Z51" s="6">
        <v>11893466</v>
      </c>
      <c r="AA51" s="6">
        <v>517200829.98000002</v>
      </c>
      <c r="AB51" s="6">
        <v>5946733</v>
      </c>
      <c r="AC51" s="6">
        <v>258600414.97999999</v>
      </c>
      <c r="AD51" s="6">
        <v>5946733</v>
      </c>
      <c r="AE51" s="6">
        <v>258600415</v>
      </c>
      <c r="AF51" s="6">
        <v>48920</v>
      </c>
    </row>
    <row r="52" spans="1:32" x14ac:dyDescent="0.25">
      <c r="A52" t="s">
        <v>182</v>
      </c>
      <c r="B52" t="s">
        <v>20</v>
      </c>
      <c r="C52">
        <v>4</v>
      </c>
      <c r="D52">
        <v>2025</v>
      </c>
      <c r="E52" t="s">
        <v>102</v>
      </c>
      <c r="F52" t="s">
        <v>103</v>
      </c>
      <c r="G52" s="6">
        <v>626343</v>
      </c>
      <c r="H52" s="6">
        <v>29887918.859999999</v>
      </c>
      <c r="I52" s="6">
        <v>3394083</v>
      </c>
      <c r="J52" s="6">
        <v>8.4671846740620307</v>
      </c>
      <c r="K52" s="6">
        <v>160390908.41999999</v>
      </c>
      <c r="L52" s="6">
        <v>8.4884508365598901</v>
      </c>
      <c r="M52" s="6">
        <v>2010213</v>
      </c>
      <c r="N52" s="6">
        <v>10.029716247481399</v>
      </c>
      <c r="O52" s="6">
        <v>47.328026253934297</v>
      </c>
      <c r="P52" s="6">
        <v>95139413.640000001</v>
      </c>
      <c r="Q52" s="6">
        <v>10.0702245939253</v>
      </c>
      <c r="R52" s="6">
        <v>1383870</v>
      </c>
      <c r="S52" s="6">
        <v>6.9046531006426299</v>
      </c>
      <c r="T52" s="6">
        <v>47.151462767456501</v>
      </c>
      <c r="U52" s="6">
        <v>65251494.780000001</v>
      </c>
      <c r="V52" s="6">
        <v>6.90667707921126</v>
      </c>
      <c r="W52" s="6">
        <v>16380</v>
      </c>
      <c r="X52" s="6">
        <v>11.672652642380701</v>
      </c>
      <c r="Y52" s="6"/>
      <c r="Z52" s="6">
        <v>40085142</v>
      </c>
      <c r="AA52" s="6">
        <v>1889519200.95</v>
      </c>
      <c r="AB52" s="6">
        <v>20042571</v>
      </c>
      <c r="AC52" s="6">
        <v>944759600.47000003</v>
      </c>
      <c r="AD52" s="6">
        <v>20042571</v>
      </c>
      <c r="AE52" s="6">
        <v>944759600.48000002</v>
      </c>
      <c r="AF52" s="6">
        <v>140328</v>
      </c>
    </row>
    <row r="53" spans="1:32" x14ac:dyDescent="0.25">
      <c r="A53" t="s">
        <v>182</v>
      </c>
      <c r="B53" t="s">
        <v>20</v>
      </c>
      <c r="C53">
        <v>5</v>
      </c>
      <c r="D53">
        <v>2025</v>
      </c>
      <c r="E53" t="s">
        <v>102</v>
      </c>
      <c r="F53" t="s">
        <v>103</v>
      </c>
      <c r="G53" s="6">
        <v>-114456</v>
      </c>
      <c r="H53" s="6">
        <v>-4598259.5400000401</v>
      </c>
      <c r="I53" s="6">
        <v>2892080</v>
      </c>
      <c r="J53" s="6">
        <v>8.4577690589910102</v>
      </c>
      <c r="K53" s="6">
        <v>135182813.78</v>
      </c>
      <c r="L53" s="6">
        <v>8.4430351550946003</v>
      </c>
      <c r="M53" s="6">
        <v>1388812</v>
      </c>
      <c r="N53" s="6">
        <v>8.1230471925779604</v>
      </c>
      <c r="O53" s="6">
        <v>47.013042168414401</v>
      </c>
      <c r="P53" s="6">
        <v>65292277.119999997</v>
      </c>
      <c r="Q53" s="6">
        <v>8.1558443068154496</v>
      </c>
      <c r="R53" s="6">
        <v>1503268</v>
      </c>
      <c r="S53" s="6">
        <v>8.7924909254040706</v>
      </c>
      <c r="T53" s="6">
        <v>46.492399665262603</v>
      </c>
      <c r="U53" s="6">
        <v>69890536.659999996</v>
      </c>
      <c r="V53" s="6">
        <v>8.7302260033809294</v>
      </c>
      <c r="W53" s="6">
        <v>12598</v>
      </c>
      <c r="X53" s="6">
        <v>9.5153932142965001</v>
      </c>
      <c r="Y53" s="6"/>
      <c r="Z53" s="6">
        <v>34194360</v>
      </c>
      <c r="AA53" s="6">
        <v>1601116320.0999999</v>
      </c>
      <c r="AB53" s="6">
        <v>17097180</v>
      </c>
      <c r="AC53" s="6">
        <v>800558160.05999994</v>
      </c>
      <c r="AD53" s="6">
        <v>17097180</v>
      </c>
      <c r="AE53" s="6">
        <v>800558160.03999996</v>
      </c>
      <c r="AF53" s="6">
        <v>132396</v>
      </c>
    </row>
    <row r="54" spans="1:32" x14ac:dyDescent="0.25">
      <c r="A54" t="s">
        <v>182</v>
      </c>
      <c r="B54" t="s">
        <v>20</v>
      </c>
      <c r="C54">
        <v>6</v>
      </c>
      <c r="D54">
        <v>2025</v>
      </c>
      <c r="E54" t="s">
        <v>102</v>
      </c>
      <c r="F54" t="s">
        <v>103</v>
      </c>
      <c r="G54" s="6">
        <v>78571</v>
      </c>
      <c r="H54" s="6">
        <v>3747555.1799999899</v>
      </c>
      <c r="I54" s="6">
        <v>1769705</v>
      </c>
      <c r="J54" s="6">
        <v>8.5960437229774502</v>
      </c>
      <c r="K54" s="6">
        <v>84279971.200000003</v>
      </c>
      <c r="L54" s="6">
        <v>8.5904790845052705</v>
      </c>
      <c r="M54" s="6">
        <v>924138</v>
      </c>
      <c r="N54" s="6">
        <v>8.9776891109704007</v>
      </c>
      <c r="O54" s="6">
        <v>47.626829748370902</v>
      </c>
      <c r="P54" s="6">
        <v>44013763.189999998</v>
      </c>
      <c r="Q54" s="6">
        <v>8.9724594521505701</v>
      </c>
      <c r="R54" s="6">
        <v>845567</v>
      </c>
      <c r="S54" s="6">
        <v>8.2143983349844998</v>
      </c>
      <c r="T54" s="6">
        <v>47.620363625827402</v>
      </c>
      <c r="U54" s="6">
        <v>40266208.009999998</v>
      </c>
      <c r="V54" s="6">
        <v>8.2084987168521799</v>
      </c>
      <c r="W54" s="6">
        <v>8821</v>
      </c>
      <c r="X54" s="6">
        <v>9.4550560593392898</v>
      </c>
      <c r="Y54" s="6"/>
      <c r="Z54" s="6">
        <v>20587436</v>
      </c>
      <c r="AA54" s="6">
        <v>981085808.73000002</v>
      </c>
      <c r="AB54" s="6">
        <v>10293718</v>
      </c>
      <c r="AC54" s="6">
        <v>490542904.37</v>
      </c>
      <c r="AD54" s="6">
        <v>10293718</v>
      </c>
      <c r="AE54" s="6">
        <v>490542904.36000001</v>
      </c>
      <c r="AF54" s="6">
        <v>93294</v>
      </c>
    </row>
    <row r="55" spans="1:32" x14ac:dyDescent="0.25">
      <c r="A55" t="s">
        <v>182</v>
      </c>
      <c r="B55" t="s">
        <v>20</v>
      </c>
      <c r="C55">
        <v>7</v>
      </c>
      <c r="D55">
        <v>2025</v>
      </c>
      <c r="E55" t="s">
        <v>102</v>
      </c>
      <c r="F55" t="s">
        <v>103</v>
      </c>
      <c r="G55" s="6">
        <v>111291</v>
      </c>
      <c r="H55" s="6">
        <v>5236606.6100000003</v>
      </c>
      <c r="I55" s="6">
        <v>647755</v>
      </c>
      <c r="J55" s="6">
        <v>6.39204741693215</v>
      </c>
      <c r="K55" s="6">
        <v>30374190.829999998</v>
      </c>
      <c r="L55" s="6">
        <v>6.3846463914929199</v>
      </c>
      <c r="M55" s="6">
        <v>379523</v>
      </c>
      <c r="N55" s="6">
        <v>7.4902671899602202</v>
      </c>
      <c r="O55" s="6">
        <v>46.9152033473597</v>
      </c>
      <c r="P55" s="6">
        <v>17805398.719999999</v>
      </c>
      <c r="Q55" s="6">
        <v>7.4853796306134601</v>
      </c>
      <c r="R55" s="6">
        <v>268232</v>
      </c>
      <c r="S55" s="6">
        <v>5.2938276439040797</v>
      </c>
      <c r="T55" s="6">
        <v>46.857914454651201</v>
      </c>
      <c r="U55" s="6">
        <v>12568792.109999999</v>
      </c>
      <c r="V55" s="6">
        <v>5.2839131520021798</v>
      </c>
      <c r="W55" s="6">
        <v>4354</v>
      </c>
      <c r="X55" s="6">
        <v>8.1740697630758792</v>
      </c>
      <c r="Y55" s="6"/>
      <c r="Z55" s="6">
        <v>10133764</v>
      </c>
      <c r="AA55" s="6">
        <v>475738027.88</v>
      </c>
      <c r="AB55" s="6">
        <v>5066882</v>
      </c>
      <c r="AC55" s="6">
        <v>237869013.97999999</v>
      </c>
      <c r="AD55" s="6">
        <v>5066882</v>
      </c>
      <c r="AE55" s="6">
        <v>237869013.90000001</v>
      </c>
      <c r="AF55" s="6">
        <v>53266</v>
      </c>
    </row>
    <row r="56" spans="1:32" x14ac:dyDescent="0.25">
      <c r="A56" t="s">
        <v>182</v>
      </c>
      <c r="B56" t="s">
        <v>20</v>
      </c>
      <c r="C56">
        <v>8</v>
      </c>
      <c r="D56">
        <v>2025</v>
      </c>
      <c r="E56" t="s">
        <v>102</v>
      </c>
      <c r="F56" t="s">
        <v>103</v>
      </c>
      <c r="G56" s="6">
        <v>-26112</v>
      </c>
      <c r="H56" s="6">
        <v>-1293355.79</v>
      </c>
      <c r="I56" s="6">
        <v>776682</v>
      </c>
      <c r="J56" s="6">
        <v>6.2964696634784501</v>
      </c>
      <c r="K56" s="6">
        <v>36937079.75</v>
      </c>
      <c r="L56" s="6">
        <v>6.2971507573740704</v>
      </c>
      <c r="M56" s="6">
        <v>375285</v>
      </c>
      <c r="N56" s="6">
        <v>6.0847827493324402</v>
      </c>
      <c r="O56" s="6">
        <v>47.488873735960702</v>
      </c>
      <c r="P56" s="6">
        <v>17821861.98</v>
      </c>
      <c r="Q56" s="6">
        <v>6.0766553503259502</v>
      </c>
      <c r="R56" s="6">
        <v>401397</v>
      </c>
      <c r="S56" s="6">
        <v>6.5081565776244501</v>
      </c>
      <c r="T56" s="6">
        <v>47.621725548521802</v>
      </c>
      <c r="U56" s="6">
        <v>19115217.77</v>
      </c>
      <c r="V56" s="6">
        <v>6.51764616450488</v>
      </c>
      <c r="W56" s="6">
        <v>4313</v>
      </c>
      <c r="X56" s="6">
        <v>8.9403424401973393</v>
      </c>
      <c r="Y56" s="6"/>
      <c r="Z56" s="6">
        <v>12335198</v>
      </c>
      <c r="AA56" s="6">
        <v>586568134.90999997</v>
      </c>
      <c r="AB56" s="6">
        <v>6167599</v>
      </c>
      <c r="AC56" s="6">
        <v>293284067.50999999</v>
      </c>
      <c r="AD56" s="6">
        <v>6167599</v>
      </c>
      <c r="AE56" s="6">
        <v>293284067.39999998</v>
      </c>
      <c r="AF56" s="6">
        <v>48242</v>
      </c>
    </row>
    <row r="57" spans="1:32" x14ac:dyDescent="0.25">
      <c r="A57" t="s">
        <v>182</v>
      </c>
      <c r="B57" t="s">
        <v>20</v>
      </c>
      <c r="C57">
        <v>9</v>
      </c>
      <c r="D57">
        <v>2025</v>
      </c>
      <c r="E57" t="s">
        <v>102</v>
      </c>
      <c r="F57" t="s">
        <v>103</v>
      </c>
      <c r="G57" s="6">
        <v>456966</v>
      </c>
      <c r="H57" s="6">
        <v>23314834.079999998</v>
      </c>
      <c r="I57" s="6">
        <v>1456152</v>
      </c>
      <c r="J57" s="6">
        <v>10.649961624645901</v>
      </c>
      <c r="K57" s="6">
        <v>74023497.640000001</v>
      </c>
      <c r="L57" s="6">
        <v>10.677175866051501</v>
      </c>
      <c r="M57" s="6">
        <v>956559</v>
      </c>
      <c r="N57" s="6">
        <v>13.992106101161999</v>
      </c>
      <c r="O57" s="6">
        <v>50.879418687190203</v>
      </c>
      <c r="P57" s="6">
        <v>48669165.859999999</v>
      </c>
      <c r="Q57" s="6">
        <v>14.040115901466001</v>
      </c>
      <c r="R57" s="6">
        <v>499593</v>
      </c>
      <c r="S57" s="6">
        <v>7.3078171481297396</v>
      </c>
      <c r="T57" s="6">
        <v>50.749974038867599</v>
      </c>
      <c r="U57" s="6">
        <v>25354331.780000001</v>
      </c>
      <c r="V57" s="6">
        <v>7.3142358307340896</v>
      </c>
      <c r="W57" s="6">
        <v>7935</v>
      </c>
      <c r="X57" s="6">
        <v>11.1810957051065</v>
      </c>
      <c r="Y57" s="6"/>
      <c r="Z57" s="6">
        <v>13672838</v>
      </c>
      <c r="AA57" s="6">
        <v>693287237.83000004</v>
      </c>
      <c r="AB57" s="6">
        <v>6836419</v>
      </c>
      <c r="AC57" s="6">
        <v>346643618.91000003</v>
      </c>
      <c r="AD57" s="6">
        <v>6836419</v>
      </c>
      <c r="AE57" s="6">
        <v>346643618.92000002</v>
      </c>
      <c r="AF57" s="6">
        <v>70968</v>
      </c>
    </row>
    <row r="58" spans="1:32" x14ac:dyDescent="0.25">
      <c r="A58" t="s">
        <v>182</v>
      </c>
      <c r="B58" t="s">
        <v>20</v>
      </c>
      <c r="C58">
        <v>10</v>
      </c>
      <c r="D58">
        <v>2025</v>
      </c>
      <c r="E58" t="s">
        <v>102</v>
      </c>
      <c r="F58" t="s">
        <v>103</v>
      </c>
      <c r="G58" s="6">
        <v>371296</v>
      </c>
      <c r="H58" s="6">
        <v>21770923.789999999</v>
      </c>
      <c r="I58" s="6">
        <v>3208034</v>
      </c>
      <c r="J58" s="6">
        <v>11.4531934935126</v>
      </c>
      <c r="K58" s="6">
        <v>184636661.15000001</v>
      </c>
      <c r="L58" s="6">
        <v>11.4770680689033</v>
      </c>
      <c r="M58" s="6">
        <v>1789665</v>
      </c>
      <c r="N58" s="6">
        <v>12.7787794852344</v>
      </c>
      <c r="O58" s="6">
        <v>57.666542324960197</v>
      </c>
      <c r="P58" s="6">
        <v>103203792.47</v>
      </c>
      <c r="Q58" s="6">
        <v>12.8303549647389</v>
      </c>
      <c r="R58" s="6">
        <v>1418369</v>
      </c>
      <c r="S58" s="6">
        <v>10.1276075017908</v>
      </c>
      <c r="T58" s="6">
        <v>57.413034746247298</v>
      </c>
      <c r="U58" s="6">
        <v>81432868.680000007</v>
      </c>
      <c r="V58" s="6">
        <v>10.1237811727985</v>
      </c>
      <c r="W58" s="6">
        <v>19188</v>
      </c>
      <c r="X58" s="6">
        <v>13.7172759897628</v>
      </c>
      <c r="Y58" s="6"/>
      <c r="Z58" s="6">
        <v>28009952</v>
      </c>
      <c r="AA58" s="6">
        <v>1608744150</v>
      </c>
      <c r="AB58" s="6">
        <v>14004976</v>
      </c>
      <c r="AC58" s="6">
        <v>804372075.08000004</v>
      </c>
      <c r="AD58" s="6">
        <v>14004976</v>
      </c>
      <c r="AE58" s="6">
        <v>804372074.91999996</v>
      </c>
      <c r="AF58" s="6">
        <v>139882</v>
      </c>
    </row>
    <row r="59" spans="1:32" x14ac:dyDescent="0.25">
      <c r="A59" t="s">
        <v>182</v>
      </c>
      <c r="B59" t="s">
        <v>20</v>
      </c>
      <c r="C59">
        <v>11</v>
      </c>
      <c r="D59">
        <v>2025</v>
      </c>
      <c r="E59" t="s">
        <v>102</v>
      </c>
      <c r="F59" t="s">
        <v>103</v>
      </c>
      <c r="G59" s="6">
        <v>137130</v>
      </c>
      <c r="H59" s="6">
        <v>7977545.1799999997</v>
      </c>
      <c r="I59" s="6">
        <v>856662</v>
      </c>
      <c r="J59" s="6">
        <v>7.0871656632067896</v>
      </c>
      <c r="K59" s="6">
        <v>49334629.439999998</v>
      </c>
      <c r="L59" s="6">
        <v>7.1005863964335196</v>
      </c>
      <c r="M59" s="6">
        <v>496896</v>
      </c>
      <c r="N59" s="6">
        <v>8.2216423032299808</v>
      </c>
      <c r="O59" s="6">
        <v>57.670191166763303</v>
      </c>
      <c r="P59" s="6">
        <v>28656087.309999999</v>
      </c>
      <c r="Q59" s="6">
        <v>8.2487707324644699</v>
      </c>
      <c r="R59" s="6">
        <v>359766</v>
      </c>
      <c r="S59" s="6">
        <v>5.9526890231836003</v>
      </c>
      <c r="T59" s="6">
        <v>57.477755346530799</v>
      </c>
      <c r="U59" s="6">
        <v>20678542.129999999</v>
      </c>
      <c r="V59" s="6">
        <v>5.9524020602042702</v>
      </c>
      <c r="W59" s="6">
        <v>6383</v>
      </c>
      <c r="X59" s="6">
        <v>8.9631252281854703</v>
      </c>
      <c r="Y59" s="6"/>
      <c r="Z59" s="6">
        <v>12087512</v>
      </c>
      <c r="AA59" s="6">
        <v>694796551.79999995</v>
      </c>
      <c r="AB59" s="6">
        <v>6043756</v>
      </c>
      <c r="AC59" s="6">
        <v>347398275.93000001</v>
      </c>
      <c r="AD59" s="6">
        <v>6043756</v>
      </c>
      <c r="AE59" s="6">
        <v>347398275.87</v>
      </c>
      <c r="AF59" s="6">
        <v>71214</v>
      </c>
    </row>
    <row r="60" spans="1:32" x14ac:dyDescent="0.25">
      <c r="A60" t="s">
        <v>182</v>
      </c>
      <c r="B60" t="s">
        <v>20</v>
      </c>
      <c r="C60">
        <v>12</v>
      </c>
      <c r="D60">
        <v>2025</v>
      </c>
      <c r="E60" t="s">
        <v>102</v>
      </c>
      <c r="F60" t="s">
        <v>103</v>
      </c>
      <c r="G60" s="6">
        <v>172023</v>
      </c>
      <c r="H60" s="6">
        <v>10247680.48</v>
      </c>
      <c r="I60" s="6">
        <v>851731</v>
      </c>
      <c r="J60" s="6">
        <v>7.1229283879468799</v>
      </c>
      <c r="K60" s="6">
        <v>50871765.859999999</v>
      </c>
      <c r="L60" s="6">
        <v>7.13867456082244</v>
      </c>
      <c r="M60" s="6">
        <v>511877</v>
      </c>
      <c r="N60" s="6">
        <v>8.5615369510727692</v>
      </c>
      <c r="O60" s="6">
        <v>59.701301621287897</v>
      </c>
      <c r="P60" s="6">
        <v>30559723.170000002</v>
      </c>
      <c r="Q60" s="6">
        <v>8.5766992627580994</v>
      </c>
      <c r="R60" s="6">
        <v>339854</v>
      </c>
      <c r="S60" s="6">
        <v>5.6843198248209799</v>
      </c>
      <c r="T60" s="6">
        <v>59.7669666680398</v>
      </c>
      <c r="U60" s="6">
        <v>20312042.690000001</v>
      </c>
      <c r="V60" s="6">
        <v>5.7006498588060497</v>
      </c>
      <c r="W60" s="6">
        <v>6815</v>
      </c>
      <c r="X60" s="6">
        <v>10.332332696564499</v>
      </c>
      <c r="Y60" s="6"/>
      <c r="Z60" s="6">
        <v>11957596</v>
      </c>
      <c r="AA60" s="6">
        <v>712622006.03999996</v>
      </c>
      <c r="AB60" s="6">
        <v>5978798</v>
      </c>
      <c r="AC60" s="6">
        <v>356311003.02999997</v>
      </c>
      <c r="AD60" s="6">
        <v>5978798</v>
      </c>
      <c r="AE60" s="6">
        <v>356311003.00999999</v>
      </c>
      <c r="AF60" s="6">
        <v>65958</v>
      </c>
    </row>
    <row r="61" spans="1:32" x14ac:dyDescent="0.25">
      <c r="A61" t="s">
        <v>182</v>
      </c>
      <c r="B61" t="s">
        <v>20</v>
      </c>
      <c r="C61">
        <v>1</v>
      </c>
      <c r="D61">
        <v>2026</v>
      </c>
      <c r="E61" t="s">
        <v>102</v>
      </c>
      <c r="F61" t="s">
        <v>103</v>
      </c>
      <c r="G61" s="6">
        <v>113920</v>
      </c>
      <c r="H61" s="6">
        <v>29542927.84</v>
      </c>
      <c r="I61" s="6">
        <v>1109092</v>
      </c>
      <c r="J61" s="6">
        <v>11.0559147626784</v>
      </c>
      <c r="K61" s="6">
        <v>92420584.579999998</v>
      </c>
      <c r="L61" s="6">
        <v>11.2571575656511</v>
      </c>
      <c r="M61" s="6">
        <v>611506</v>
      </c>
      <c r="N61" s="6">
        <v>12.1915192118714</v>
      </c>
      <c r="O61" s="6">
        <v>99.723888579997606</v>
      </c>
      <c r="P61" s="6">
        <v>60981756.210000001</v>
      </c>
      <c r="Q61" s="6">
        <v>12.11473692771</v>
      </c>
      <c r="R61" s="6">
        <v>497586</v>
      </c>
      <c r="S61" s="6">
        <v>9.9203103134854391</v>
      </c>
      <c r="T61" s="6">
        <v>63.182702829259703</v>
      </c>
      <c r="U61" s="6">
        <v>31438828.370000001</v>
      </c>
      <c r="V61" s="6">
        <v>9.8980782835795793</v>
      </c>
      <c r="W61" s="6">
        <v>10502</v>
      </c>
      <c r="X61" s="6">
        <v>13.786132479193499</v>
      </c>
      <c r="Y61" s="6"/>
      <c r="Z61" s="6">
        <v>10031662</v>
      </c>
      <c r="AA61" s="6">
        <v>820993967.98000002</v>
      </c>
      <c r="AB61" s="6">
        <v>5015831</v>
      </c>
      <c r="AC61" s="6">
        <v>503368389.87</v>
      </c>
      <c r="AD61" s="6">
        <v>5015831</v>
      </c>
      <c r="AE61" s="6">
        <v>317625578.11000001</v>
      </c>
      <c r="AF61" s="6">
        <v>76178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6178D-06E4-4D3E-B78F-19263D9F2CA6}">
  <sheetPr filterMode="1"/>
  <dimension ref="A1:W1773"/>
  <sheetViews>
    <sheetView zoomScale="190" zoomScaleNormal="190" workbookViewId="0">
      <selection activeCell="V1" activeCellId="6" sqref="H1:H1048576 J1:J1048576 L1:L1048576 O1:O1048576 Q1:Q1048576 T1:T1048576 V1:V1048576"/>
    </sheetView>
  </sheetViews>
  <sheetFormatPr defaultRowHeight="15" x14ac:dyDescent="0.25"/>
  <cols>
    <col min="1" max="1" width="11" bestFit="1" customWidth="1"/>
    <col min="6" max="6" width="13" customWidth="1"/>
    <col min="8" max="8" width="15.42578125" bestFit="1" customWidth="1"/>
    <col min="9" max="9" width="17.42578125" bestFit="1" customWidth="1"/>
    <col min="10" max="10" width="13.5703125" bestFit="1" customWidth="1"/>
  </cols>
  <sheetData>
    <row r="1" spans="1:23" x14ac:dyDescent="0.25">
      <c r="A1" t="s">
        <v>65</v>
      </c>
      <c r="B1" t="s">
        <v>64</v>
      </c>
      <c r="C1" t="s">
        <v>66</v>
      </c>
      <c r="D1" t="s">
        <v>67</v>
      </c>
      <c r="E1" t="s">
        <v>68</v>
      </c>
      <c r="F1" t="s">
        <v>69</v>
      </c>
      <c r="G1" t="s">
        <v>70</v>
      </c>
      <c r="H1" t="s">
        <v>71</v>
      </c>
      <c r="I1" t="s">
        <v>72</v>
      </c>
      <c r="J1" t="s">
        <v>73</v>
      </c>
      <c r="K1" t="s">
        <v>74</v>
      </c>
      <c r="L1" t="s">
        <v>75</v>
      </c>
      <c r="M1" t="s">
        <v>76</v>
      </c>
      <c r="N1" t="s">
        <v>77</v>
      </c>
      <c r="O1" t="s">
        <v>78</v>
      </c>
      <c r="P1" t="s">
        <v>79</v>
      </c>
      <c r="Q1" t="s">
        <v>80</v>
      </c>
      <c r="R1" t="s">
        <v>81</v>
      </c>
      <c r="S1" t="s">
        <v>82</v>
      </c>
      <c r="T1" t="s">
        <v>83</v>
      </c>
      <c r="U1" t="s">
        <v>84</v>
      </c>
      <c r="V1" t="s">
        <v>85</v>
      </c>
      <c r="W1" t="s">
        <v>86</v>
      </c>
    </row>
    <row r="2" spans="1:23" hidden="1" x14ac:dyDescent="0.25">
      <c r="A2" t="s">
        <v>87</v>
      </c>
      <c r="B2">
        <v>2</v>
      </c>
      <c r="C2">
        <v>2025</v>
      </c>
      <c r="D2" t="s">
        <v>88</v>
      </c>
      <c r="E2" t="s">
        <v>89</v>
      </c>
      <c r="F2">
        <v>-22155</v>
      </c>
      <c r="G2">
        <v>-1041984.88</v>
      </c>
      <c r="H2">
        <v>133431</v>
      </c>
      <c r="I2">
        <v>5.9339536298553499</v>
      </c>
      <c r="J2">
        <v>6285358.2199999997</v>
      </c>
      <c r="K2">
        <v>5.9317096497529302</v>
      </c>
      <c r="L2">
        <v>55638</v>
      </c>
      <c r="M2">
        <v>4.9486747765945198</v>
      </c>
      <c r="N2">
        <v>47.120433336928002</v>
      </c>
      <c r="O2">
        <v>2621686.67</v>
      </c>
      <c r="P2">
        <v>4.9483525285962902</v>
      </c>
      <c r="Q2">
        <v>77793</v>
      </c>
      <c r="R2">
        <v>6.91923248311618</v>
      </c>
      <c r="S2">
        <v>47.095131310014999</v>
      </c>
      <c r="T2">
        <v>3663671.55</v>
      </c>
      <c r="U2">
        <v>6.9150667707239704</v>
      </c>
      <c r="V2">
        <v>258</v>
      </c>
      <c r="W2">
        <v>3.86111942532176</v>
      </c>
    </row>
    <row r="3" spans="1:23" hidden="1" x14ac:dyDescent="0.25">
      <c r="A3" t="s">
        <v>87</v>
      </c>
      <c r="B3">
        <v>2</v>
      </c>
      <c r="C3">
        <v>2025</v>
      </c>
      <c r="D3" t="s">
        <v>90</v>
      </c>
      <c r="E3" t="s">
        <v>91</v>
      </c>
      <c r="F3">
        <v>-14038</v>
      </c>
      <c r="G3">
        <v>-664350.16</v>
      </c>
      <c r="H3">
        <v>110230</v>
      </c>
      <c r="I3">
        <v>4.9021569846509099</v>
      </c>
      <c r="J3">
        <v>5201889.92</v>
      </c>
      <c r="K3">
        <v>4.9092031918296204</v>
      </c>
      <c r="L3">
        <v>48096</v>
      </c>
      <c r="M3">
        <v>4.2778579757555999</v>
      </c>
      <c r="N3">
        <v>47.171695775116397</v>
      </c>
      <c r="O3">
        <v>2268769.88</v>
      </c>
      <c r="P3">
        <v>4.2822329994533996</v>
      </c>
      <c r="Q3">
        <v>62134</v>
      </c>
      <c r="R3">
        <v>5.5264559935462101</v>
      </c>
      <c r="S3">
        <v>47.206361090546203</v>
      </c>
      <c r="T3">
        <v>2933120.04</v>
      </c>
      <c r="U3">
        <v>5.5361733840874896</v>
      </c>
      <c r="V3">
        <v>457</v>
      </c>
      <c r="W3">
        <v>6.8392696797366099</v>
      </c>
    </row>
    <row r="4" spans="1:23" hidden="1" x14ac:dyDescent="0.25">
      <c r="A4" t="s">
        <v>87</v>
      </c>
      <c r="B4">
        <v>2</v>
      </c>
      <c r="C4">
        <v>2025</v>
      </c>
      <c r="D4" t="s">
        <v>92</v>
      </c>
      <c r="E4" t="s">
        <v>93</v>
      </c>
      <c r="F4">
        <v>895</v>
      </c>
      <c r="G4">
        <v>42385.35</v>
      </c>
      <c r="H4">
        <v>1805</v>
      </c>
      <c r="I4">
        <v>8.0272097952416702E-2</v>
      </c>
      <c r="J4">
        <v>85546.65</v>
      </c>
      <c r="K4">
        <v>8.0733328403522098E-2</v>
      </c>
      <c r="L4">
        <v>1350</v>
      </c>
      <c r="M4">
        <v>0.120074606355415</v>
      </c>
      <c r="N4">
        <v>47.382222222222197</v>
      </c>
      <c r="O4">
        <v>63966</v>
      </c>
      <c r="P4">
        <v>0.120733847208443</v>
      </c>
      <c r="Q4">
        <v>455</v>
      </c>
      <c r="R4">
        <v>4.0469589549417803E-2</v>
      </c>
      <c r="S4">
        <v>47.43</v>
      </c>
      <c r="T4">
        <v>21580.65</v>
      </c>
      <c r="U4">
        <v>4.0732809606151603E-2</v>
      </c>
      <c r="V4">
        <v>5</v>
      </c>
      <c r="W4">
        <v>7.4827895839569003E-2</v>
      </c>
    </row>
    <row r="5" spans="1:23" hidden="1" x14ac:dyDescent="0.25">
      <c r="A5" t="s">
        <v>87</v>
      </c>
      <c r="B5">
        <v>2</v>
      </c>
      <c r="C5">
        <v>2025</v>
      </c>
      <c r="D5" t="s">
        <v>94</v>
      </c>
      <c r="E5" t="s">
        <v>95</v>
      </c>
      <c r="F5">
        <v>-185029</v>
      </c>
      <c r="G5">
        <v>-8736084.9900000002</v>
      </c>
      <c r="H5">
        <v>228011</v>
      </c>
      <c r="I5">
        <v>10.1401226184091</v>
      </c>
      <c r="J5">
        <v>10767571.49</v>
      </c>
      <c r="K5">
        <v>10.161729129201101</v>
      </c>
      <c r="L5">
        <v>21491</v>
      </c>
      <c r="M5">
        <v>1.9114987890253601</v>
      </c>
      <c r="N5">
        <v>47.263656879624001</v>
      </c>
      <c r="O5">
        <v>1015743.25</v>
      </c>
      <c r="P5">
        <v>1.91718397818383</v>
      </c>
      <c r="Q5">
        <v>206520</v>
      </c>
      <c r="R5">
        <v>18.368746447792901</v>
      </c>
      <c r="S5">
        <v>47.219776486538798</v>
      </c>
      <c r="T5">
        <v>9751828.2400000002</v>
      </c>
      <c r="U5">
        <v>18.406274278662199</v>
      </c>
      <c r="V5">
        <v>622</v>
      </c>
      <c r="W5">
        <v>9.3085902424423796</v>
      </c>
    </row>
    <row r="6" spans="1:23" hidden="1" x14ac:dyDescent="0.25">
      <c r="A6" t="s">
        <v>87</v>
      </c>
      <c r="B6">
        <v>2</v>
      </c>
      <c r="C6">
        <v>2025</v>
      </c>
      <c r="D6" t="s">
        <v>96</v>
      </c>
      <c r="E6" t="s">
        <v>97</v>
      </c>
      <c r="F6">
        <v>6111</v>
      </c>
      <c r="G6">
        <v>292106.5</v>
      </c>
      <c r="H6">
        <v>16549</v>
      </c>
      <c r="I6">
        <v>0.73596839280584103</v>
      </c>
      <c r="J6">
        <v>782328.14</v>
      </c>
      <c r="K6">
        <v>0.73831008748953397</v>
      </c>
      <c r="L6">
        <v>11330</v>
      </c>
      <c r="M6">
        <v>1.0077372518569301</v>
      </c>
      <c r="N6">
        <v>47.415473962930299</v>
      </c>
      <c r="O6">
        <v>537217.31999999995</v>
      </c>
      <c r="P6">
        <v>1.01398108105257</v>
      </c>
      <c r="Q6">
        <v>5219</v>
      </c>
      <c r="R6">
        <v>0.46419953375475098</v>
      </c>
      <c r="S6">
        <v>46.965092929679997</v>
      </c>
      <c r="T6">
        <v>245110.82</v>
      </c>
      <c r="U6">
        <v>0.46263909397852698</v>
      </c>
      <c r="V6">
        <v>57</v>
      </c>
      <c r="W6">
        <v>0.85303801257108602</v>
      </c>
    </row>
    <row r="7" spans="1:23" hidden="1" x14ac:dyDescent="0.25">
      <c r="A7" t="s">
        <v>87</v>
      </c>
      <c r="B7">
        <v>2</v>
      </c>
      <c r="C7">
        <v>2025</v>
      </c>
      <c r="D7" t="s">
        <v>98</v>
      </c>
      <c r="E7" t="s">
        <v>99</v>
      </c>
      <c r="F7">
        <v>-150</v>
      </c>
      <c r="G7">
        <v>-7074</v>
      </c>
      <c r="H7">
        <v>150</v>
      </c>
      <c r="I7">
        <v>6.6708114641897496E-3</v>
      </c>
      <c r="J7">
        <v>7074</v>
      </c>
      <c r="K7">
        <v>6.6759781373848699E-3</v>
      </c>
      <c r="L7">
        <v>0</v>
      </c>
      <c r="M7">
        <v>0</v>
      </c>
      <c r="N7">
        <v>0</v>
      </c>
      <c r="O7">
        <v>0</v>
      </c>
      <c r="P7">
        <v>0</v>
      </c>
      <c r="Q7">
        <v>150</v>
      </c>
      <c r="R7">
        <v>1.3341622928379499E-2</v>
      </c>
      <c r="S7">
        <v>47.16</v>
      </c>
      <c r="T7">
        <v>7074</v>
      </c>
      <c r="U7">
        <v>1.3351956273509699E-2</v>
      </c>
      <c r="V7">
        <v>1</v>
      </c>
      <c r="W7">
        <v>1.4965579167913801E-2</v>
      </c>
    </row>
    <row r="8" spans="1:23" hidden="1" x14ac:dyDescent="0.25">
      <c r="A8" t="s">
        <v>87</v>
      </c>
      <c r="B8">
        <v>2</v>
      </c>
      <c r="C8">
        <v>2025</v>
      </c>
      <c r="D8" t="s">
        <v>100</v>
      </c>
      <c r="E8" t="s">
        <v>101</v>
      </c>
      <c r="F8">
        <v>1681</v>
      </c>
      <c r="G8">
        <v>78899.88</v>
      </c>
      <c r="H8">
        <v>2275</v>
      </c>
      <c r="I8">
        <v>0.101173973873545</v>
      </c>
      <c r="J8">
        <v>107107.68</v>
      </c>
      <c r="K8">
        <v>0.101081217136841</v>
      </c>
      <c r="L8">
        <v>1978</v>
      </c>
      <c r="M8">
        <v>0.17593153434889799</v>
      </c>
      <c r="N8">
        <v>47.019100101112201</v>
      </c>
      <c r="O8">
        <v>93003.78</v>
      </c>
      <c r="P8">
        <v>0.175541759127155</v>
      </c>
      <c r="Q8">
        <v>297</v>
      </c>
      <c r="R8">
        <v>2.64164133981914E-2</v>
      </c>
      <c r="S8">
        <v>47.487878787878799</v>
      </c>
      <c r="T8">
        <v>14103.9</v>
      </c>
      <c r="U8">
        <v>2.6620675160581399E-2</v>
      </c>
      <c r="V8">
        <v>9</v>
      </c>
      <c r="W8">
        <v>0.13469021251122401</v>
      </c>
    </row>
    <row r="9" spans="1:23" hidden="1" x14ac:dyDescent="0.25">
      <c r="A9" t="s">
        <v>87</v>
      </c>
      <c r="B9">
        <v>2</v>
      </c>
      <c r="C9">
        <v>2025</v>
      </c>
      <c r="D9" t="s">
        <v>102</v>
      </c>
      <c r="E9" t="s">
        <v>103</v>
      </c>
      <c r="F9">
        <v>33811</v>
      </c>
      <c r="G9">
        <v>1626508.69</v>
      </c>
      <c r="H9">
        <v>229677</v>
      </c>
      <c r="I9">
        <v>10.214213097738099</v>
      </c>
      <c r="J9">
        <v>10825549.189999999</v>
      </c>
      <c r="K9">
        <v>10.216444687252499</v>
      </c>
      <c r="L9">
        <v>131744</v>
      </c>
      <c r="M9">
        <v>11.717858473842901</v>
      </c>
      <c r="N9">
        <v>47.258538832888</v>
      </c>
      <c r="O9">
        <v>6226028.9400000004</v>
      </c>
      <c r="P9">
        <v>11.7514371190523</v>
      </c>
      <c r="Q9">
        <v>97933</v>
      </c>
      <c r="R9">
        <v>8.7105677216332609</v>
      </c>
      <c r="S9">
        <v>46.9659895030276</v>
      </c>
      <c r="T9">
        <v>4599520.25</v>
      </c>
      <c r="U9">
        <v>8.6814522557424691</v>
      </c>
      <c r="V9">
        <v>939</v>
      </c>
      <c r="W9">
        <v>14.052678838671101</v>
      </c>
    </row>
    <row r="10" spans="1:23" hidden="1" x14ac:dyDescent="0.25">
      <c r="A10" t="s">
        <v>87</v>
      </c>
      <c r="B10">
        <v>2</v>
      </c>
      <c r="C10">
        <v>2025</v>
      </c>
      <c r="D10" t="s">
        <v>104</v>
      </c>
      <c r="E10" t="s">
        <v>105</v>
      </c>
      <c r="F10">
        <v>11484</v>
      </c>
      <c r="G10">
        <v>534884.94999999995</v>
      </c>
      <c r="H10">
        <v>65606</v>
      </c>
      <c r="I10">
        <v>2.91763504613089</v>
      </c>
      <c r="J10">
        <v>3092678.21</v>
      </c>
      <c r="K10">
        <v>2.9186672485053098</v>
      </c>
      <c r="L10">
        <v>38545</v>
      </c>
      <c r="M10">
        <v>3.4283523718292499</v>
      </c>
      <c r="N10">
        <v>47.0562091062395</v>
      </c>
      <c r="O10">
        <v>1813781.58</v>
      </c>
      <c r="P10">
        <v>3.4234566511772999</v>
      </c>
      <c r="Q10">
        <v>27061</v>
      </c>
      <c r="R10">
        <v>2.4069177204325198</v>
      </c>
      <c r="S10">
        <v>47.259769779387298</v>
      </c>
      <c r="T10">
        <v>1278896.6299999999</v>
      </c>
      <c r="U10">
        <v>2.4138778459285901</v>
      </c>
      <c r="V10">
        <v>325</v>
      </c>
      <c r="W10">
        <v>4.8638132295719796</v>
      </c>
    </row>
    <row r="11" spans="1:23" hidden="1" x14ac:dyDescent="0.25">
      <c r="A11" t="s">
        <v>87</v>
      </c>
      <c r="B11">
        <v>2</v>
      </c>
      <c r="C11">
        <v>2025</v>
      </c>
      <c r="D11" t="s">
        <v>106</v>
      </c>
      <c r="E11" t="s">
        <v>107</v>
      </c>
      <c r="F11">
        <v>3437</v>
      </c>
      <c r="G11">
        <v>165344.12</v>
      </c>
      <c r="H11">
        <v>74225</v>
      </c>
      <c r="I11">
        <v>3.3009398728632302</v>
      </c>
      <c r="J11">
        <v>3492942.54</v>
      </c>
      <c r="K11">
        <v>3.29641052193689</v>
      </c>
      <c r="L11">
        <v>38831</v>
      </c>
      <c r="M11">
        <v>3.4537903995460302</v>
      </c>
      <c r="N11">
        <v>47.105233705029498</v>
      </c>
      <c r="O11">
        <v>1829143.33</v>
      </c>
      <c r="P11">
        <v>3.4524514793259198</v>
      </c>
      <c r="Q11">
        <v>35394</v>
      </c>
      <c r="R11">
        <v>3.1480893461804298</v>
      </c>
      <c r="S11">
        <v>47.007945131943302</v>
      </c>
      <c r="T11">
        <v>1663799.21</v>
      </c>
      <c r="U11">
        <v>3.14036956457731</v>
      </c>
      <c r="V11">
        <v>275</v>
      </c>
      <c r="W11">
        <v>4.1155342711762897</v>
      </c>
    </row>
    <row r="12" spans="1:23" hidden="1" x14ac:dyDescent="0.25">
      <c r="A12" t="s">
        <v>87</v>
      </c>
      <c r="B12">
        <v>2</v>
      </c>
      <c r="C12">
        <v>2025</v>
      </c>
      <c r="D12" t="s">
        <v>108</v>
      </c>
      <c r="E12" t="s">
        <v>109</v>
      </c>
      <c r="F12">
        <v>-648</v>
      </c>
      <c r="G12">
        <v>-30715.200000000001</v>
      </c>
      <c r="H12">
        <v>648</v>
      </c>
      <c r="I12">
        <v>2.8817905525299701E-2</v>
      </c>
      <c r="J12">
        <v>30715.200000000001</v>
      </c>
      <c r="K12">
        <v>2.89869951491947E-2</v>
      </c>
      <c r="L12">
        <v>0</v>
      </c>
      <c r="M12">
        <v>0</v>
      </c>
      <c r="N12">
        <v>0</v>
      </c>
      <c r="O12">
        <v>0</v>
      </c>
      <c r="P12">
        <v>0</v>
      </c>
      <c r="Q12">
        <v>648</v>
      </c>
      <c r="R12">
        <v>5.7635811050599402E-2</v>
      </c>
      <c r="S12">
        <v>47.4</v>
      </c>
      <c r="T12">
        <v>30715.200000000001</v>
      </c>
      <c r="U12">
        <v>5.7973990292918297E-2</v>
      </c>
      <c r="V12">
        <v>1</v>
      </c>
      <c r="W12">
        <v>1.4965579167913801E-2</v>
      </c>
    </row>
    <row r="13" spans="1:23" hidden="1" x14ac:dyDescent="0.25">
      <c r="A13" t="s">
        <v>87</v>
      </c>
      <c r="B13">
        <v>2</v>
      </c>
      <c r="C13">
        <v>2025</v>
      </c>
      <c r="D13" t="s">
        <v>110</v>
      </c>
      <c r="E13" t="s">
        <v>111</v>
      </c>
      <c r="F13">
        <v>7621</v>
      </c>
      <c r="G13">
        <v>360109.73</v>
      </c>
      <c r="H13">
        <v>10533</v>
      </c>
      <c r="I13">
        <v>0.46842438101540401</v>
      </c>
      <c r="J13">
        <v>497828.05</v>
      </c>
      <c r="K13">
        <v>0.46981752586612102</v>
      </c>
      <c r="L13">
        <v>9077</v>
      </c>
      <c r="M13">
        <v>0.80734607547267101</v>
      </c>
      <c r="N13">
        <v>47.258883992508501</v>
      </c>
      <c r="O13">
        <v>428968.89</v>
      </c>
      <c r="P13">
        <v>0.80966551640614004</v>
      </c>
      <c r="Q13">
        <v>1456</v>
      </c>
      <c r="R13">
        <v>0.12950268655813699</v>
      </c>
      <c r="S13">
        <v>47.293379120879102</v>
      </c>
      <c r="T13">
        <v>68859.16</v>
      </c>
      <c r="U13">
        <v>0.129969535390247</v>
      </c>
      <c r="V13">
        <v>53</v>
      </c>
      <c r="W13">
        <v>0.79317569589943104</v>
      </c>
    </row>
    <row r="14" spans="1:23" hidden="1" x14ac:dyDescent="0.25">
      <c r="A14" t="s">
        <v>87</v>
      </c>
      <c r="B14">
        <v>2</v>
      </c>
      <c r="C14">
        <v>2025</v>
      </c>
      <c r="D14" t="s">
        <v>112</v>
      </c>
      <c r="E14" t="s">
        <v>113</v>
      </c>
      <c r="F14">
        <v>-1410</v>
      </c>
      <c r="G14">
        <v>-67285.2</v>
      </c>
      <c r="H14">
        <v>1410</v>
      </c>
      <c r="I14">
        <v>6.2705627763383606E-2</v>
      </c>
      <c r="J14">
        <v>67285.2</v>
      </c>
      <c r="K14">
        <v>6.34993672843608E-2</v>
      </c>
      <c r="L14">
        <v>0</v>
      </c>
      <c r="M14">
        <v>0</v>
      </c>
      <c r="N14">
        <v>0</v>
      </c>
      <c r="O14">
        <v>0</v>
      </c>
      <c r="P14">
        <v>0</v>
      </c>
      <c r="Q14">
        <v>1410</v>
      </c>
      <c r="R14">
        <v>0.12541125552676699</v>
      </c>
      <c r="S14">
        <v>47.72</v>
      </c>
      <c r="T14">
        <v>67285.2</v>
      </c>
      <c r="U14">
        <v>0.12699873455673599</v>
      </c>
      <c r="V14">
        <v>1</v>
      </c>
      <c r="W14">
        <v>1.4965579167913801E-2</v>
      </c>
    </row>
    <row r="15" spans="1:23" hidden="1" x14ac:dyDescent="0.25">
      <c r="A15" t="s">
        <v>87</v>
      </c>
      <c r="B15">
        <v>2</v>
      </c>
      <c r="C15">
        <v>2025</v>
      </c>
      <c r="D15" t="s">
        <v>114</v>
      </c>
      <c r="E15" t="s">
        <v>115</v>
      </c>
      <c r="F15">
        <v>934</v>
      </c>
      <c r="G15">
        <v>44178.2</v>
      </c>
      <c r="H15">
        <v>934</v>
      </c>
      <c r="I15">
        <v>4.1536919383688198E-2</v>
      </c>
      <c r="J15">
        <v>44178.2</v>
      </c>
      <c r="K15">
        <v>4.1692493263926503E-2</v>
      </c>
      <c r="L15">
        <v>934</v>
      </c>
      <c r="M15">
        <v>8.3073838767376396E-2</v>
      </c>
      <c r="N15">
        <v>47.3</v>
      </c>
      <c r="O15">
        <v>44178.2</v>
      </c>
      <c r="P15">
        <v>8.3384986535722294E-2</v>
      </c>
      <c r="Q15">
        <v>0</v>
      </c>
      <c r="R15">
        <v>0</v>
      </c>
      <c r="S15">
        <v>0</v>
      </c>
      <c r="T15">
        <v>0</v>
      </c>
      <c r="U15">
        <v>0</v>
      </c>
      <c r="V15">
        <v>1</v>
      </c>
      <c r="W15">
        <v>1.4965579167913801E-2</v>
      </c>
    </row>
    <row r="16" spans="1:23" hidden="1" x14ac:dyDescent="0.25">
      <c r="A16" t="s">
        <v>87</v>
      </c>
      <c r="B16">
        <v>2</v>
      </c>
      <c r="C16">
        <v>2025</v>
      </c>
      <c r="D16" t="s">
        <v>116</v>
      </c>
      <c r="E16" t="s">
        <v>117</v>
      </c>
      <c r="F16">
        <v>1403</v>
      </c>
      <c r="G16">
        <v>67632.67</v>
      </c>
      <c r="H16">
        <v>4597</v>
      </c>
      <c r="I16">
        <v>0.20443813533920199</v>
      </c>
      <c r="J16">
        <v>216653.79</v>
      </c>
      <c r="K16">
        <v>0.204463664888546</v>
      </c>
      <c r="L16">
        <v>3000</v>
      </c>
      <c r="M16">
        <v>0.26683245856759003</v>
      </c>
      <c r="N16">
        <v>47.381076666666701</v>
      </c>
      <c r="O16">
        <v>142143.23000000001</v>
      </c>
      <c r="P16">
        <v>0.26829095163890998</v>
      </c>
      <c r="Q16">
        <v>1597</v>
      </c>
      <c r="R16">
        <v>0.14204381211081399</v>
      </c>
      <c r="S16">
        <v>46.656581089542897</v>
      </c>
      <c r="T16">
        <v>74510.559999999998</v>
      </c>
      <c r="U16">
        <v>0.140636378150229</v>
      </c>
      <c r="V16">
        <v>27</v>
      </c>
      <c r="W16">
        <v>0.404070637533673</v>
      </c>
    </row>
    <row r="17" spans="1:23" hidden="1" x14ac:dyDescent="0.25">
      <c r="A17" t="s">
        <v>87</v>
      </c>
      <c r="B17">
        <v>2</v>
      </c>
      <c r="C17">
        <v>2025</v>
      </c>
      <c r="D17" t="s">
        <v>118</v>
      </c>
      <c r="E17" t="s">
        <v>119</v>
      </c>
      <c r="F17">
        <v>14010</v>
      </c>
      <c r="G17">
        <v>661660.61</v>
      </c>
      <c r="H17">
        <v>16928</v>
      </c>
      <c r="I17">
        <v>0.75282330977202705</v>
      </c>
      <c r="J17">
        <v>798948.91</v>
      </c>
      <c r="K17">
        <v>0.75399568222327795</v>
      </c>
      <c r="L17">
        <v>15469</v>
      </c>
      <c r="M17">
        <v>1.37587710052735</v>
      </c>
      <c r="N17">
        <v>47.210857844721701</v>
      </c>
      <c r="O17">
        <v>730304.76</v>
      </c>
      <c r="P17">
        <v>1.37842765390111</v>
      </c>
      <c r="Q17">
        <v>1459</v>
      </c>
      <c r="R17">
        <v>0.129769519016705</v>
      </c>
      <c r="S17">
        <v>47.048766278272801</v>
      </c>
      <c r="T17">
        <v>68644.149999999994</v>
      </c>
      <c r="U17">
        <v>0.12956371066330799</v>
      </c>
      <c r="V17">
        <v>50</v>
      </c>
      <c r="W17">
        <v>0.74827895839569003</v>
      </c>
    </row>
    <row r="18" spans="1:23" hidden="1" x14ac:dyDescent="0.25">
      <c r="A18" t="s">
        <v>87</v>
      </c>
      <c r="B18">
        <v>2</v>
      </c>
      <c r="C18">
        <v>2025</v>
      </c>
      <c r="D18" t="s">
        <v>120</v>
      </c>
      <c r="E18" t="s">
        <v>121</v>
      </c>
      <c r="F18">
        <v>-4429</v>
      </c>
      <c r="G18">
        <v>-209220.62</v>
      </c>
      <c r="H18">
        <v>5087</v>
      </c>
      <c r="I18">
        <v>0.22622945278888801</v>
      </c>
      <c r="J18">
        <v>240172.94</v>
      </c>
      <c r="K18">
        <v>0.22665949909972399</v>
      </c>
      <c r="L18">
        <v>329</v>
      </c>
      <c r="M18">
        <v>2.9262626289579E-2</v>
      </c>
      <c r="N18">
        <v>47.04</v>
      </c>
      <c r="O18">
        <v>15476.16</v>
      </c>
      <c r="P18">
        <v>2.9210773486124001E-2</v>
      </c>
      <c r="Q18">
        <v>4758</v>
      </c>
      <c r="R18">
        <v>0.42319627928819797</v>
      </c>
      <c r="S18">
        <v>47.225048339638498</v>
      </c>
      <c r="T18">
        <v>224696.78</v>
      </c>
      <c r="U18">
        <v>0.42410822467605602</v>
      </c>
      <c r="V18">
        <v>17</v>
      </c>
      <c r="W18">
        <v>0.254414845854535</v>
      </c>
    </row>
    <row r="19" spans="1:23" hidden="1" x14ac:dyDescent="0.25">
      <c r="A19" t="s">
        <v>87</v>
      </c>
      <c r="B19">
        <v>2</v>
      </c>
      <c r="C19">
        <v>2025</v>
      </c>
      <c r="D19" t="s">
        <v>122</v>
      </c>
      <c r="E19" t="s">
        <v>123</v>
      </c>
      <c r="F19">
        <v>-2559</v>
      </c>
      <c r="G19">
        <v>-121190.72</v>
      </c>
      <c r="H19">
        <v>24337</v>
      </c>
      <c r="I19">
        <v>1.08231692402657</v>
      </c>
      <c r="J19">
        <v>1143732.74</v>
      </c>
      <c r="K19">
        <v>1.07938009149721</v>
      </c>
      <c r="L19">
        <v>10889</v>
      </c>
      <c r="M19">
        <v>0.96851288044749595</v>
      </c>
      <c r="N19">
        <v>46.952980989989904</v>
      </c>
      <c r="O19">
        <v>511271.01</v>
      </c>
      <c r="P19">
        <v>0.96500822317240498</v>
      </c>
      <c r="Q19">
        <v>13448</v>
      </c>
      <c r="R19">
        <v>1.1961209676056499</v>
      </c>
      <c r="S19">
        <v>47.030170285544301</v>
      </c>
      <c r="T19">
        <v>632461.73</v>
      </c>
      <c r="U19">
        <v>1.19375195980043</v>
      </c>
      <c r="V19">
        <v>58</v>
      </c>
      <c r="W19">
        <v>0.86800359173899999</v>
      </c>
    </row>
    <row r="20" spans="1:23" hidden="1" x14ac:dyDescent="0.25">
      <c r="A20" t="s">
        <v>87</v>
      </c>
      <c r="B20">
        <v>2</v>
      </c>
      <c r="C20">
        <v>2025</v>
      </c>
      <c r="D20" t="s">
        <v>124</v>
      </c>
      <c r="E20" t="s">
        <v>125</v>
      </c>
      <c r="F20">
        <v>-2300</v>
      </c>
      <c r="G20">
        <v>-107866</v>
      </c>
      <c r="H20">
        <v>2500</v>
      </c>
      <c r="I20">
        <v>0.111180191069829</v>
      </c>
      <c r="J20">
        <v>117160</v>
      </c>
      <c r="K20">
        <v>0.110567938729999</v>
      </c>
      <c r="L20">
        <v>100</v>
      </c>
      <c r="M20">
        <v>8.8944152855863299E-3</v>
      </c>
      <c r="N20">
        <v>46.47</v>
      </c>
      <c r="O20">
        <v>4647</v>
      </c>
      <c r="P20">
        <v>8.7710688174597803E-3</v>
      </c>
      <c r="Q20">
        <v>2400</v>
      </c>
      <c r="R20">
        <v>0.21346596685407199</v>
      </c>
      <c r="S20">
        <v>46.880416666666697</v>
      </c>
      <c r="T20">
        <v>112513</v>
      </c>
      <c r="U20">
        <v>0.21236480862332399</v>
      </c>
      <c r="V20">
        <v>8</v>
      </c>
      <c r="W20">
        <v>0.11972463334331</v>
      </c>
    </row>
    <row r="21" spans="1:23" hidden="1" x14ac:dyDescent="0.25">
      <c r="A21" t="s">
        <v>87</v>
      </c>
      <c r="B21">
        <v>2</v>
      </c>
      <c r="C21">
        <v>2025</v>
      </c>
      <c r="D21" t="s">
        <v>126</v>
      </c>
      <c r="E21" t="s">
        <v>127</v>
      </c>
      <c r="F21">
        <v>925</v>
      </c>
      <c r="G21">
        <v>43389.2</v>
      </c>
      <c r="H21">
        <v>3199</v>
      </c>
      <c r="I21">
        <v>0.14226617249295301</v>
      </c>
      <c r="J21">
        <v>151063.12</v>
      </c>
      <c r="K21">
        <v>0.14256348409459199</v>
      </c>
      <c r="L21">
        <v>2062</v>
      </c>
      <c r="M21">
        <v>0.18340284318878999</v>
      </c>
      <c r="N21">
        <v>47.1513870029098</v>
      </c>
      <c r="O21">
        <v>97226.16</v>
      </c>
      <c r="P21">
        <v>0.18351137082361901</v>
      </c>
      <c r="Q21">
        <v>1137</v>
      </c>
      <c r="R21">
        <v>0.10112950179711699</v>
      </c>
      <c r="S21">
        <v>47.3500087950748</v>
      </c>
      <c r="T21">
        <v>53836.959999999999</v>
      </c>
      <c r="U21">
        <v>0.10161559737329499</v>
      </c>
      <c r="V21">
        <v>26</v>
      </c>
      <c r="W21">
        <v>0.38910505836575898</v>
      </c>
    </row>
    <row r="22" spans="1:23" hidden="1" x14ac:dyDescent="0.25">
      <c r="A22" t="s">
        <v>87</v>
      </c>
      <c r="B22">
        <v>2</v>
      </c>
      <c r="C22">
        <v>2025</v>
      </c>
      <c r="D22" t="s">
        <v>128</v>
      </c>
      <c r="E22" t="s">
        <v>129</v>
      </c>
      <c r="F22">
        <v>1070</v>
      </c>
      <c r="G22">
        <v>49990.400000000001</v>
      </c>
      <c r="H22">
        <v>1070</v>
      </c>
      <c r="I22">
        <v>4.7585121777886902E-2</v>
      </c>
      <c r="J22">
        <v>49990.400000000001</v>
      </c>
      <c r="K22">
        <v>4.7177667158485197E-2</v>
      </c>
      <c r="L22">
        <v>1070</v>
      </c>
      <c r="M22">
        <v>9.5170243555773804E-2</v>
      </c>
      <c r="N22">
        <v>46.72</v>
      </c>
      <c r="O22">
        <v>49990.400000000001</v>
      </c>
      <c r="P22">
        <v>9.4355334325875104E-2</v>
      </c>
      <c r="Q22">
        <v>0</v>
      </c>
      <c r="R22">
        <v>0</v>
      </c>
      <c r="S22">
        <v>0</v>
      </c>
      <c r="T22">
        <v>0</v>
      </c>
      <c r="U22">
        <v>0</v>
      </c>
      <c r="V22">
        <v>1</v>
      </c>
      <c r="W22">
        <v>1.4965579167913801E-2</v>
      </c>
    </row>
    <row r="23" spans="1:23" hidden="1" x14ac:dyDescent="0.25">
      <c r="A23" t="s">
        <v>87</v>
      </c>
      <c r="B23">
        <v>2</v>
      </c>
      <c r="C23">
        <v>2025</v>
      </c>
      <c r="D23" t="s">
        <v>130</v>
      </c>
      <c r="E23" t="s">
        <v>131</v>
      </c>
      <c r="F23">
        <v>9071</v>
      </c>
      <c r="G23">
        <v>427071.24</v>
      </c>
      <c r="H23">
        <v>75113</v>
      </c>
      <c r="I23">
        <v>3.34043107673123</v>
      </c>
      <c r="J23">
        <v>3548444.12</v>
      </c>
      <c r="K23">
        <v>3.3487892800186398</v>
      </c>
      <c r="L23">
        <v>42092</v>
      </c>
      <c r="M23">
        <v>3.7438372820089998</v>
      </c>
      <c r="N23">
        <v>47.224120497956903</v>
      </c>
      <c r="O23">
        <v>1987757.68</v>
      </c>
      <c r="P23">
        <v>3.7518311606873702</v>
      </c>
      <c r="Q23">
        <v>33021</v>
      </c>
      <c r="R23">
        <v>2.9370248714534601</v>
      </c>
      <c r="S23">
        <v>47.263451742830298</v>
      </c>
      <c r="T23">
        <v>1560686.44</v>
      </c>
      <c r="U23">
        <v>2.94574739942599</v>
      </c>
      <c r="V23">
        <v>173</v>
      </c>
      <c r="W23">
        <v>2.5890451960490899</v>
      </c>
    </row>
    <row r="24" spans="1:23" hidden="1" x14ac:dyDescent="0.25">
      <c r="A24" t="s">
        <v>87</v>
      </c>
      <c r="B24">
        <v>2</v>
      </c>
      <c r="C24">
        <v>2025</v>
      </c>
      <c r="D24" t="s">
        <v>132</v>
      </c>
      <c r="E24" t="s">
        <v>133</v>
      </c>
      <c r="F24">
        <v>2870</v>
      </c>
      <c r="G24">
        <v>135758.10999999999</v>
      </c>
      <c r="H24">
        <v>9750</v>
      </c>
      <c r="I24">
        <v>0.43360274517233399</v>
      </c>
      <c r="J24">
        <v>457957.67</v>
      </c>
      <c r="K24">
        <v>0.43219047112916498</v>
      </c>
      <c r="L24">
        <v>6310</v>
      </c>
      <c r="M24">
        <v>0.56123760452049798</v>
      </c>
      <c r="N24">
        <v>47.045624405705198</v>
      </c>
      <c r="O24">
        <v>296857.89</v>
      </c>
      <c r="P24">
        <v>0.560310088701508</v>
      </c>
      <c r="Q24">
        <v>3440</v>
      </c>
      <c r="R24">
        <v>0.30596788582417001</v>
      </c>
      <c r="S24">
        <v>46.831331395348798</v>
      </c>
      <c r="T24">
        <v>161099.78</v>
      </c>
      <c r="U24">
        <v>0.304070853581005</v>
      </c>
      <c r="V24">
        <v>67</v>
      </c>
      <c r="W24">
        <v>1.00269380425022</v>
      </c>
    </row>
    <row r="25" spans="1:23" hidden="1" x14ac:dyDescent="0.25">
      <c r="A25" t="s">
        <v>87</v>
      </c>
      <c r="B25">
        <v>2</v>
      </c>
      <c r="C25">
        <v>2025</v>
      </c>
      <c r="D25" t="s">
        <v>134</v>
      </c>
      <c r="E25" t="s">
        <v>135</v>
      </c>
      <c r="F25">
        <v>0</v>
      </c>
      <c r="G25">
        <v>940</v>
      </c>
      <c r="H25">
        <v>4000</v>
      </c>
      <c r="I25">
        <v>0.17788830571172701</v>
      </c>
      <c r="J25">
        <v>187700</v>
      </c>
      <c r="K25">
        <v>0.17713897319580699</v>
      </c>
      <c r="L25">
        <v>2000</v>
      </c>
      <c r="M25">
        <v>0.17788830571172701</v>
      </c>
      <c r="N25">
        <v>47.16</v>
      </c>
      <c r="O25">
        <v>94320</v>
      </c>
      <c r="P25">
        <v>0.17802608368039699</v>
      </c>
      <c r="Q25">
        <v>2000</v>
      </c>
      <c r="R25">
        <v>0.17788830571172701</v>
      </c>
      <c r="S25">
        <v>46.69</v>
      </c>
      <c r="T25">
        <v>93380</v>
      </c>
      <c r="U25">
        <v>0.17625186271138399</v>
      </c>
      <c r="V25">
        <v>3</v>
      </c>
      <c r="W25">
        <v>4.4896737503741402E-2</v>
      </c>
    </row>
    <row r="26" spans="1:23" hidden="1" x14ac:dyDescent="0.25">
      <c r="A26" t="s">
        <v>87</v>
      </c>
      <c r="B26">
        <v>2</v>
      </c>
      <c r="C26">
        <v>2025</v>
      </c>
      <c r="D26" t="s">
        <v>136</v>
      </c>
      <c r="E26" t="s">
        <v>137</v>
      </c>
      <c r="F26">
        <v>12568</v>
      </c>
      <c r="G26">
        <v>591743.23</v>
      </c>
      <c r="H26">
        <v>23514</v>
      </c>
      <c r="I26">
        <v>1.0457164051263901</v>
      </c>
      <c r="J26">
        <v>1105102.19</v>
      </c>
      <c r="K26">
        <v>1.0429231071552401</v>
      </c>
      <c r="L26">
        <v>18041</v>
      </c>
      <c r="M26">
        <v>1.6046414616726301</v>
      </c>
      <c r="N26">
        <v>47.027476858267299</v>
      </c>
      <c r="O26">
        <v>848422.71</v>
      </c>
      <c r="P26">
        <v>1.6013716323877201</v>
      </c>
      <c r="Q26">
        <v>5473</v>
      </c>
      <c r="R26">
        <v>0.48679134858014</v>
      </c>
      <c r="S26">
        <v>46.899228942079297</v>
      </c>
      <c r="T26">
        <v>256679.48</v>
      </c>
      <c r="U26">
        <v>0.48447458202815902</v>
      </c>
      <c r="V26">
        <v>37</v>
      </c>
      <c r="W26">
        <v>0.55372642921281101</v>
      </c>
    </row>
    <row r="27" spans="1:23" hidden="1" x14ac:dyDescent="0.25">
      <c r="A27" t="s">
        <v>87</v>
      </c>
      <c r="B27">
        <v>2</v>
      </c>
      <c r="C27">
        <v>2025</v>
      </c>
      <c r="D27" t="s">
        <v>138</v>
      </c>
      <c r="E27" t="s">
        <v>139</v>
      </c>
      <c r="F27">
        <v>7979</v>
      </c>
      <c r="G27">
        <v>378475.56</v>
      </c>
      <c r="H27">
        <v>12979</v>
      </c>
      <c r="I27">
        <v>0.57720307995812503</v>
      </c>
      <c r="J27">
        <v>610575.56000000006</v>
      </c>
      <c r="K27">
        <v>0.576221245374826</v>
      </c>
      <c r="L27">
        <v>10479</v>
      </c>
      <c r="M27">
        <v>0.93204577777659203</v>
      </c>
      <c r="N27">
        <v>47.192056493940299</v>
      </c>
      <c r="O27">
        <v>494525.56</v>
      </c>
      <c r="P27">
        <v>0.93340170405699097</v>
      </c>
      <c r="Q27">
        <v>2500</v>
      </c>
      <c r="R27">
        <v>0.222360382139658</v>
      </c>
      <c r="S27">
        <v>46.42</v>
      </c>
      <c r="T27">
        <v>116050</v>
      </c>
      <c r="U27">
        <v>0.21904078676007899</v>
      </c>
      <c r="V27">
        <v>27</v>
      </c>
      <c r="W27">
        <v>0.404070637533673</v>
      </c>
    </row>
    <row r="28" spans="1:23" hidden="1" x14ac:dyDescent="0.25">
      <c r="A28" t="s">
        <v>87</v>
      </c>
      <c r="B28">
        <v>2</v>
      </c>
      <c r="C28">
        <v>2025</v>
      </c>
      <c r="D28" t="s">
        <v>140</v>
      </c>
      <c r="E28" t="s">
        <v>141</v>
      </c>
      <c r="F28">
        <v>-770</v>
      </c>
      <c r="G28">
        <v>-35689.5</v>
      </c>
      <c r="H28">
        <v>770</v>
      </c>
      <c r="I28">
        <v>3.4243498849507399E-2</v>
      </c>
      <c r="J28">
        <v>35689.5</v>
      </c>
      <c r="K28">
        <v>3.3681413872518703E-2</v>
      </c>
      <c r="L28">
        <v>0</v>
      </c>
      <c r="M28">
        <v>0</v>
      </c>
      <c r="N28">
        <v>0</v>
      </c>
      <c r="O28">
        <v>0</v>
      </c>
      <c r="P28">
        <v>0</v>
      </c>
      <c r="Q28">
        <v>770</v>
      </c>
      <c r="R28">
        <v>6.8486997699014798E-2</v>
      </c>
      <c r="S28">
        <v>46.35</v>
      </c>
      <c r="T28">
        <v>35689.5</v>
      </c>
      <c r="U28">
        <v>6.7362827738680103E-2</v>
      </c>
      <c r="V28">
        <v>1</v>
      </c>
      <c r="W28">
        <v>1.4965579167913801E-2</v>
      </c>
    </row>
    <row r="29" spans="1:23" hidden="1" x14ac:dyDescent="0.25">
      <c r="A29" t="s">
        <v>87</v>
      </c>
      <c r="B29">
        <v>2</v>
      </c>
      <c r="C29">
        <v>2025</v>
      </c>
      <c r="D29" t="s">
        <v>142</v>
      </c>
      <c r="E29" t="s">
        <v>143</v>
      </c>
      <c r="F29">
        <v>2062</v>
      </c>
      <c r="G29">
        <v>108678.05</v>
      </c>
      <c r="H29">
        <v>72164</v>
      </c>
      <c r="I29">
        <v>3.2092829233452602</v>
      </c>
      <c r="J29">
        <v>3390314.45</v>
      </c>
      <c r="K29">
        <v>3.19955684860899</v>
      </c>
      <c r="L29">
        <v>37113</v>
      </c>
      <c r="M29">
        <v>3.3009843449396601</v>
      </c>
      <c r="N29">
        <v>47.139715194136798</v>
      </c>
      <c r="O29">
        <v>1749496.25</v>
      </c>
      <c r="P29">
        <v>3.3021200784673601</v>
      </c>
      <c r="Q29">
        <v>35051</v>
      </c>
      <c r="R29">
        <v>3.1175815017508701</v>
      </c>
      <c r="S29">
        <v>46.812307780091899</v>
      </c>
      <c r="T29">
        <v>1640818.2</v>
      </c>
      <c r="U29">
        <v>3.09699361876998</v>
      </c>
      <c r="V29">
        <v>367</v>
      </c>
      <c r="W29">
        <v>5.4923675546243604</v>
      </c>
    </row>
    <row r="30" spans="1:23" hidden="1" x14ac:dyDescent="0.25">
      <c r="A30" t="s">
        <v>87</v>
      </c>
      <c r="B30">
        <v>2</v>
      </c>
      <c r="C30">
        <v>2025</v>
      </c>
      <c r="D30" t="s">
        <v>144</v>
      </c>
      <c r="E30" t="s">
        <v>145</v>
      </c>
      <c r="F30">
        <v>49275</v>
      </c>
      <c r="G30">
        <v>2293473.86</v>
      </c>
      <c r="H30">
        <v>246921</v>
      </c>
      <c r="I30">
        <v>10.9810895836613</v>
      </c>
      <c r="J30">
        <v>11613145.9</v>
      </c>
      <c r="K30">
        <v>10.9597269062285</v>
      </c>
      <c r="L30">
        <v>148098</v>
      </c>
      <c r="M30">
        <v>13.1724511496476</v>
      </c>
      <c r="N30">
        <v>46.950734513632902</v>
      </c>
      <c r="O30">
        <v>6953309.8799999999</v>
      </c>
      <c r="P30">
        <v>13.124157406198201</v>
      </c>
      <c r="Q30">
        <v>98823</v>
      </c>
      <c r="R30">
        <v>8.7897280176749799</v>
      </c>
      <c r="S30">
        <v>47.153355190593302</v>
      </c>
      <c r="T30">
        <v>4659836.0199999996</v>
      </c>
      <c r="U30">
        <v>8.7952964066674095</v>
      </c>
      <c r="V30">
        <v>396</v>
      </c>
      <c r="W30">
        <v>5.9263693504938599</v>
      </c>
    </row>
    <row r="31" spans="1:23" hidden="1" x14ac:dyDescent="0.25">
      <c r="A31" t="s">
        <v>87</v>
      </c>
      <c r="B31">
        <v>2</v>
      </c>
      <c r="C31">
        <v>2025</v>
      </c>
      <c r="D31" t="s">
        <v>146</v>
      </c>
      <c r="E31" t="s">
        <v>147</v>
      </c>
      <c r="F31">
        <v>3706</v>
      </c>
      <c r="G31">
        <v>176333.04</v>
      </c>
      <c r="H31">
        <v>17578</v>
      </c>
      <c r="I31">
        <v>0.78173015945018298</v>
      </c>
      <c r="J31">
        <v>826418</v>
      </c>
      <c r="K31">
        <v>0.77991921124417996</v>
      </c>
      <c r="L31">
        <v>10642</v>
      </c>
      <c r="M31">
        <v>0.94654367469209799</v>
      </c>
      <c r="N31">
        <v>47.112903589550797</v>
      </c>
      <c r="O31">
        <v>501375.52</v>
      </c>
      <c r="P31">
        <v>0.94633079176020696</v>
      </c>
      <c r="Q31">
        <v>6936</v>
      </c>
      <c r="R31">
        <v>0.61691664420826797</v>
      </c>
      <c r="S31">
        <v>46.863102652825802</v>
      </c>
      <c r="T31">
        <v>325042.48</v>
      </c>
      <c r="U31">
        <v>0.61350763075956205</v>
      </c>
      <c r="V31">
        <v>98</v>
      </c>
      <c r="W31">
        <v>1.4666267584555499</v>
      </c>
    </row>
    <row r="32" spans="1:23" x14ac:dyDescent="0.25">
      <c r="A32" t="s">
        <v>87</v>
      </c>
      <c r="B32">
        <v>2</v>
      </c>
      <c r="C32">
        <v>2025</v>
      </c>
      <c r="D32" t="s">
        <v>148</v>
      </c>
      <c r="E32" t="s">
        <v>148</v>
      </c>
      <c r="F32">
        <v>0</v>
      </c>
      <c r="G32">
        <v>-1.00000015554542E-2</v>
      </c>
      <c r="H32">
        <v>2248602</v>
      </c>
      <c r="I32">
        <v>0</v>
      </c>
      <c r="J32">
        <v>105962000.69</v>
      </c>
      <c r="K32">
        <v>0</v>
      </c>
      <c r="L32">
        <v>1124301</v>
      </c>
      <c r="M32">
        <v>100</v>
      </c>
      <c r="N32">
        <v>47.1300742655324</v>
      </c>
      <c r="O32">
        <v>52981000.340000004</v>
      </c>
      <c r="P32">
        <v>100</v>
      </c>
      <c r="Q32">
        <v>1124301</v>
      </c>
      <c r="R32">
        <v>100</v>
      </c>
      <c r="S32">
        <v>47.039468281908597</v>
      </c>
      <c r="T32">
        <v>52981000.350000001</v>
      </c>
      <c r="U32">
        <v>100</v>
      </c>
      <c r="V32">
        <v>6682</v>
      </c>
      <c r="W32">
        <v>100</v>
      </c>
    </row>
    <row r="33" spans="1:23" hidden="1" x14ac:dyDescent="0.25">
      <c r="A33" t="s">
        <v>87</v>
      </c>
      <c r="B33">
        <v>2</v>
      </c>
      <c r="C33">
        <v>2025</v>
      </c>
      <c r="D33" t="s">
        <v>149</v>
      </c>
      <c r="E33" t="s">
        <v>150</v>
      </c>
      <c r="F33">
        <v>54558</v>
      </c>
      <c r="G33">
        <v>2592021.1800000002</v>
      </c>
      <c r="H33">
        <v>239186</v>
      </c>
      <c r="I33">
        <v>10.6370980724913</v>
      </c>
      <c r="J33">
        <v>11273775.02</v>
      </c>
      <c r="K33">
        <v>10.639450884834</v>
      </c>
      <c r="L33">
        <v>146872</v>
      </c>
      <c r="M33">
        <v>13.063405618246399</v>
      </c>
      <c r="N33">
        <v>47.203674628247697</v>
      </c>
      <c r="O33">
        <v>6932898.0999999996</v>
      </c>
      <c r="P33">
        <v>13.0856308025686</v>
      </c>
      <c r="Q33">
        <v>92314</v>
      </c>
      <c r="R33">
        <v>8.2107905267361705</v>
      </c>
      <c r="S33">
        <v>47.022953398184498</v>
      </c>
      <c r="T33">
        <v>4340876.92</v>
      </c>
      <c r="U33">
        <v>8.1932709675611104</v>
      </c>
      <c r="V33">
        <v>721</v>
      </c>
      <c r="W33">
        <v>10.7901825800658</v>
      </c>
    </row>
    <row r="34" spans="1:23" hidden="1" x14ac:dyDescent="0.25">
      <c r="A34" t="s">
        <v>87</v>
      </c>
      <c r="B34">
        <v>2</v>
      </c>
      <c r="C34">
        <v>2025</v>
      </c>
      <c r="D34" t="s">
        <v>151</v>
      </c>
      <c r="E34" t="s">
        <v>152</v>
      </c>
      <c r="F34">
        <v>7768</v>
      </c>
      <c r="G34">
        <v>338007.840000002</v>
      </c>
      <c r="H34">
        <v>611970</v>
      </c>
      <c r="I34">
        <v>27.2155766116013</v>
      </c>
      <c r="J34">
        <v>28838080.460000001</v>
      </c>
      <c r="K34">
        <v>27.2154926032097</v>
      </c>
      <c r="L34">
        <v>309869</v>
      </c>
      <c r="M34">
        <v>27.561035701293498</v>
      </c>
      <c r="N34">
        <v>47.078101229874598</v>
      </c>
      <c r="O34">
        <v>14588044.15</v>
      </c>
      <c r="P34">
        <v>27.5344822792751</v>
      </c>
      <c r="Q34">
        <v>302101</v>
      </c>
      <c r="R34">
        <v>26.870117521909201</v>
      </c>
      <c r="S34">
        <v>47.169775373136801</v>
      </c>
      <c r="T34">
        <v>14250036.310000001</v>
      </c>
      <c r="U34">
        <v>26.896502927204502</v>
      </c>
      <c r="V34">
        <v>1574</v>
      </c>
      <c r="W34">
        <v>23.555821610296299</v>
      </c>
    </row>
    <row r="35" spans="1:23" hidden="1" x14ac:dyDescent="0.25">
      <c r="A35" t="s">
        <v>87</v>
      </c>
      <c r="B35">
        <v>2</v>
      </c>
      <c r="C35">
        <v>2025</v>
      </c>
      <c r="D35" t="s">
        <v>153</v>
      </c>
      <c r="E35" t="s">
        <v>154</v>
      </c>
      <c r="F35">
        <v>21</v>
      </c>
      <c r="G35">
        <v>988.68999999999903</v>
      </c>
      <c r="H35">
        <v>1227</v>
      </c>
      <c r="I35">
        <v>5.4567237777072203E-2</v>
      </c>
      <c r="J35">
        <v>58143.07</v>
      </c>
      <c r="K35">
        <v>5.4871623432349102E-2</v>
      </c>
      <c r="L35">
        <v>624</v>
      </c>
      <c r="M35">
        <v>5.5501151382058703E-2</v>
      </c>
      <c r="N35">
        <v>47.381217948717897</v>
      </c>
      <c r="O35">
        <v>29565.88</v>
      </c>
      <c r="P35">
        <v>5.5804684340167401E-2</v>
      </c>
      <c r="Q35">
        <v>603</v>
      </c>
      <c r="R35">
        <v>5.3633324172085599E-2</v>
      </c>
      <c r="S35">
        <v>47.391691542288598</v>
      </c>
      <c r="T35">
        <v>28577.19</v>
      </c>
      <c r="U35">
        <v>5.3938562524707002E-2</v>
      </c>
      <c r="V35">
        <v>25</v>
      </c>
      <c r="W35">
        <v>0.37413947919784502</v>
      </c>
    </row>
    <row r="36" spans="1:23" hidden="1" x14ac:dyDescent="0.25">
      <c r="A36" t="s">
        <v>87</v>
      </c>
      <c r="B36">
        <v>2</v>
      </c>
      <c r="C36">
        <v>2025</v>
      </c>
      <c r="D36" t="s">
        <v>155</v>
      </c>
      <c r="E36" t="s">
        <v>156</v>
      </c>
      <c r="F36">
        <v>228</v>
      </c>
      <c r="G36">
        <v>10880.16</v>
      </c>
      <c r="H36">
        <v>228</v>
      </c>
      <c r="I36">
        <v>1.01396334255684E-2</v>
      </c>
      <c r="J36">
        <v>10880.16</v>
      </c>
      <c r="K36">
        <v>1.0267982794917901E-2</v>
      </c>
      <c r="L36">
        <v>228</v>
      </c>
      <c r="M36">
        <v>2.0279266851136801E-2</v>
      </c>
      <c r="N36">
        <v>47.72</v>
      </c>
      <c r="O36">
        <v>10880.16</v>
      </c>
      <c r="P36">
        <v>2.05359655917739E-2</v>
      </c>
      <c r="Q36">
        <v>0</v>
      </c>
      <c r="R36">
        <v>0</v>
      </c>
      <c r="S36">
        <v>0</v>
      </c>
      <c r="T36">
        <v>0</v>
      </c>
      <c r="U36">
        <v>0</v>
      </c>
      <c r="V36">
        <v>2</v>
      </c>
      <c r="W36">
        <v>2.9931158335827601E-2</v>
      </c>
    </row>
    <row r="37" spans="1:23" hidden="1" x14ac:dyDescent="0.25">
      <c r="A37" t="s">
        <v>87</v>
      </c>
      <c r="B37">
        <v>3</v>
      </c>
      <c r="C37">
        <v>2025</v>
      </c>
      <c r="D37" t="s">
        <v>88</v>
      </c>
      <c r="E37" t="s">
        <v>89</v>
      </c>
      <c r="F37">
        <v>33044</v>
      </c>
      <c r="G37">
        <v>1558417.44</v>
      </c>
      <c r="H37">
        <v>171198</v>
      </c>
      <c r="I37">
        <v>6.0840720544502398</v>
      </c>
      <c r="J37">
        <v>8361228.1600000001</v>
      </c>
      <c r="K37">
        <v>6.0779842892962899</v>
      </c>
      <c r="L37">
        <v>102121</v>
      </c>
      <c r="M37">
        <v>7.2583969704378903</v>
      </c>
      <c r="N37">
        <v>48.568098628098099</v>
      </c>
      <c r="O37">
        <v>4959822.8</v>
      </c>
      <c r="P37">
        <v>7.2108366089829499</v>
      </c>
      <c r="Q37">
        <v>69077</v>
      </c>
      <c r="R37">
        <v>4.9097471384625901</v>
      </c>
      <c r="S37">
        <v>49.240779999131398</v>
      </c>
      <c r="T37">
        <v>3401405.36</v>
      </c>
      <c r="U37">
        <v>4.9451319696096396</v>
      </c>
      <c r="V37">
        <v>360</v>
      </c>
      <c r="W37">
        <v>4.0053404539385804</v>
      </c>
    </row>
    <row r="38" spans="1:23" hidden="1" x14ac:dyDescent="0.25">
      <c r="A38" t="s">
        <v>87</v>
      </c>
      <c r="B38">
        <v>3</v>
      </c>
      <c r="C38">
        <v>2025</v>
      </c>
      <c r="D38" t="s">
        <v>90</v>
      </c>
      <c r="E38" t="s">
        <v>91</v>
      </c>
      <c r="F38">
        <v>82665</v>
      </c>
      <c r="G38">
        <v>4073282.14</v>
      </c>
      <c r="H38">
        <v>168209</v>
      </c>
      <c r="I38">
        <v>5.9778483171942396</v>
      </c>
      <c r="J38">
        <v>8279571.2999999998</v>
      </c>
      <c r="K38">
        <v>6.0186258909012302</v>
      </c>
      <c r="L38">
        <v>125437</v>
      </c>
      <c r="M38">
        <v>8.9156152092206007</v>
      </c>
      <c r="N38">
        <v>49.239273260680697</v>
      </c>
      <c r="O38">
        <v>6176426.7199999997</v>
      </c>
      <c r="P38">
        <v>8.9795957842035108</v>
      </c>
      <c r="Q38">
        <v>42772</v>
      </c>
      <c r="R38">
        <v>3.0400814251678798</v>
      </c>
      <c r="S38">
        <v>49.171060039277997</v>
      </c>
      <c r="T38">
        <v>2103144.58</v>
      </c>
      <c r="U38">
        <v>3.0576559975989599</v>
      </c>
      <c r="V38">
        <v>675</v>
      </c>
      <c r="W38">
        <v>7.5100133511348499</v>
      </c>
    </row>
    <row r="39" spans="1:23" hidden="1" x14ac:dyDescent="0.25">
      <c r="A39" t="s">
        <v>87</v>
      </c>
      <c r="B39">
        <v>3</v>
      </c>
      <c r="C39">
        <v>2025</v>
      </c>
      <c r="D39" t="s">
        <v>92</v>
      </c>
      <c r="E39" t="s">
        <v>93</v>
      </c>
      <c r="F39">
        <v>35</v>
      </c>
      <c r="G39">
        <v>10302.02</v>
      </c>
      <c r="H39">
        <v>18265</v>
      </c>
      <c r="I39">
        <v>0.64910557409860903</v>
      </c>
      <c r="J39">
        <v>899208</v>
      </c>
      <c r="K39">
        <v>0.65365661505995099</v>
      </c>
      <c r="L39">
        <v>9150</v>
      </c>
      <c r="M39">
        <v>0.65034941177139505</v>
      </c>
      <c r="N39">
        <v>49.700001092896201</v>
      </c>
      <c r="O39">
        <v>454755.01</v>
      </c>
      <c r="P39">
        <v>0.66114540911147202</v>
      </c>
      <c r="Q39">
        <v>9115</v>
      </c>
      <c r="R39">
        <v>0.64786173642582201</v>
      </c>
      <c r="S39">
        <v>48.760613274821701</v>
      </c>
      <c r="T39">
        <v>444452.99</v>
      </c>
      <c r="U39">
        <v>0.64616782100842995</v>
      </c>
      <c r="V39">
        <v>27</v>
      </c>
      <c r="W39">
        <v>0.30040053404539402</v>
      </c>
    </row>
    <row r="40" spans="1:23" hidden="1" x14ac:dyDescent="0.25">
      <c r="A40" t="s">
        <v>87</v>
      </c>
      <c r="B40">
        <v>3</v>
      </c>
      <c r="C40">
        <v>2025</v>
      </c>
      <c r="D40" t="s">
        <v>94</v>
      </c>
      <c r="E40" t="s">
        <v>95</v>
      </c>
      <c r="F40">
        <v>-287963</v>
      </c>
      <c r="G40">
        <v>-14065549.449999999</v>
      </c>
      <c r="H40">
        <v>315755</v>
      </c>
      <c r="I40">
        <v>11.2213704105944</v>
      </c>
      <c r="J40">
        <v>15448422.91</v>
      </c>
      <c r="K40">
        <v>11.2298420692045</v>
      </c>
      <c r="L40">
        <v>13896</v>
      </c>
      <c r="M40">
        <v>0.98767818863118195</v>
      </c>
      <c r="N40">
        <v>49.757968480138203</v>
      </c>
      <c r="O40">
        <v>691436.73</v>
      </c>
      <c r="P40">
        <v>1.0052450433268401</v>
      </c>
      <c r="Q40">
        <v>301859</v>
      </c>
      <c r="R40">
        <v>21.455062632557599</v>
      </c>
      <c r="S40">
        <v>48.887017382287802</v>
      </c>
      <c r="T40">
        <v>14756986.18</v>
      </c>
      <c r="U40">
        <v>21.454439095082101</v>
      </c>
      <c r="V40">
        <v>949</v>
      </c>
      <c r="W40">
        <v>10.558522474410299</v>
      </c>
    </row>
    <row r="41" spans="1:23" hidden="1" x14ac:dyDescent="0.25">
      <c r="A41" t="s">
        <v>87</v>
      </c>
      <c r="B41">
        <v>3</v>
      </c>
      <c r="C41">
        <v>2025</v>
      </c>
      <c r="D41" t="s">
        <v>96</v>
      </c>
      <c r="E41" t="s">
        <v>97</v>
      </c>
      <c r="F41">
        <v>44153</v>
      </c>
      <c r="G41">
        <v>2152820.52</v>
      </c>
      <c r="H41">
        <v>45689</v>
      </c>
      <c r="I41">
        <v>1.6237056980559199</v>
      </c>
      <c r="J41">
        <v>2227915.06</v>
      </c>
      <c r="K41">
        <v>1.61952675772534</v>
      </c>
      <c r="L41">
        <v>44921</v>
      </c>
      <c r="M41">
        <v>3.1928246913860998</v>
      </c>
      <c r="N41">
        <v>48.760441441642001</v>
      </c>
      <c r="O41">
        <v>2190367.79</v>
      </c>
      <c r="P41">
        <v>3.1844654303514801</v>
      </c>
      <c r="Q41">
        <v>768</v>
      </c>
      <c r="R41">
        <v>5.4586704725730198E-2</v>
      </c>
      <c r="S41">
        <v>48.8896744791667</v>
      </c>
      <c r="T41">
        <v>37547.269999999997</v>
      </c>
      <c r="U41">
        <v>5.4588085099202897E-2</v>
      </c>
      <c r="V41">
        <v>69</v>
      </c>
      <c r="W41">
        <v>0.76769025367156196</v>
      </c>
    </row>
    <row r="42" spans="1:23" hidden="1" x14ac:dyDescent="0.25">
      <c r="A42" t="s">
        <v>87</v>
      </c>
      <c r="B42">
        <v>3</v>
      </c>
      <c r="C42">
        <v>2025</v>
      </c>
      <c r="D42" t="s">
        <v>157</v>
      </c>
      <c r="E42" t="s">
        <v>158</v>
      </c>
      <c r="F42">
        <v>-5395</v>
      </c>
      <c r="G42">
        <v>-260093.5</v>
      </c>
      <c r="H42">
        <v>5805</v>
      </c>
      <c r="I42">
        <v>0.2062993625865</v>
      </c>
      <c r="J42">
        <v>280306.5</v>
      </c>
      <c r="K42">
        <v>0.20376175253034001</v>
      </c>
      <c r="L42">
        <v>205</v>
      </c>
      <c r="M42">
        <v>1.4570669881217101E-2</v>
      </c>
      <c r="N42">
        <v>49.3</v>
      </c>
      <c r="O42">
        <v>10106.5</v>
      </c>
      <c r="P42">
        <v>1.4693331420768899E-2</v>
      </c>
      <c r="Q42">
        <v>5600</v>
      </c>
      <c r="R42">
        <v>0.39802805529178298</v>
      </c>
      <c r="S42">
        <v>48.25</v>
      </c>
      <c r="T42">
        <v>270200</v>
      </c>
      <c r="U42">
        <v>0.39283017363991102</v>
      </c>
      <c r="V42">
        <v>9</v>
      </c>
      <c r="W42">
        <v>0.100133511348465</v>
      </c>
    </row>
    <row r="43" spans="1:23" hidden="1" x14ac:dyDescent="0.25">
      <c r="A43" t="s">
        <v>87</v>
      </c>
      <c r="B43">
        <v>3</v>
      </c>
      <c r="C43">
        <v>2025</v>
      </c>
      <c r="D43" t="s">
        <v>100</v>
      </c>
      <c r="E43" t="s">
        <v>101</v>
      </c>
      <c r="F43">
        <v>1173</v>
      </c>
      <c r="G43">
        <v>60709.26</v>
      </c>
      <c r="H43">
        <v>2847</v>
      </c>
      <c r="I43">
        <v>0.10117731012640201</v>
      </c>
      <c r="J43">
        <v>139478.14000000001</v>
      </c>
      <c r="K43">
        <v>0.101390122048801</v>
      </c>
      <c r="L43">
        <v>2010</v>
      </c>
      <c r="M43">
        <v>0.14286364127437201</v>
      </c>
      <c r="N43">
        <v>49.797860696517397</v>
      </c>
      <c r="O43">
        <v>100093.7</v>
      </c>
      <c r="P43">
        <v>0.14552119004907901</v>
      </c>
      <c r="Q43">
        <v>837</v>
      </c>
      <c r="R43">
        <v>5.9490978978432599E-2</v>
      </c>
      <c r="S43">
        <v>47.0542891278375</v>
      </c>
      <c r="T43">
        <v>39384.44</v>
      </c>
      <c r="U43">
        <v>5.72590540485221E-2</v>
      </c>
      <c r="V43">
        <v>13</v>
      </c>
      <c r="W43">
        <v>0.14463729417000401</v>
      </c>
    </row>
    <row r="44" spans="1:23" hidden="1" x14ac:dyDescent="0.25">
      <c r="A44" t="s">
        <v>87</v>
      </c>
      <c r="B44">
        <v>3</v>
      </c>
      <c r="C44">
        <v>2025</v>
      </c>
      <c r="D44" t="s">
        <v>159</v>
      </c>
      <c r="E44" t="s">
        <v>160</v>
      </c>
      <c r="F44">
        <v>-1000</v>
      </c>
      <c r="G44">
        <v>-49500</v>
      </c>
      <c r="H44">
        <v>1000</v>
      </c>
      <c r="I44">
        <v>3.5538219222480599E-2</v>
      </c>
      <c r="J44">
        <v>49500</v>
      </c>
      <c r="K44">
        <v>3.5982778673530003E-2</v>
      </c>
      <c r="L44">
        <v>0</v>
      </c>
      <c r="M44">
        <v>0</v>
      </c>
      <c r="N44">
        <v>0</v>
      </c>
      <c r="O44">
        <v>0</v>
      </c>
      <c r="P44">
        <v>0</v>
      </c>
      <c r="Q44">
        <v>1000</v>
      </c>
      <c r="R44">
        <v>7.1076438444961199E-2</v>
      </c>
      <c r="S44">
        <v>49.5</v>
      </c>
      <c r="T44">
        <v>49500</v>
      </c>
      <c r="U44">
        <v>7.1965557347060005E-2</v>
      </c>
      <c r="V44">
        <v>1</v>
      </c>
      <c r="W44">
        <v>1.1125945705385E-2</v>
      </c>
    </row>
    <row r="45" spans="1:23" hidden="1" x14ac:dyDescent="0.25">
      <c r="A45" t="s">
        <v>87</v>
      </c>
      <c r="B45">
        <v>3</v>
      </c>
      <c r="C45">
        <v>2025</v>
      </c>
      <c r="D45" t="s">
        <v>102</v>
      </c>
      <c r="E45" t="s">
        <v>103</v>
      </c>
      <c r="F45">
        <v>52171</v>
      </c>
      <c r="G45">
        <v>2559874.31</v>
      </c>
      <c r="H45">
        <v>323415</v>
      </c>
      <c r="I45">
        <v>11.493593169838601</v>
      </c>
      <c r="J45">
        <v>15904654.289999999</v>
      </c>
      <c r="K45">
        <v>11.5614879837592</v>
      </c>
      <c r="L45">
        <v>187793</v>
      </c>
      <c r="M45">
        <v>13.3476576048946</v>
      </c>
      <c r="N45">
        <v>49.161919240866297</v>
      </c>
      <c r="O45">
        <v>9232264.3000000007</v>
      </c>
      <c r="P45">
        <v>13.422324160098301</v>
      </c>
      <c r="Q45">
        <v>135622</v>
      </c>
      <c r="R45">
        <v>9.6395287347825391</v>
      </c>
      <c r="S45">
        <v>49.198433808674103</v>
      </c>
      <c r="T45">
        <v>6672389.9900000002</v>
      </c>
      <c r="U45">
        <v>9.7006518074200798</v>
      </c>
      <c r="V45">
        <v>1425</v>
      </c>
      <c r="W45">
        <v>15.8544726301736</v>
      </c>
    </row>
    <row r="46" spans="1:23" hidden="1" x14ac:dyDescent="0.25">
      <c r="A46" t="s">
        <v>87</v>
      </c>
      <c r="B46">
        <v>3</v>
      </c>
      <c r="C46">
        <v>2025</v>
      </c>
      <c r="D46" t="s">
        <v>161</v>
      </c>
      <c r="E46" t="s">
        <v>162</v>
      </c>
      <c r="F46">
        <v>300</v>
      </c>
      <c r="G46">
        <v>14966</v>
      </c>
      <c r="H46">
        <v>300</v>
      </c>
      <c r="I46">
        <v>1.06614657667442E-2</v>
      </c>
      <c r="J46">
        <v>14966</v>
      </c>
      <c r="K46">
        <v>1.08791568813747E-2</v>
      </c>
      <c r="L46">
        <v>300</v>
      </c>
      <c r="M46">
        <v>2.1322931533488399E-2</v>
      </c>
      <c r="N46">
        <v>49.886666666666699</v>
      </c>
      <c r="O46">
        <v>14966</v>
      </c>
      <c r="P46">
        <v>2.17583137627495E-2</v>
      </c>
      <c r="Q46">
        <v>0</v>
      </c>
      <c r="R46">
        <v>0</v>
      </c>
      <c r="S46">
        <v>0</v>
      </c>
      <c r="T46">
        <v>0</v>
      </c>
      <c r="U46">
        <v>0</v>
      </c>
      <c r="V46">
        <v>2</v>
      </c>
      <c r="W46">
        <v>2.22518914107699E-2</v>
      </c>
    </row>
    <row r="47" spans="1:23" hidden="1" x14ac:dyDescent="0.25">
      <c r="A47" t="s">
        <v>87</v>
      </c>
      <c r="B47">
        <v>3</v>
      </c>
      <c r="C47">
        <v>2025</v>
      </c>
      <c r="D47" t="s">
        <v>104</v>
      </c>
      <c r="E47" t="s">
        <v>105</v>
      </c>
      <c r="F47">
        <v>23709</v>
      </c>
      <c r="G47">
        <v>1160909.6100000001</v>
      </c>
      <c r="H47">
        <v>109233</v>
      </c>
      <c r="I47">
        <v>3.88194630032923</v>
      </c>
      <c r="J47">
        <v>5360549.7300000004</v>
      </c>
      <c r="K47">
        <v>3.8967166566270901</v>
      </c>
      <c r="L47">
        <v>66471</v>
      </c>
      <c r="M47">
        <v>4.7245219398750198</v>
      </c>
      <c r="N47">
        <v>49.0549212438507</v>
      </c>
      <c r="O47">
        <v>3260729.67</v>
      </c>
      <c r="P47">
        <v>4.7406106678716204</v>
      </c>
      <c r="Q47">
        <v>42762</v>
      </c>
      <c r="R47">
        <v>3.0393706607834301</v>
      </c>
      <c r="S47">
        <v>49.104814087273802</v>
      </c>
      <c r="T47">
        <v>2099820.06</v>
      </c>
      <c r="U47">
        <v>3.0528226453825602</v>
      </c>
      <c r="V47">
        <v>551</v>
      </c>
      <c r="W47">
        <v>6.1303960836671099</v>
      </c>
    </row>
    <row r="48" spans="1:23" hidden="1" x14ac:dyDescent="0.25">
      <c r="A48" t="s">
        <v>87</v>
      </c>
      <c r="B48">
        <v>3</v>
      </c>
      <c r="C48">
        <v>2025</v>
      </c>
      <c r="D48" t="s">
        <v>106</v>
      </c>
      <c r="E48" t="s">
        <v>107</v>
      </c>
      <c r="F48">
        <v>-2560</v>
      </c>
      <c r="G48">
        <v>-90719.899999999907</v>
      </c>
      <c r="H48">
        <v>81158</v>
      </c>
      <c r="I48">
        <v>2.8842107956580798</v>
      </c>
      <c r="J48">
        <v>3916065.3</v>
      </c>
      <c r="K48">
        <v>2.84668506991901</v>
      </c>
      <c r="L48">
        <v>39299</v>
      </c>
      <c r="M48">
        <v>2.7932329544485301</v>
      </c>
      <c r="N48">
        <v>48.669754955596801</v>
      </c>
      <c r="O48">
        <v>1912672.7</v>
      </c>
      <c r="P48">
        <v>2.7807385227879999</v>
      </c>
      <c r="Q48">
        <v>41859</v>
      </c>
      <c r="R48">
        <v>2.9751886368676299</v>
      </c>
      <c r="S48">
        <v>47.860498339664098</v>
      </c>
      <c r="T48">
        <v>2003392.6</v>
      </c>
      <c r="U48">
        <v>2.9126316170500099</v>
      </c>
      <c r="V48">
        <v>275</v>
      </c>
      <c r="W48">
        <v>3.0596350689808598</v>
      </c>
    </row>
    <row r="49" spans="1:23" hidden="1" x14ac:dyDescent="0.25">
      <c r="A49" t="s">
        <v>87</v>
      </c>
      <c r="B49">
        <v>3</v>
      </c>
      <c r="C49">
        <v>2025</v>
      </c>
      <c r="D49" t="s">
        <v>108</v>
      </c>
      <c r="E49" t="s">
        <v>109</v>
      </c>
      <c r="F49">
        <v>-33232</v>
      </c>
      <c r="G49">
        <v>-1623804.26</v>
      </c>
      <c r="H49">
        <v>35532</v>
      </c>
      <c r="I49">
        <v>1.26274400541318</v>
      </c>
      <c r="J49">
        <v>1734185.86</v>
      </c>
      <c r="K49">
        <v>1.2606227470534399</v>
      </c>
      <c r="L49">
        <v>1150</v>
      </c>
      <c r="M49">
        <v>8.1737904211705403E-2</v>
      </c>
      <c r="N49">
        <v>47.991999999999997</v>
      </c>
      <c r="O49">
        <v>55190.8</v>
      </c>
      <c r="P49">
        <v>8.0239124897578201E-2</v>
      </c>
      <c r="Q49">
        <v>34382</v>
      </c>
      <c r="R49">
        <v>2.4437501066146599</v>
      </c>
      <c r="S49">
        <v>48.833548368332302</v>
      </c>
      <c r="T49">
        <v>1678995.06</v>
      </c>
      <c r="U49">
        <v>2.4410063692092998</v>
      </c>
      <c r="V49">
        <v>21</v>
      </c>
      <c r="W49">
        <v>0.233644859813084</v>
      </c>
    </row>
    <row r="50" spans="1:23" hidden="1" x14ac:dyDescent="0.25">
      <c r="A50" t="s">
        <v>87</v>
      </c>
      <c r="B50">
        <v>3</v>
      </c>
      <c r="C50">
        <v>2025</v>
      </c>
      <c r="D50" t="s">
        <v>110</v>
      </c>
      <c r="E50" t="s">
        <v>111</v>
      </c>
      <c r="F50">
        <v>329</v>
      </c>
      <c r="G50">
        <v>21440.960000000101</v>
      </c>
      <c r="H50">
        <v>18517</v>
      </c>
      <c r="I50">
        <v>0.65806120534267398</v>
      </c>
      <c r="J50">
        <v>907472.64</v>
      </c>
      <c r="K50">
        <v>0.65966438701826202</v>
      </c>
      <c r="L50">
        <v>9423</v>
      </c>
      <c r="M50">
        <v>0.66975327946687002</v>
      </c>
      <c r="N50">
        <v>49.289695426085103</v>
      </c>
      <c r="O50">
        <v>464456.8</v>
      </c>
      <c r="P50">
        <v>0.67525035304307002</v>
      </c>
      <c r="Q50">
        <v>9094</v>
      </c>
      <c r="R50">
        <v>0.64636913121847805</v>
      </c>
      <c r="S50">
        <v>48.715179239058699</v>
      </c>
      <c r="T50">
        <v>443015.84</v>
      </c>
      <c r="U50">
        <v>0.64407842099345403</v>
      </c>
      <c r="V50">
        <v>82</v>
      </c>
      <c r="W50">
        <v>0.912327547841566</v>
      </c>
    </row>
    <row r="51" spans="1:23" hidden="1" x14ac:dyDescent="0.25">
      <c r="A51" t="s">
        <v>87</v>
      </c>
      <c r="B51">
        <v>3</v>
      </c>
      <c r="C51">
        <v>2025</v>
      </c>
      <c r="D51" t="s">
        <v>114</v>
      </c>
      <c r="E51" t="s">
        <v>115</v>
      </c>
      <c r="F51">
        <v>834</v>
      </c>
      <c r="G51">
        <v>41591.58</v>
      </c>
      <c r="H51">
        <v>834</v>
      </c>
      <c r="I51">
        <v>2.9638874831548801E-2</v>
      </c>
      <c r="J51">
        <v>41591.58</v>
      </c>
      <c r="K51">
        <v>3.02339518752003E-2</v>
      </c>
      <c r="L51">
        <v>834</v>
      </c>
      <c r="M51">
        <v>5.9277749663097699E-2</v>
      </c>
      <c r="N51">
        <v>49.87</v>
      </c>
      <c r="O51">
        <v>41591.58</v>
      </c>
      <c r="P51">
        <v>6.0467903750400703E-2</v>
      </c>
      <c r="Q51">
        <v>0</v>
      </c>
      <c r="R51">
        <v>0</v>
      </c>
      <c r="S51">
        <v>0</v>
      </c>
      <c r="T51">
        <v>0</v>
      </c>
      <c r="U51">
        <v>0</v>
      </c>
      <c r="V51">
        <v>1</v>
      </c>
      <c r="W51">
        <v>1.1125945705385E-2</v>
      </c>
    </row>
    <row r="52" spans="1:23" hidden="1" x14ac:dyDescent="0.25">
      <c r="A52" t="s">
        <v>87</v>
      </c>
      <c r="B52">
        <v>3</v>
      </c>
      <c r="C52">
        <v>2025</v>
      </c>
      <c r="D52" t="s">
        <v>163</v>
      </c>
      <c r="E52" t="s">
        <v>164</v>
      </c>
      <c r="F52">
        <v>-395</v>
      </c>
      <c r="G52">
        <v>-19868.5</v>
      </c>
      <c r="H52">
        <v>395</v>
      </c>
      <c r="I52">
        <v>1.40375965928798E-2</v>
      </c>
      <c r="J52">
        <v>19868.5</v>
      </c>
      <c r="K52">
        <v>1.44429058196976E-2</v>
      </c>
      <c r="L52">
        <v>0</v>
      </c>
      <c r="M52">
        <v>0</v>
      </c>
      <c r="N52">
        <v>0</v>
      </c>
      <c r="O52">
        <v>0</v>
      </c>
      <c r="P52">
        <v>0</v>
      </c>
      <c r="Q52">
        <v>395</v>
      </c>
      <c r="R52">
        <v>2.8075193185759701E-2</v>
      </c>
      <c r="S52">
        <v>50.3</v>
      </c>
      <c r="T52">
        <v>19868.5</v>
      </c>
      <c r="U52">
        <v>2.8885811639395201E-2</v>
      </c>
      <c r="V52">
        <v>1</v>
      </c>
      <c r="W52">
        <v>1.1125945705385E-2</v>
      </c>
    </row>
    <row r="53" spans="1:23" hidden="1" x14ac:dyDescent="0.25">
      <c r="A53" t="s">
        <v>87</v>
      </c>
      <c r="B53">
        <v>3</v>
      </c>
      <c r="C53">
        <v>2025</v>
      </c>
      <c r="D53" t="s">
        <v>116</v>
      </c>
      <c r="E53" t="s">
        <v>117</v>
      </c>
      <c r="F53">
        <v>-13673</v>
      </c>
      <c r="G53">
        <v>-673656.39</v>
      </c>
      <c r="H53">
        <v>28845</v>
      </c>
      <c r="I53">
        <v>1.02509993347245</v>
      </c>
      <c r="J53">
        <v>1410626.75</v>
      </c>
      <c r="K53">
        <v>1.0254195987113299</v>
      </c>
      <c r="L53">
        <v>7586</v>
      </c>
      <c r="M53">
        <v>0.53918586204347596</v>
      </c>
      <c r="N53">
        <v>48.5743712101239</v>
      </c>
      <c r="O53">
        <v>368485.18</v>
      </c>
      <c r="P53">
        <v>0.53572204753195396</v>
      </c>
      <c r="Q53">
        <v>21259</v>
      </c>
      <c r="R53">
        <v>1.51101400490143</v>
      </c>
      <c r="S53">
        <v>49.021194317700697</v>
      </c>
      <c r="T53">
        <v>1042141.57</v>
      </c>
      <c r="U53">
        <v>1.5151171498907099</v>
      </c>
      <c r="V53">
        <v>131</v>
      </c>
      <c r="W53">
        <v>1.45749888740543</v>
      </c>
    </row>
    <row r="54" spans="1:23" hidden="1" x14ac:dyDescent="0.25">
      <c r="A54" t="s">
        <v>87</v>
      </c>
      <c r="B54">
        <v>3</v>
      </c>
      <c r="C54">
        <v>2025</v>
      </c>
      <c r="D54" t="s">
        <v>118</v>
      </c>
      <c r="E54" t="s">
        <v>119</v>
      </c>
      <c r="F54">
        <v>24745</v>
      </c>
      <c r="G54">
        <v>1219080.0900000001</v>
      </c>
      <c r="H54">
        <v>29151</v>
      </c>
      <c r="I54">
        <v>1.0359746285545299</v>
      </c>
      <c r="J54">
        <v>1431146.57</v>
      </c>
      <c r="K54">
        <v>1.0403359652058899</v>
      </c>
      <c r="L54">
        <v>26948</v>
      </c>
      <c r="M54">
        <v>1.9153678632148201</v>
      </c>
      <c r="N54">
        <v>49.172974988867502</v>
      </c>
      <c r="O54">
        <v>1325113.33</v>
      </c>
      <c r="P54">
        <v>1.92651554225189</v>
      </c>
      <c r="Q54">
        <v>2203</v>
      </c>
      <c r="R54">
        <v>0.15658139389424999</v>
      </c>
      <c r="S54">
        <v>48.131293690422098</v>
      </c>
      <c r="T54">
        <v>106033.24</v>
      </c>
      <c r="U54">
        <v>0.15415638815989</v>
      </c>
      <c r="V54">
        <v>43</v>
      </c>
      <c r="W54">
        <v>0.478415665331553</v>
      </c>
    </row>
    <row r="55" spans="1:23" hidden="1" x14ac:dyDescent="0.25">
      <c r="A55" t="s">
        <v>87</v>
      </c>
      <c r="B55">
        <v>3</v>
      </c>
      <c r="C55">
        <v>2025</v>
      </c>
      <c r="D55" t="s">
        <v>120</v>
      </c>
      <c r="E55" t="s">
        <v>121</v>
      </c>
      <c r="F55">
        <v>-95</v>
      </c>
      <c r="G55">
        <v>-4665.45</v>
      </c>
      <c r="H55">
        <v>95</v>
      </c>
      <c r="I55">
        <v>3.3761308261356601E-3</v>
      </c>
      <c r="J55">
        <v>4665.45</v>
      </c>
      <c r="K55">
        <v>3.3914314093418298E-3</v>
      </c>
      <c r="L55">
        <v>0</v>
      </c>
      <c r="M55">
        <v>0</v>
      </c>
      <c r="N55">
        <v>0</v>
      </c>
      <c r="O55">
        <v>0</v>
      </c>
      <c r="P55">
        <v>0</v>
      </c>
      <c r="Q55">
        <v>95</v>
      </c>
      <c r="R55">
        <v>6.7522616522713201E-3</v>
      </c>
      <c r="S55">
        <v>49.11</v>
      </c>
      <c r="T55">
        <v>4665.45</v>
      </c>
      <c r="U55">
        <v>6.7828628186836597E-3</v>
      </c>
      <c r="V55">
        <v>1</v>
      </c>
      <c r="W55">
        <v>1.1125945705385E-2</v>
      </c>
    </row>
    <row r="56" spans="1:23" hidden="1" x14ac:dyDescent="0.25">
      <c r="A56" t="s">
        <v>87</v>
      </c>
      <c r="B56">
        <v>3</v>
      </c>
      <c r="C56">
        <v>2025</v>
      </c>
      <c r="D56" t="s">
        <v>122</v>
      </c>
      <c r="E56" t="s">
        <v>123</v>
      </c>
      <c r="F56">
        <v>-925</v>
      </c>
      <c r="G56">
        <v>-47620.34</v>
      </c>
      <c r="H56">
        <v>11895</v>
      </c>
      <c r="I56">
        <v>0.42272711765140703</v>
      </c>
      <c r="J56">
        <v>575190.36</v>
      </c>
      <c r="K56">
        <v>0.41812014987935497</v>
      </c>
      <c r="L56">
        <v>5485</v>
      </c>
      <c r="M56">
        <v>0.38985426487061198</v>
      </c>
      <c r="N56">
        <v>48.092071103008202</v>
      </c>
      <c r="O56">
        <v>263785.01</v>
      </c>
      <c r="P56">
        <v>0.383503742716158</v>
      </c>
      <c r="Q56">
        <v>6410</v>
      </c>
      <c r="R56">
        <v>0.45559997043220202</v>
      </c>
      <c r="S56">
        <v>48.581177847113899</v>
      </c>
      <c r="T56">
        <v>311405.34999999998</v>
      </c>
      <c r="U56">
        <v>0.452736557042551</v>
      </c>
      <c r="V56">
        <v>47</v>
      </c>
      <c r="W56">
        <v>0.52291944815309299</v>
      </c>
    </row>
    <row r="57" spans="1:23" hidden="1" x14ac:dyDescent="0.25">
      <c r="A57" t="s">
        <v>87</v>
      </c>
      <c r="B57">
        <v>3</v>
      </c>
      <c r="C57">
        <v>2025</v>
      </c>
      <c r="D57" t="s">
        <v>124</v>
      </c>
      <c r="E57" t="s">
        <v>125</v>
      </c>
      <c r="F57">
        <v>1529</v>
      </c>
      <c r="G57">
        <v>68150.25</v>
      </c>
      <c r="H57">
        <v>11529</v>
      </c>
      <c r="I57">
        <v>0.40972012941597902</v>
      </c>
      <c r="J57">
        <v>571713.25</v>
      </c>
      <c r="K57">
        <v>0.41559255231261699</v>
      </c>
      <c r="L57">
        <v>6529</v>
      </c>
      <c r="M57">
        <v>0.46405806660715199</v>
      </c>
      <c r="N57">
        <v>49.001646500229697</v>
      </c>
      <c r="O57">
        <v>319931.75</v>
      </c>
      <c r="P57">
        <v>0.46513266064182401</v>
      </c>
      <c r="Q57">
        <v>5000</v>
      </c>
      <c r="R57">
        <v>0.35538219222480599</v>
      </c>
      <c r="S57">
        <v>50.356299999999997</v>
      </c>
      <c r="T57">
        <v>251781.5</v>
      </c>
      <c r="U57">
        <v>0.36605244398341003</v>
      </c>
      <c r="V57">
        <v>24</v>
      </c>
      <c r="W57">
        <v>0.26702269692923902</v>
      </c>
    </row>
    <row r="58" spans="1:23" hidden="1" x14ac:dyDescent="0.25">
      <c r="A58" t="s">
        <v>87</v>
      </c>
      <c r="B58">
        <v>3</v>
      </c>
      <c r="C58">
        <v>2025</v>
      </c>
      <c r="D58" t="s">
        <v>126</v>
      </c>
      <c r="E58" t="s">
        <v>127</v>
      </c>
      <c r="F58">
        <v>10094</v>
      </c>
      <c r="G58">
        <v>477390.65</v>
      </c>
      <c r="H58">
        <v>16098</v>
      </c>
      <c r="I58">
        <v>0.57209425304349304</v>
      </c>
      <c r="J58">
        <v>767030.79</v>
      </c>
      <c r="K58">
        <v>0.55757372024955298</v>
      </c>
      <c r="L58">
        <v>13096</v>
      </c>
      <c r="M58">
        <v>0.93081703787521197</v>
      </c>
      <c r="N58">
        <v>47.511508857666499</v>
      </c>
      <c r="O58">
        <v>622210.72</v>
      </c>
      <c r="P58">
        <v>0.904600833376071</v>
      </c>
      <c r="Q58">
        <v>3002</v>
      </c>
      <c r="R58">
        <v>0.213371468211774</v>
      </c>
      <c r="S58">
        <v>48.241195869420402</v>
      </c>
      <c r="T58">
        <v>144820.07</v>
      </c>
      <c r="U58">
        <v>0.210546607123035</v>
      </c>
      <c r="V58">
        <v>90</v>
      </c>
      <c r="W58">
        <v>1.00133511348465</v>
      </c>
    </row>
    <row r="59" spans="1:23" hidden="1" x14ac:dyDescent="0.25">
      <c r="A59" t="s">
        <v>87</v>
      </c>
      <c r="B59">
        <v>3</v>
      </c>
      <c r="C59">
        <v>2025</v>
      </c>
      <c r="D59" t="s">
        <v>128</v>
      </c>
      <c r="E59" t="s">
        <v>129</v>
      </c>
      <c r="F59">
        <v>8200</v>
      </c>
      <c r="G59">
        <v>401863.48</v>
      </c>
      <c r="H59">
        <v>8200</v>
      </c>
      <c r="I59">
        <v>0.29141339762434099</v>
      </c>
      <c r="J59">
        <v>401863.48</v>
      </c>
      <c r="K59">
        <v>0.292124538541708</v>
      </c>
      <c r="L59">
        <v>8200</v>
      </c>
      <c r="M59">
        <v>0.58282679524868197</v>
      </c>
      <c r="N59">
        <v>49.007741463414597</v>
      </c>
      <c r="O59">
        <v>401863.48</v>
      </c>
      <c r="P59">
        <v>0.584249077083416</v>
      </c>
      <c r="Q59">
        <v>0</v>
      </c>
      <c r="R59">
        <v>0</v>
      </c>
      <c r="S59">
        <v>0</v>
      </c>
      <c r="T59">
        <v>0</v>
      </c>
      <c r="U59">
        <v>0</v>
      </c>
      <c r="V59">
        <v>12</v>
      </c>
      <c r="W59">
        <v>0.13351134846461901</v>
      </c>
    </row>
    <row r="60" spans="1:23" hidden="1" x14ac:dyDescent="0.25">
      <c r="A60" t="s">
        <v>87</v>
      </c>
      <c r="B60">
        <v>3</v>
      </c>
      <c r="C60">
        <v>2025</v>
      </c>
      <c r="D60" t="s">
        <v>130</v>
      </c>
      <c r="E60" t="s">
        <v>131</v>
      </c>
      <c r="F60">
        <v>2206</v>
      </c>
      <c r="G60">
        <v>128215.13</v>
      </c>
      <c r="H60">
        <v>66410</v>
      </c>
      <c r="I60">
        <v>2.36009313856494</v>
      </c>
      <c r="J60">
        <v>3210801.39</v>
      </c>
      <c r="K60">
        <v>2.3340112278996501</v>
      </c>
      <c r="L60">
        <v>34308</v>
      </c>
      <c r="M60">
        <v>2.4384904501697302</v>
      </c>
      <c r="N60">
        <v>48.6623603824181</v>
      </c>
      <c r="O60">
        <v>1669508.26</v>
      </c>
      <c r="P60">
        <v>2.4272139884125301</v>
      </c>
      <c r="Q60">
        <v>32102</v>
      </c>
      <c r="R60">
        <v>2.2816958269601502</v>
      </c>
      <c r="S60">
        <v>48.012370880318997</v>
      </c>
      <c r="T60">
        <v>1541293.13</v>
      </c>
      <c r="U60">
        <v>2.2408084673867599</v>
      </c>
      <c r="V60">
        <v>218</v>
      </c>
      <c r="W60">
        <v>2.4254561637739198</v>
      </c>
    </row>
    <row r="61" spans="1:23" hidden="1" x14ac:dyDescent="0.25">
      <c r="A61" t="s">
        <v>87</v>
      </c>
      <c r="B61">
        <v>3</v>
      </c>
      <c r="C61">
        <v>2025</v>
      </c>
      <c r="D61" t="s">
        <v>132</v>
      </c>
      <c r="E61" t="s">
        <v>133</v>
      </c>
      <c r="F61">
        <v>639</v>
      </c>
      <c r="G61">
        <v>35059.129999999997</v>
      </c>
      <c r="H61">
        <v>11369</v>
      </c>
      <c r="I61">
        <v>0.404034014340382</v>
      </c>
      <c r="J61">
        <v>555558.73</v>
      </c>
      <c r="K61">
        <v>0.40384943074217</v>
      </c>
      <c r="L61">
        <v>6004</v>
      </c>
      <c r="M61">
        <v>0.42674293642354699</v>
      </c>
      <c r="N61">
        <v>49.185364756828797</v>
      </c>
      <c r="O61">
        <v>295308.93</v>
      </c>
      <c r="P61">
        <v>0.42933478256593799</v>
      </c>
      <c r="Q61">
        <v>5365</v>
      </c>
      <c r="R61">
        <v>0.381325092257217</v>
      </c>
      <c r="S61">
        <v>48.508816402609497</v>
      </c>
      <c r="T61">
        <v>260249.8</v>
      </c>
      <c r="U61">
        <v>0.37836407891840201</v>
      </c>
      <c r="V61">
        <v>74</v>
      </c>
      <c r="W61">
        <v>0.82331998219848701</v>
      </c>
    </row>
    <row r="62" spans="1:23" hidden="1" x14ac:dyDescent="0.25">
      <c r="A62" t="s">
        <v>87</v>
      </c>
      <c r="B62">
        <v>3</v>
      </c>
      <c r="C62">
        <v>2025</v>
      </c>
      <c r="D62" t="s">
        <v>134</v>
      </c>
      <c r="E62" t="s">
        <v>135</v>
      </c>
      <c r="F62">
        <v>-6770</v>
      </c>
      <c r="G62">
        <v>-309041.69</v>
      </c>
      <c r="H62">
        <v>23630</v>
      </c>
      <c r="I62">
        <v>0.83976812022721703</v>
      </c>
      <c r="J62">
        <v>1137472.21</v>
      </c>
      <c r="K62">
        <v>0.82685678342870805</v>
      </c>
      <c r="L62">
        <v>8430</v>
      </c>
      <c r="M62">
        <v>0.59917437609102298</v>
      </c>
      <c r="N62">
        <v>49.1358552787663</v>
      </c>
      <c r="O62">
        <v>414215.26</v>
      </c>
      <c r="P62">
        <v>0.60220670803146203</v>
      </c>
      <c r="Q62">
        <v>15200</v>
      </c>
      <c r="R62">
        <v>1.0803618643634101</v>
      </c>
      <c r="S62">
        <v>47.582694078947398</v>
      </c>
      <c r="T62">
        <v>723256.95</v>
      </c>
      <c r="U62">
        <v>1.05150685882595</v>
      </c>
      <c r="V62">
        <v>28</v>
      </c>
      <c r="W62">
        <v>0.31152647975077902</v>
      </c>
    </row>
    <row r="63" spans="1:23" hidden="1" x14ac:dyDescent="0.25">
      <c r="A63" t="s">
        <v>87</v>
      </c>
      <c r="B63">
        <v>3</v>
      </c>
      <c r="C63">
        <v>2025</v>
      </c>
      <c r="D63" t="s">
        <v>136</v>
      </c>
      <c r="E63" t="s">
        <v>137</v>
      </c>
      <c r="F63">
        <v>-10075</v>
      </c>
      <c r="G63">
        <v>-498471.37</v>
      </c>
      <c r="H63">
        <v>41435</v>
      </c>
      <c r="I63">
        <v>1.4725261134834799</v>
      </c>
      <c r="J63">
        <v>2052356.17</v>
      </c>
      <c r="K63">
        <v>1.4919086429164401</v>
      </c>
      <c r="L63">
        <v>15680</v>
      </c>
      <c r="M63">
        <v>1.11447855481699</v>
      </c>
      <c r="N63">
        <v>49.549897959183703</v>
      </c>
      <c r="O63">
        <v>776942.4</v>
      </c>
      <c r="P63">
        <v>1.12955743116288</v>
      </c>
      <c r="Q63">
        <v>25755</v>
      </c>
      <c r="R63">
        <v>1.8305736721499799</v>
      </c>
      <c r="S63">
        <v>49.521016113376</v>
      </c>
      <c r="T63">
        <v>1275413.77</v>
      </c>
      <c r="U63">
        <v>1.85425985467</v>
      </c>
      <c r="V63">
        <v>53</v>
      </c>
      <c r="W63">
        <v>0.58967512238540298</v>
      </c>
    </row>
    <row r="64" spans="1:23" hidden="1" x14ac:dyDescent="0.25">
      <c r="A64" t="s">
        <v>87</v>
      </c>
      <c r="B64">
        <v>3</v>
      </c>
      <c r="C64">
        <v>2025</v>
      </c>
      <c r="D64" t="s">
        <v>138</v>
      </c>
      <c r="E64" t="s">
        <v>139</v>
      </c>
      <c r="F64">
        <v>25843</v>
      </c>
      <c r="G64">
        <v>1264648.69</v>
      </c>
      <c r="H64">
        <v>27669</v>
      </c>
      <c r="I64">
        <v>0.98330698766681601</v>
      </c>
      <c r="J64">
        <v>1351018.49</v>
      </c>
      <c r="K64">
        <v>0.98208887493973096</v>
      </c>
      <c r="L64">
        <v>26756</v>
      </c>
      <c r="M64">
        <v>1.9017211870333799</v>
      </c>
      <c r="N64">
        <v>48.880011586186299</v>
      </c>
      <c r="O64">
        <v>1307833.5900000001</v>
      </c>
      <c r="P64">
        <v>1.90139339841528</v>
      </c>
      <c r="Q64">
        <v>913</v>
      </c>
      <c r="R64">
        <v>6.4892788300249596E-2</v>
      </c>
      <c r="S64">
        <v>47.3</v>
      </c>
      <c r="T64">
        <v>43184.9</v>
      </c>
      <c r="U64">
        <v>6.2784351464182805E-2</v>
      </c>
      <c r="V64">
        <v>43</v>
      </c>
      <c r="W64">
        <v>0.478415665331553</v>
      </c>
    </row>
    <row r="65" spans="1:23" hidden="1" x14ac:dyDescent="0.25">
      <c r="A65" t="s">
        <v>87</v>
      </c>
      <c r="B65">
        <v>3</v>
      </c>
      <c r="C65">
        <v>2025</v>
      </c>
      <c r="D65" t="s">
        <v>142</v>
      </c>
      <c r="E65" t="s">
        <v>143</v>
      </c>
      <c r="F65">
        <v>20867</v>
      </c>
      <c r="G65">
        <v>1014298.79</v>
      </c>
      <c r="H65">
        <v>43485</v>
      </c>
      <c r="I65">
        <v>1.5453794628895701</v>
      </c>
      <c r="J65">
        <v>2119641.0099999998</v>
      </c>
      <c r="K65">
        <v>1.5408196632357101</v>
      </c>
      <c r="L65">
        <v>32176</v>
      </c>
      <c r="M65">
        <v>2.28695548340507</v>
      </c>
      <c r="N65">
        <v>48.699959597215297</v>
      </c>
      <c r="O65">
        <v>1566969.9</v>
      </c>
      <c r="P65">
        <v>2.2781386302942801</v>
      </c>
      <c r="Q65">
        <v>11309</v>
      </c>
      <c r="R65">
        <v>0.80380344237406698</v>
      </c>
      <c r="S65">
        <v>48.870024759041499</v>
      </c>
      <c r="T65">
        <v>552671.11</v>
      </c>
      <c r="U65">
        <v>0.80350069617713704</v>
      </c>
      <c r="V65">
        <v>437</v>
      </c>
      <c r="W65">
        <v>4.8620382732532299</v>
      </c>
    </row>
    <row r="66" spans="1:23" hidden="1" x14ac:dyDescent="0.25">
      <c r="A66" t="s">
        <v>87</v>
      </c>
      <c r="B66">
        <v>3</v>
      </c>
      <c r="C66">
        <v>2025</v>
      </c>
      <c r="D66" t="s">
        <v>144</v>
      </c>
      <c r="E66" t="s">
        <v>145</v>
      </c>
      <c r="F66">
        <v>-93079</v>
      </c>
      <c r="G66">
        <v>-4589842.76</v>
      </c>
      <c r="H66">
        <v>188707</v>
      </c>
      <c r="I66">
        <v>6.7063107348166504</v>
      </c>
      <c r="J66">
        <v>9231484.8399999999</v>
      </c>
      <c r="K66">
        <v>6.7105954712276299</v>
      </c>
      <c r="L66">
        <v>47814</v>
      </c>
      <c r="M66">
        <v>3.3984488278073801</v>
      </c>
      <c r="N66">
        <v>48.538525118166199</v>
      </c>
      <c r="O66">
        <v>2320821.04</v>
      </c>
      <c r="P66">
        <v>3.37412484134108</v>
      </c>
      <c r="Q66">
        <v>140893</v>
      </c>
      <c r="R66">
        <v>10.014172641825899</v>
      </c>
      <c r="S66">
        <v>49.049021597950201</v>
      </c>
      <c r="T66">
        <v>6910663.7999999998</v>
      </c>
      <c r="U66">
        <v>10.047066101114201</v>
      </c>
      <c r="V66">
        <v>412</v>
      </c>
      <c r="W66">
        <v>4.5838896306186001</v>
      </c>
    </row>
    <row r="67" spans="1:23" hidden="1" x14ac:dyDescent="0.25">
      <c r="A67" t="s">
        <v>87</v>
      </c>
      <c r="B67">
        <v>3</v>
      </c>
      <c r="C67">
        <v>2025</v>
      </c>
      <c r="D67" t="s">
        <v>165</v>
      </c>
      <c r="E67" t="s">
        <v>166</v>
      </c>
      <c r="F67">
        <v>3150</v>
      </c>
      <c r="G67">
        <v>150538.5</v>
      </c>
      <c r="H67">
        <v>3150</v>
      </c>
      <c r="I67">
        <v>0.111945390550814</v>
      </c>
      <c r="J67">
        <v>150538.5</v>
      </c>
      <c r="K67">
        <v>0.1094301722696</v>
      </c>
      <c r="L67">
        <v>3150</v>
      </c>
      <c r="M67">
        <v>0.22389078110162799</v>
      </c>
      <c r="N67">
        <v>47.79</v>
      </c>
      <c r="O67">
        <v>150538.5</v>
      </c>
      <c r="P67">
        <v>0.2188603445392</v>
      </c>
      <c r="Q67">
        <v>0</v>
      </c>
      <c r="R67">
        <v>0</v>
      </c>
      <c r="S67">
        <v>0</v>
      </c>
      <c r="T67">
        <v>0</v>
      </c>
      <c r="U67">
        <v>0</v>
      </c>
      <c r="V67">
        <v>4</v>
      </c>
      <c r="W67">
        <v>4.45037828215398E-2</v>
      </c>
    </row>
    <row r="68" spans="1:23" hidden="1" x14ac:dyDescent="0.25">
      <c r="A68" t="s">
        <v>87</v>
      </c>
      <c r="B68">
        <v>3</v>
      </c>
      <c r="C68">
        <v>2025</v>
      </c>
      <c r="D68" t="s">
        <v>146</v>
      </c>
      <c r="E68" t="s">
        <v>147</v>
      </c>
      <c r="F68">
        <v>18727</v>
      </c>
      <c r="G68">
        <v>912524.16</v>
      </c>
      <c r="H68">
        <v>23873</v>
      </c>
      <c r="I68">
        <v>0.84840390749827999</v>
      </c>
      <c r="J68">
        <v>1164879.3</v>
      </c>
      <c r="K68">
        <v>0.84677967743992999</v>
      </c>
      <c r="L68">
        <v>21300</v>
      </c>
      <c r="M68">
        <v>1.51392813887767</v>
      </c>
      <c r="N68">
        <v>48.765339436619698</v>
      </c>
      <c r="O68">
        <v>1038701.73</v>
      </c>
      <c r="P68">
        <v>1.5101161397334399</v>
      </c>
      <c r="Q68">
        <v>2573</v>
      </c>
      <c r="R68">
        <v>0.182879676118885</v>
      </c>
      <c r="S68">
        <v>49.039086669257699</v>
      </c>
      <c r="T68">
        <v>126177.57</v>
      </c>
      <c r="U68">
        <v>0.18344321514641801</v>
      </c>
      <c r="V68">
        <v>76</v>
      </c>
      <c r="W68">
        <v>0.84557187360925701</v>
      </c>
    </row>
    <row r="69" spans="1:23" x14ac:dyDescent="0.25">
      <c r="A69" t="s">
        <v>87</v>
      </c>
      <c r="B69">
        <v>3</v>
      </c>
      <c r="C69">
        <v>2025</v>
      </c>
      <c r="D69" t="s">
        <v>148</v>
      </c>
      <c r="E69" t="s">
        <v>148</v>
      </c>
      <c r="F69">
        <v>0</v>
      </c>
      <c r="G69" s="4">
        <v>-5.4278643801808399E-9</v>
      </c>
      <c r="H69">
        <v>2813872</v>
      </c>
      <c r="I69">
        <v>0</v>
      </c>
      <c r="J69">
        <v>137565807.38</v>
      </c>
      <c r="K69">
        <v>0</v>
      </c>
      <c r="L69">
        <v>1406936</v>
      </c>
      <c r="M69">
        <v>100</v>
      </c>
      <c r="N69">
        <v>48.940829043207998</v>
      </c>
      <c r="O69">
        <v>68782903.689999998</v>
      </c>
      <c r="P69">
        <v>100</v>
      </c>
      <c r="Q69">
        <v>1406936</v>
      </c>
      <c r="R69">
        <v>100</v>
      </c>
      <c r="S69">
        <v>48.762037406641603</v>
      </c>
      <c r="T69">
        <v>68782903.689999998</v>
      </c>
      <c r="U69">
        <v>100</v>
      </c>
      <c r="V69">
        <v>8988</v>
      </c>
      <c r="W69">
        <v>100</v>
      </c>
    </row>
    <row r="70" spans="1:23" hidden="1" x14ac:dyDescent="0.25">
      <c r="A70" t="s">
        <v>87</v>
      </c>
      <c r="B70">
        <v>3</v>
      </c>
      <c r="C70">
        <v>2025</v>
      </c>
      <c r="D70" t="s">
        <v>149</v>
      </c>
      <c r="E70" t="s">
        <v>150</v>
      </c>
      <c r="F70">
        <v>112075</v>
      </c>
      <c r="G70">
        <v>5482516.3099999996</v>
      </c>
      <c r="H70">
        <v>237315</v>
      </c>
      <c r="I70">
        <v>8.4337524947829898</v>
      </c>
      <c r="J70">
        <v>11575865.609999999</v>
      </c>
      <c r="K70">
        <v>8.4147840444274191</v>
      </c>
      <c r="L70">
        <v>174695</v>
      </c>
      <c r="M70">
        <v>12.4166984141425</v>
      </c>
      <c r="N70">
        <v>48.823326139843701</v>
      </c>
      <c r="O70">
        <v>8529190.9600000009</v>
      </c>
      <c r="P70">
        <v>12.400161235472799</v>
      </c>
      <c r="Q70">
        <v>62620</v>
      </c>
      <c r="R70">
        <v>4.4508065754234698</v>
      </c>
      <c r="S70">
        <v>48.653379910571701</v>
      </c>
      <c r="T70">
        <v>3046674.65</v>
      </c>
      <c r="U70">
        <v>4.4294068533819999</v>
      </c>
      <c r="V70">
        <v>848</v>
      </c>
      <c r="W70">
        <v>9.4348019581664406</v>
      </c>
    </row>
    <row r="71" spans="1:23" hidden="1" x14ac:dyDescent="0.25">
      <c r="A71" t="s">
        <v>87</v>
      </c>
      <c r="B71">
        <v>3</v>
      </c>
      <c r="C71">
        <v>2025</v>
      </c>
      <c r="D71" t="s">
        <v>151</v>
      </c>
      <c r="E71" t="s">
        <v>152</v>
      </c>
      <c r="F71">
        <v>-11913</v>
      </c>
      <c r="G71">
        <v>-604695.06000000599</v>
      </c>
      <c r="H71">
        <v>742225</v>
      </c>
      <c r="I71">
        <v>26.377354762405702</v>
      </c>
      <c r="J71">
        <v>36237505.159999996</v>
      </c>
      <c r="K71">
        <v>26.341941976831901</v>
      </c>
      <c r="L71">
        <v>365156</v>
      </c>
      <c r="M71">
        <v>25.953987956808302</v>
      </c>
      <c r="N71">
        <v>48.791215398350303</v>
      </c>
      <c r="O71">
        <v>17816405.050000001</v>
      </c>
      <c r="P71">
        <v>25.902374128166201</v>
      </c>
      <c r="Q71">
        <v>377069</v>
      </c>
      <c r="R71">
        <v>26.800721568003102</v>
      </c>
      <c r="S71">
        <v>48.853393172072003</v>
      </c>
      <c r="T71">
        <v>18421100.109999999</v>
      </c>
      <c r="U71">
        <v>26.7815098254977</v>
      </c>
      <c r="V71">
        <v>1955</v>
      </c>
      <c r="W71">
        <v>21.7512238540276</v>
      </c>
    </row>
    <row r="72" spans="1:23" hidden="1" x14ac:dyDescent="0.25">
      <c r="A72" t="s">
        <v>87</v>
      </c>
      <c r="B72">
        <v>3</v>
      </c>
      <c r="C72">
        <v>2025</v>
      </c>
      <c r="D72" t="s">
        <v>153</v>
      </c>
      <c r="E72" t="s">
        <v>154</v>
      </c>
      <c r="F72">
        <v>387</v>
      </c>
      <c r="G72">
        <v>19109.650000000001</v>
      </c>
      <c r="H72">
        <v>439</v>
      </c>
      <c r="I72">
        <v>1.5601278238668999E-2</v>
      </c>
      <c r="J72">
        <v>21645.35</v>
      </c>
      <c r="K72">
        <v>1.5734542189113E-2</v>
      </c>
      <c r="L72">
        <v>413</v>
      </c>
      <c r="M72">
        <v>2.9354569077769E-2</v>
      </c>
      <c r="N72">
        <v>49.340193704600502</v>
      </c>
      <c r="O72">
        <v>20377.5</v>
      </c>
      <c r="P72">
        <v>2.9625821107872999E-2</v>
      </c>
      <c r="Q72">
        <v>26</v>
      </c>
      <c r="R72">
        <v>1.84798739956899E-3</v>
      </c>
      <c r="S72">
        <v>48.763461538461499</v>
      </c>
      <c r="T72">
        <v>1267.8499999999999</v>
      </c>
      <c r="U72">
        <v>1.8432632703529301E-3</v>
      </c>
      <c r="V72">
        <v>30</v>
      </c>
      <c r="W72">
        <v>0.33377837116154901</v>
      </c>
    </row>
    <row r="73" spans="1:23" hidden="1" x14ac:dyDescent="0.25">
      <c r="A73" t="s">
        <v>87</v>
      </c>
      <c r="B73">
        <v>3</v>
      </c>
      <c r="C73">
        <v>2025</v>
      </c>
      <c r="D73" t="s">
        <v>155</v>
      </c>
      <c r="E73" t="s">
        <v>156</v>
      </c>
      <c r="F73">
        <v>200</v>
      </c>
      <c r="G73">
        <v>9820</v>
      </c>
      <c r="H73">
        <v>200</v>
      </c>
      <c r="I73">
        <v>7.1076438444961296E-3</v>
      </c>
      <c r="J73">
        <v>9820</v>
      </c>
      <c r="K73">
        <v>7.1384017489709998E-3</v>
      </c>
      <c r="L73">
        <v>200</v>
      </c>
      <c r="M73">
        <v>1.4215287688992301E-2</v>
      </c>
      <c r="N73">
        <v>49.1</v>
      </c>
      <c r="O73">
        <v>9820</v>
      </c>
      <c r="P73">
        <v>1.4276803497942E-2</v>
      </c>
      <c r="Q73">
        <v>0</v>
      </c>
      <c r="R73">
        <v>0</v>
      </c>
      <c r="S73">
        <v>0</v>
      </c>
      <c r="T73">
        <v>0</v>
      </c>
      <c r="U73">
        <v>0</v>
      </c>
      <c r="V73">
        <v>1</v>
      </c>
      <c r="W73">
        <v>1.1125945705385E-2</v>
      </c>
    </row>
    <row r="74" spans="1:23" hidden="1" x14ac:dyDescent="0.25">
      <c r="A74" t="s">
        <v>87</v>
      </c>
      <c r="B74">
        <v>4</v>
      </c>
      <c r="C74">
        <v>2025</v>
      </c>
      <c r="D74" t="s">
        <v>88</v>
      </c>
      <c r="E74" t="s">
        <v>89</v>
      </c>
      <c r="F74">
        <v>78068</v>
      </c>
      <c r="G74">
        <v>3680559.8</v>
      </c>
      <c r="H74">
        <v>190526</v>
      </c>
      <c r="I74">
        <v>3.2674546588917002</v>
      </c>
      <c r="J74">
        <v>8998519.5199999996</v>
      </c>
      <c r="K74">
        <v>3.2624040368127698</v>
      </c>
      <c r="L74">
        <v>134297</v>
      </c>
      <c r="M74">
        <v>4.60629371660748</v>
      </c>
      <c r="N74">
        <v>47.2053706337446</v>
      </c>
      <c r="O74">
        <v>6339539.6600000001</v>
      </c>
      <c r="P74">
        <v>4.5967872231317104</v>
      </c>
      <c r="Q74">
        <v>56229</v>
      </c>
      <c r="R74">
        <v>1.9286156011759199</v>
      </c>
      <c r="S74">
        <v>47.2884074054313</v>
      </c>
      <c r="T74">
        <v>2658979.86</v>
      </c>
      <c r="U74">
        <v>1.9280208504938301</v>
      </c>
      <c r="V74">
        <v>556</v>
      </c>
      <c r="W74">
        <v>2.9076456437611098</v>
      </c>
    </row>
    <row r="75" spans="1:23" hidden="1" x14ac:dyDescent="0.25">
      <c r="A75" t="s">
        <v>87</v>
      </c>
      <c r="B75">
        <v>4</v>
      </c>
      <c r="C75">
        <v>2025</v>
      </c>
      <c r="D75" t="s">
        <v>90</v>
      </c>
      <c r="E75" t="s">
        <v>91</v>
      </c>
      <c r="F75">
        <v>66673</v>
      </c>
      <c r="G75">
        <v>3242972.79</v>
      </c>
      <c r="H75">
        <v>260449</v>
      </c>
      <c r="I75">
        <v>4.4666097984195599</v>
      </c>
      <c r="J75">
        <v>12290305.449999999</v>
      </c>
      <c r="K75">
        <v>4.4558376546970004</v>
      </c>
      <c r="L75">
        <v>163561</v>
      </c>
      <c r="M75">
        <v>5.6100285678908399</v>
      </c>
      <c r="N75">
        <v>47.484663948007203</v>
      </c>
      <c r="O75">
        <v>7766639.1200000001</v>
      </c>
      <c r="P75">
        <v>5.6315741186625701</v>
      </c>
      <c r="Q75">
        <v>96888</v>
      </c>
      <c r="R75">
        <v>3.32319102894827</v>
      </c>
      <c r="S75">
        <v>46.689645054083101</v>
      </c>
      <c r="T75">
        <v>4523666.33</v>
      </c>
      <c r="U75">
        <v>3.2801011907314299</v>
      </c>
      <c r="V75">
        <v>1256</v>
      </c>
      <c r="W75">
        <v>6.5683505909423703</v>
      </c>
    </row>
    <row r="76" spans="1:23" hidden="1" x14ac:dyDescent="0.25">
      <c r="A76" t="s">
        <v>87</v>
      </c>
      <c r="B76">
        <v>4</v>
      </c>
      <c r="C76">
        <v>2025</v>
      </c>
      <c r="D76" t="s">
        <v>92</v>
      </c>
      <c r="E76" t="s">
        <v>93</v>
      </c>
      <c r="F76">
        <v>4587</v>
      </c>
      <c r="G76">
        <v>218178.11</v>
      </c>
      <c r="H76">
        <v>8067</v>
      </c>
      <c r="I76">
        <v>0.138346245306569</v>
      </c>
      <c r="J76">
        <v>379965.31</v>
      </c>
      <c r="K76">
        <v>0.13775603402734099</v>
      </c>
      <c r="L76">
        <v>6327</v>
      </c>
      <c r="M76">
        <v>0.217011700521795</v>
      </c>
      <c r="N76">
        <v>47.269118065433901</v>
      </c>
      <c r="O76">
        <v>299071.71000000002</v>
      </c>
      <c r="P76">
        <v>0.21685628437698801</v>
      </c>
      <c r="Q76">
        <v>1740</v>
      </c>
      <c r="R76">
        <v>5.96807900913425E-2</v>
      </c>
      <c r="S76">
        <v>46.490574712643699</v>
      </c>
      <c r="T76">
        <v>80893.600000000006</v>
      </c>
      <c r="U76">
        <v>5.8655783677694903E-2</v>
      </c>
      <c r="V76">
        <v>15</v>
      </c>
      <c r="W76">
        <v>7.8443677439598403E-2</v>
      </c>
    </row>
    <row r="77" spans="1:23" hidden="1" x14ac:dyDescent="0.25">
      <c r="A77" t="s">
        <v>87</v>
      </c>
      <c r="B77">
        <v>4</v>
      </c>
      <c r="C77">
        <v>2025</v>
      </c>
      <c r="D77" t="s">
        <v>94</v>
      </c>
      <c r="E77" t="s">
        <v>95</v>
      </c>
      <c r="F77">
        <v>-733822</v>
      </c>
      <c r="G77">
        <v>-35057204.770000003</v>
      </c>
      <c r="H77">
        <v>920044</v>
      </c>
      <c r="I77">
        <v>15.778434723792801</v>
      </c>
      <c r="J77">
        <v>43607279.390000001</v>
      </c>
      <c r="K77">
        <v>15.809774485698799</v>
      </c>
      <c r="L77">
        <v>93111</v>
      </c>
      <c r="M77">
        <v>3.1936425552844798</v>
      </c>
      <c r="N77">
        <v>45.9133433214121</v>
      </c>
      <c r="O77">
        <v>4275037.3099999996</v>
      </c>
      <c r="P77">
        <v>3.0998207975591998</v>
      </c>
      <c r="Q77">
        <v>826933</v>
      </c>
      <c r="R77">
        <v>28.363226892301199</v>
      </c>
      <c r="S77">
        <v>47.564001049661798</v>
      </c>
      <c r="T77">
        <v>39332242.079999998</v>
      </c>
      <c r="U77">
        <v>28.519728173838299</v>
      </c>
      <c r="V77">
        <v>2455</v>
      </c>
      <c r="W77">
        <v>12.8386152076143</v>
      </c>
    </row>
    <row r="78" spans="1:23" hidden="1" x14ac:dyDescent="0.25">
      <c r="A78" t="s">
        <v>87</v>
      </c>
      <c r="B78">
        <v>4</v>
      </c>
      <c r="C78">
        <v>2025</v>
      </c>
      <c r="D78" t="s">
        <v>96</v>
      </c>
      <c r="E78" t="s">
        <v>97</v>
      </c>
      <c r="F78">
        <v>25017</v>
      </c>
      <c r="G78">
        <v>1182565.6599999999</v>
      </c>
      <c r="H78">
        <v>34473</v>
      </c>
      <c r="I78">
        <v>0.59119996460311797</v>
      </c>
      <c r="J78">
        <v>1625715.2</v>
      </c>
      <c r="K78">
        <v>0.58940138090492</v>
      </c>
      <c r="L78">
        <v>29745</v>
      </c>
      <c r="M78">
        <v>1.0202328168201</v>
      </c>
      <c r="N78">
        <v>47.205931417044901</v>
      </c>
      <c r="O78">
        <v>1404140.43</v>
      </c>
      <c r="P78">
        <v>1.01813934990142</v>
      </c>
      <c r="Q78">
        <v>4728</v>
      </c>
      <c r="R78">
        <v>0.16216711238613099</v>
      </c>
      <c r="S78">
        <v>46.864376057529597</v>
      </c>
      <c r="T78">
        <v>221574.77</v>
      </c>
      <c r="U78">
        <v>0.16066341190842001</v>
      </c>
      <c r="V78">
        <v>116</v>
      </c>
      <c r="W78">
        <v>0.60663110553289401</v>
      </c>
    </row>
    <row r="79" spans="1:23" hidden="1" x14ac:dyDescent="0.25">
      <c r="A79" t="s">
        <v>87</v>
      </c>
      <c r="B79">
        <v>4</v>
      </c>
      <c r="C79">
        <v>2025</v>
      </c>
      <c r="D79" t="s">
        <v>100</v>
      </c>
      <c r="E79" t="s">
        <v>101</v>
      </c>
      <c r="F79">
        <v>3820</v>
      </c>
      <c r="G79">
        <v>183630.1</v>
      </c>
      <c r="H79">
        <v>5720</v>
      </c>
      <c r="I79">
        <v>9.8096011299562899E-2</v>
      </c>
      <c r="J79">
        <v>272843.09999999998</v>
      </c>
      <c r="K79">
        <v>9.8918986493070293E-2</v>
      </c>
      <c r="L79">
        <v>4770</v>
      </c>
      <c r="M79">
        <v>0.16360768318143901</v>
      </c>
      <c r="N79">
        <v>47.848343815513601</v>
      </c>
      <c r="O79">
        <v>228236.6</v>
      </c>
      <c r="P79">
        <v>0.16549389119698699</v>
      </c>
      <c r="Q79">
        <v>950</v>
      </c>
      <c r="R79">
        <v>3.2584339417687E-2</v>
      </c>
      <c r="S79">
        <v>46.954210526315798</v>
      </c>
      <c r="T79">
        <v>44606.5</v>
      </c>
      <c r="U79">
        <v>3.2344081789153899E-2</v>
      </c>
      <c r="V79">
        <v>14</v>
      </c>
      <c r="W79">
        <v>7.32140989436251E-2</v>
      </c>
    </row>
    <row r="80" spans="1:23" hidden="1" x14ac:dyDescent="0.25">
      <c r="A80" t="s">
        <v>87</v>
      </c>
      <c r="B80">
        <v>4</v>
      </c>
      <c r="C80">
        <v>2025</v>
      </c>
      <c r="D80" t="s">
        <v>102</v>
      </c>
      <c r="E80" t="s">
        <v>103</v>
      </c>
      <c r="F80">
        <v>137624</v>
      </c>
      <c r="G80">
        <v>6648423.2099999897</v>
      </c>
      <c r="H80">
        <v>1012988</v>
      </c>
      <c r="I80">
        <v>17.372392009496799</v>
      </c>
      <c r="J80">
        <v>47792130.490000002</v>
      </c>
      <c r="K80">
        <v>17.326987966400299</v>
      </c>
      <c r="L80">
        <v>575306</v>
      </c>
      <c r="M80">
        <v>19.732595761086099</v>
      </c>
      <c r="N80">
        <v>47.314432406406297</v>
      </c>
      <c r="O80">
        <v>27220276.850000001</v>
      </c>
      <c r="P80">
        <v>19.7373669926986</v>
      </c>
      <c r="Q80">
        <v>437682</v>
      </c>
      <c r="R80">
        <v>15.0121882579074</v>
      </c>
      <c r="S80">
        <v>47.001826988544202</v>
      </c>
      <c r="T80">
        <v>20571853.640000001</v>
      </c>
      <c r="U80">
        <v>14.916608940102099</v>
      </c>
      <c r="V80">
        <v>3603</v>
      </c>
      <c r="W80">
        <v>18.8421713209915</v>
      </c>
    </row>
    <row r="81" spans="1:23" hidden="1" x14ac:dyDescent="0.25">
      <c r="A81" t="s">
        <v>87</v>
      </c>
      <c r="B81">
        <v>4</v>
      </c>
      <c r="C81">
        <v>2025</v>
      </c>
      <c r="D81" t="s">
        <v>161</v>
      </c>
      <c r="E81" t="s">
        <v>162</v>
      </c>
      <c r="F81">
        <v>2046</v>
      </c>
      <c r="G81">
        <v>97441.600000000006</v>
      </c>
      <c r="H81">
        <v>2046</v>
      </c>
      <c r="I81">
        <v>3.5088188657151402E-2</v>
      </c>
      <c r="J81">
        <v>97441.600000000006</v>
      </c>
      <c r="K81">
        <v>3.5327352292446303E-2</v>
      </c>
      <c r="L81">
        <v>2046</v>
      </c>
      <c r="M81">
        <v>7.0176377314302693E-2</v>
      </c>
      <c r="N81">
        <v>47.625415444770297</v>
      </c>
      <c r="O81">
        <v>97441.600000000006</v>
      </c>
      <c r="P81">
        <v>7.0654704584892702E-2</v>
      </c>
      <c r="Q81">
        <v>0</v>
      </c>
      <c r="R81">
        <v>0</v>
      </c>
      <c r="S81">
        <v>0</v>
      </c>
      <c r="T81">
        <v>0</v>
      </c>
      <c r="U81">
        <v>0</v>
      </c>
      <c r="V81">
        <v>4</v>
      </c>
      <c r="W81">
        <v>2.0918313983892899E-2</v>
      </c>
    </row>
    <row r="82" spans="1:23" hidden="1" x14ac:dyDescent="0.25">
      <c r="A82" t="s">
        <v>87</v>
      </c>
      <c r="B82">
        <v>4</v>
      </c>
      <c r="C82">
        <v>2025</v>
      </c>
      <c r="D82" t="s">
        <v>104</v>
      </c>
      <c r="E82" t="s">
        <v>105</v>
      </c>
      <c r="F82">
        <v>42234</v>
      </c>
      <c r="G82">
        <v>2005835.88</v>
      </c>
      <c r="H82">
        <v>161904</v>
      </c>
      <c r="I82">
        <v>2.7765973100427299</v>
      </c>
      <c r="J82">
        <v>7672359.2000000002</v>
      </c>
      <c r="K82">
        <v>2.7816059708850398</v>
      </c>
      <c r="L82">
        <v>102069</v>
      </c>
      <c r="M82">
        <v>3.5008957263409402</v>
      </c>
      <c r="N82">
        <v>47.410061233087397</v>
      </c>
      <c r="O82">
        <v>4839097.54</v>
      </c>
      <c r="P82">
        <v>3.5088197150516902</v>
      </c>
      <c r="Q82">
        <v>59835</v>
      </c>
      <c r="R82">
        <v>2.0522988937445299</v>
      </c>
      <c r="S82">
        <v>47.351243586529598</v>
      </c>
      <c r="T82">
        <v>2833261.66</v>
      </c>
      <c r="U82">
        <v>2.0543922267183898</v>
      </c>
      <c r="V82">
        <v>1223</v>
      </c>
      <c r="W82">
        <v>6.39577450057525</v>
      </c>
    </row>
    <row r="83" spans="1:23" hidden="1" x14ac:dyDescent="0.25">
      <c r="A83" t="s">
        <v>87</v>
      </c>
      <c r="B83">
        <v>4</v>
      </c>
      <c r="C83">
        <v>2025</v>
      </c>
      <c r="D83" t="s">
        <v>106</v>
      </c>
      <c r="E83" t="s">
        <v>107</v>
      </c>
      <c r="F83">
        <v>39131</v>
      </c>
      <c r="G83">
        <v>1881826.32</v>
      </c>
      <c r="H83">
        <v>190663</v>
      </c>
      <c r="I83">
        <v>3.26980416126024</v>
      </c>
      <c r="J83">
        <v>9059324.3000000007</v>
      </c>
      <c r="K83">
        <v>3.2844487475330801</v>
      </c>
      <c r="L83">
        <v>114897</v>
      </c>
      <c r="M83">
        <v>3.94088720639366</v>
      </c>
      <c r="N83">
        <v>47.612864652688899</v>
      </c>
      <c r="O83">
        <v>5470575.3099999996</v>
      </c>
      <c r="P83">
        <v>3.96670295271689</v>
      </c>
      <c r="Q83">
        <v>75766</v>
      </c>
      <c r="R83">
        <v>2.5987211161268098</v>
      </c>
      <c r="S83">
        <v>47.366219544386702</v>
      </c>
      <c r="T83">
        <v>3588748.99</v>
      </c>
      <c r="U83">
        <v>2.60219454234928</v>
      </c>
      <c r="V83">
        <v>597</v>
      </c>
      <c r="W83">
        <v>3.1220583620960101</v>
      </c>
    </row>
    <row r="84" spans="1:23" hidden="1" x14ac:dyDescent="0.25">
      <c r="A84" t="s">
        <v>87</v>
      </c>
      <c r="B84">
        <v>4</v>
      </c>
      <c r="C84">
        <v>2025</v>
      </c>
      <c r="D84" t="s">
        <v>108</v>
      </c>
      <c r="E84" t="s">
        <v>109</v>
      </c>
      <c r="F84">
        <v>-274</v>
      </c>
      <c r="G84">
        <v>-12705.58</v>
      </c>
      <c r="H84">
        <v>2534</v>
      </c>
      <c r="I84">
        <v>4.3457218991799398E-2</v>
      </c>
      <c r="J84">
        <v>119466.98</v>
      </c>
      <c r="K84">
        <v>4.3312631255794598E-2</v>
      </c>
      <c r="L84">
        <v>1130</v>
      </c>
      <c r="M84">
        <v>3.8758214254722402E-2</v>
      </c>
      <c r="N84">
        <v>47.239557522123903</v>
      </c>
      <c r="O84">
        <v>53380.7</v>
      </c>
      <c r="P84">
        <v>3.8706236238267598E-2</v>
      </c>
      <c r="Q84">
        <v>1404</v>
      </c>
      <c r="R84">
        <v>4.8156223728876298E-2</v>
      </c>
      <c r="S84">
        <v>47.07</v>
      </c>
      <c r="T84">
        <v>66086.28</v>
      </c>
      <c r="U84">
        <v>4.7919026273321702E-2</v>
      </c>
      <c r="V84">
        <v>8</v>
      </c>
      <c r="W84">
        <v>4.1836627967785797E-2</v>
      </c>
    </row>
    <row r="85" spans="1:23" hidden="1" x14ac:dyDescent="0.25">
      <c r="A85" t="s">
        <v>87</v>
      </c>
      <c r="B85">
        <v>4</v>
      </c>
      <c r="C85">
        <v>2025</v>
      </c>
      <c r="D85" t="s">
        <v>110</v>
      </c>
      <c r="E85" t="s">
        <v>111</v>
      </c>
      <c r="F85">
        <v>10451</v>
      </c>
      <c r="G85">
        <v>487593.18</v>
      </c>
      <c r="H85">
        <v>36603</v>
      </c>
      <c r="I85">
        <v>0.627728724055577</v>
      </c>
      <c r="J85">
        <v>1745720.5</v>
      </c>
      <c r="K85">
        <v>0.63290917952543402</v>
      </c>
      <c r="L85">
        <v>23527</v>
      </c>
      <c r="M85">
        <v>0.80695974050518104</v>
      </c>
      <c r="N85">
        <v>47.4627806350151</v>
      </c>
      <c r="O85">
        <v>1116656.8400000001</v>
      </c>
      <c r="P85">
        <v>0.80968558760221299</v>
      </c>
      <c r="Q85">
        <v>13076</v>
      </c>
      <c r="R85">
        <v>0.44849770760597402</v>
      </c>
      <c r="S85">
        <v>48.108263995105503</v>
      </c>
      <c r="T85">
        <v>629063.66</v>
      </c>
      <c r="U85">
        <v>0.45613277144865599</v>
      </c>
      <c r="V85">
        <v>180</v>
      </c>
      <c r="W85">
        <v>0.94132412927518005</v>
      </c>
    </row>
    <row r="86" spans="1:23" hidden="1" x14ac:dyDescent="0.25">
      <c r="A86" t="s">
        <v>87</v>
      </c>
      <c r="B86">
        <v>4</v>
      </c>
      <c r="C86">
        <v>2025</v>
      </c>
      <c r="D86" t="s">
        <v>114</v>
      </c>
      <c r="E86" t="s">
        <v>115</v>
      </c>
      <c r="F86">
        <v>215</v>
      </c>
      <c r="G86">
        <v>10046.950000000001</v>
      </c>
      <c r="H86">
        <v>215</v>
      </c>
      <c r="I86">
        <v>3.6871752498961602E-3</v>
      </c>
      <c r="J86">
        <v>10046.950000000001</v>
      </c>
      <c r="K86">
        <v>3.64251143366482E-3</v>
      </c>
      <c r="L86">
        <v>215</v>
      </c>
      <c r="M86">
        <v>7.3743504997923204E-3</v>
      </c>
      <c r="N86">
        <v>46.73</v>
      </c>
      <c r="O86">
        <v>10046.950000000001</v>
      </c>
      <c r="P86">
        <v>7.2850228673296399E-3</v>
      </c>
      <c r="Q86">
        <v>0</v>
      </c>
      <c r="R86">
        <v>0</v>
      </c>
      <c r="S86">
        <v>0</v>
      </c>
      <c r="T86">
        <v>0</v>
      </c>
      <c r="U86">
        <v>0</v>
      </c>
      <c r="V86">
        <v>1</v>
      </c>
      <c r="W86">
        <v>5.2295784959732203E-3</v>
      </c>
    </row>
    <row r="87" spans="1:23" hidden="1" x14ac:dyDescent="0.25">
      <c r="A87" t="s">
        <v>87</v>
      </c>
      <c r="B87">
        <v>4</v>
      </c>
      <c r="C87">
        <v>2025</v>
      </c>
      <c r="D87" t="s">
        <v>163</v>
      </c>
      <c r="E87" t="s">
        <v>164</v>
      </c>
      <c r="F87">
        <v>1565</v>
      </c>
      <c r="G87">
        <v>74903.75</v>
      </c>
      <c r="H87">
        <v>1565</v>
      </c>
      <c r="I87">
        <v>2.6839205888779E-2</v>
      </c>
      <c r="J87">
        <v>74903.75</v>
      </c>
      <c r="K87">
        <v>2.7156277855405999E-2</v>
      </c>
      <c r="L87">
        <v>1565</v>
      </c>
      <c r="M87">
        <v>5.3678411777557999E-2</v>
      </c>
      <c r="N87">
        <v>47.861821086261997</v>
      </c>
      <c r="O87">
        <v>74903.75</v>
      </c>
      <c r="P87">
        <v>5.4312555710811901E-2</v>
      </c>
      <c r="Q87">
        <v>0</v>
      </c>
      <c r="R87">
        <v>0</v>
      </c>
      <c r="S87">
        <v>0</v>
      </c>
      <c r="T87">
        <v>0</v>
      </c>
      <c r="U87">
        <v>0</v>
      </c>
      <c r="V87">
        <v>5</v>
      </c>
      <c r="W87">
        <v>2.6147892479866101E-2</v>
      </c>
    </row>
    <row r="88" spans="1:23" hidden="1" x14ac:dyDescent="0.25">
      <c r="A88" t="s">
        <v>87</v>
      </c>
      <c r="B88">
        <v>4</v>
      </c>
      <c r="C88">
        <v>2025</v>
      </c>
      <c r="D88" t="s">
        <v>116</v>
      </c>
      <c r="E88" t="s">
        <v>117</v>
      </c>
      <c r="F88">
        <v>52</v>
      </c>
      <c r="G88">
        <v>-2523.04000000004</v>
      </c>
      <c r="H88">
        <v>15536</v>
      </c>
      <c r="I88">
        <v>0.26643699852272901</v>
      </c>
      <c r="J88">
        <v>748626.64</v>
      </c>
      <c r="K88">
        <v>0.271413821681811</v>
      </c>
      <c r="L88">
        <v>7794</v>
      </c>
      <c r="M88">
        <v>0.26732878044363401</v>
      </c>
      <c r="N88">
        <v>47.8639722863741</v>
      </c>
      <c r="O88">
        <v>373051.8</v>
      </c>
      <c r="P88">
        <v>0.27049909611359502</v>
      </c>
      <c r="Q88">
        <v>7742</v>
      </c>
      <c r="R88">
        <v>0.26554521660182401</v>
      </c>
      <c r="S88">
        <v>48.511345905450803</v>
      </c>
      <c r="T88">
        <v>375574.84</v>
      </c>
      <c r="U88">
        <v>0.27232854725002797</v>
      </c>
      <c r="V88">
        <v>86</v>
      </c>
      <c r="W88">
        <v>0.44974375065369698</v>
      </c>
    </row>
    <row r="89" spans="1:23" hidden="1" x14ac:dyDescent="0.25">
      <c r="A89" t="s">
        <v>87</v>
      </c>
      <c r="B89">
        <v>4</v>
      </c>
      <c r="C89">
        <v>2025</v>
      </c>
      <c r="D89" t="s">
        <v>118</v>
      </c>
      <c r="E89" t="s">
        <v>119</v>
      </c>
      <c r="F89">
        <v>666</v>
      </c>
      <c r="G89">
        <v>34370.809999999903</v>
      </c>
      <c r="H89">
        <v>21940</v>
      </c>
      <c r="I89">
        <v>0.37626337201265903</v>
      </c>
      <c r="J89">
        <v>1040068.55</v>
      </c>
      <c r="K89">
        <v>0.37707578769379602</v>
      </c>
      <c r="L89">
        <v>11303</v>
      </c>
      <c r="M89">
        <v>0.38768504046117502</v>
      </c>
      <c r="N89">
        <v>47.528946297443099</v>
      </c>
      <c r="O89">
        <v>537219.68000000005</v>
      </c>
      <c r="P89">
        <v>0.38953688966099198</v>
      </c>
      <c r="Q89">
        <v>10637</v>
      </c>
      <c r="R89">
        <v>0.36484170356414403</v>
      </c>
      <c r="S89">
        <v>47.273561154460801</v>
      </c>
      <c r="T89">
        <v>502848.87</v>
      </c>
      <c r="U89">
        <v>0.3646146857266</v>
      </c>
      <c r="V89">
        <v>72</v>
      </c>
      <c r="W89">
        <v>0.37652965171007202</v>
      </c>
    </row>
    <row r="90" spans="1:23" hidden="1" x14ac:dyDescent="0.25">
      <c r="A90" t="s">
        <v>87</v>
      </c>
      <c r="B90">
        <v>4</v>
      </c>
      <c r="C90">
        <v>2025</v>
      </c>
      <c r="D90" t="s">
        <v>120</v>
      </c>
      <c r="E90" t="s">
        <v>121</v>
      </c>
      <c r="F90">
        <v>-876</v>
      </c>
      <c r="G90">
        <v>-41232.480000000003</v>
      </c>
      <c r="H90">
        <v>1124</v>
      </c>
      <c r="I90">
        <v>1.9276209213410601E-2</v>
      </c>
      <c r="J90">
        <v>53007.519999999997</v>
      </c>
      <c r="K90">
        <v>1.92178220922983E-2</v>
      </c>
      <c r="L90">
        <v>124</v>
      </c>
      <c r="M90">
        <v>4.25311377662441E-3</v>
      </c>
      <c r="N90">
        <v>47.48</v>
      </c>
      <c r="O90">
        <v>5887.52</v>
      </c>
      <c r="P90">
        <v>4.2690286934702198E-3</v>
      </c>
      <c r="Q90">
        <v>1000</v>
      </c>
      <c r="R90">
        <v>3.4299304650196802E-2</v>
      </c>
      <c r="S90">
        <v>47.12</v>
      </c>
      <c r="T90">
        <v>47120</v>
      </c>
      <c r="U90">
        <v>3.4166615491126401E-2</v>
      </c>
      <c r="V90">
        <v>3</v>
      </c>
      <c r="W90">
        <v>1.56887354879197E-2</v>
      </c>
    </row>
    <row r="91" spans="1:23" hidden="1" x14ac:dyDescent="0.25">
      <c r="A91" t="s">
        <v>87</v>
      </c>
      <c r="B91">
        <v>4</v>
      </c>
      <c r="C91">
        <v>2025</v>
      </c>
      <c r="D91" t="s">
        <v>122</v>
      </c>
      <c r="E91" t="s">
        <v>123</v>
      </c>
      <c r="F91">
        <v>-5898</v>
      </c>
      <c r="G91">
        <v>-289308.78999999998</v>
      </c>
      <c r="H91">
        <v>35702</v>
      </c>
      <c r="I91">
        <v>0.61227688731066399</v>
      </c>
      <c r="J91">
        <v>1651029.65</v>
      </c>
      <c r="K91">
        <v>0.59857910882851195</v>
      </c>
      <c r="L91">
        <v>14902</v>
      </c>
      <c r="M91">
        <v>0.51112823789723305</v>
      </c>
      <c r="N91">
        <v>45.689198094215499</v>
      </c>
      <c r="O91">
        <v>680860.43</v>
      </c>
      <c r="P91">
        <v>0.49369050328805097</v>
      </c>
      <c r="Q91">
        <v>20800</v>
      </c>
      <c r="R91">
        <v>0.71342553672409403</v>
      </c>
      <c r="S91">
        <v>46.642750961538397</v>
      </c>
      <c r="T91">
        <v>970169.22</v>
      </c>
      <c r="U91">
        <v>0.70346771436897304</v>
      </c>
      <c r="V91">
        <v>113</v>
      </c>
      <c r="W91">
        <v>0.59094237004497396</v>
      </c>
    </row>
    <row r="92" spans="1:23" hidden="1" x14ac:dyDescent="0.25">
      <c r="A92" t="s">
        <v>87</v>
      </c>
      <c r="B92">
        <v>4</v>
      </c>
      <c r="C92">
        <v>2025</v>
      </c>
      <c r="D92" t="s">
        <v>124</v>
      </c>
      <c r="E92" t="s">
        <v>125</v>
      </c>
      <c r="F92">
        <v>3135</v>
      </c>
      <c r="G92">
        <v>145937.59</v>
      </c>
      <c r="H92">
        <v>5729</v>
      </c>
      <c r="I92">
        <v>9.82503581704888E-2</v>
      </c>
      <c r="J92">
        <v>267262.49</v>
      </c>
      <c r="K92">
        <v>9.6895742052536205E-2</v>
      </c>
      <c r="L92">
        <v>4432</v>
      </c>
      <c r="M92">
        <v>0.15201451820967199</v>
      </c>
      <c r="N92">
        <v>46.615532490974701</v>
      </c>
      <c r="O92">
        <v>206600.04</v>
      </c>
      <c r="P92">
        <v>0.14980526585592799</v>
      </c>
      <c r="Q92">
        <v>1297</v>
      </c>
      <c r="R92">
        <v>4.4486198131305298E-2</v>
      </c>
      <c r="S92">
        <v>46.7713569776407</v>
      </c>
      <c r="T92">
        <v>60662.45</v>
      </c>
      <c r="U92">
        <v>4.3986218249144303E-2</v>
      </c>
      <c r="V92">
        <v>17</v>
      </c>
      <c r="W92">
        <v>8.89028344315448E-2</v>
      </c>
    </row>
    <row r="93" spans="1:23" hidden="1" x14ac:dyDescent="0.25">
      <c r="A93" t="s">
        <v>87</v>
      </c>
      <c r="B93">
        <v>4</v>
      </c>
      <c r="C93">
        <v>2025</v>
      </c>
      <c r="D93" t="s">
        <v>126</v>
      </c>
      <c r="E93" t="s">
        <v>127</v>
      </c>
      <c r="F93">
        <v>5014</v>
      </c>
      <c r="G93">
        <v>237282.85</v>
      </c>
      <c r="H93">
        <v>7538</v>
      </c>
      <c r="I93">
        <v>0.12927407922659201</v>
      </c>
      <c r="J93">
        <v>356445.31</v>
      </c>
      <c r="K93">
        <v>0.12922888211359701</v>
      </c>
      <c r="L93">
        <v>6276</v>
      </c>
      <c r="M93">
        <v>0.21526243598463499</v>
      </c>
      <c r="N93">
        <v>47.301478648820897</v>
      </c>
      <c r="O93">
        <v>296864.08</v>
      </c>
      <c r="P93">
        <v>0.21525553638554701</v>
      </c>
      <c r="Q93">
        <v>1262</v>
      </c>
      <c r="R93">
        <v>4.32857224685484E-2</v>
      </c>
      <c r="S93">
        <v>47.211751188589503</v>
      </c>
      <c r="T93">
        <v>59581.23</v>
      </c>
      <c r="U93">
        <v>4.3202227841646103E-2</v>
      </c>
      <c r="V93">
        <v>76</v>
      </c>
      <c r="W93">
        <v>0.39744796569396501</v>
      </c>
    </row>
    <row r="94" spans="1:23" hidden="1" x14ac:dyDescent="0.25">
      <c r="A94" t="s">
        <v>87</v>
      </c>
      <c r="B94">
        <v>4</v>
      </c>
      <c r="C94">
        <v>2025</v>
      </c>
      <c r="D94" t="s">
        <v>128</v>
      </c>
      <c r="E94" t="s">
        <v>129</v>
      </c>
      <c r="F94">
        <v>-354</v>
      </c>
      <c r="G94">
        <v>-18305.240000000002</v>
      </c>
      <c r="H94">
        <v>5654</v>
      </c>
      <c r="I94">
        <v>9.6964134246106407E-2</v>
      </c>
      <c r="J94">
        <v>268490.23999999999</v>
      </c>
      <c r="K94">
        <v>9.7340861557727504E-2</v>
      </c>
      <c r="L94">
        <v>2650</v>
      </c>
      <c r="M94">
        <v>9.0893157323021598E-2</v>
      </c>
      <c r="N94">
        <v>47.204716981132101</v>
      </c>
      <c r="O94">
        <v>125092.5</v>
      </c>
      <c r="P94">
        <v>9.0704315541675101E-2</v>
      </c>
      <c r="Q94">
        <v>3004</v>
      </c>
      <c r="R94">
        <v>0.10303511116919099</v>
      </c>
      <c r="S94">
        <v>47.735599201065199</v>
      </c>
      <c r="T94">
        <v>143397.74</v>
      </c>
      <c r="U94">
        <v>0.10397740757378</v>
      </c>
      <c r="V94">
        <v>13</v>
      </c>
      <c r="W94">
        <v>6.7984520447651894E-2</v>
      </c>
    </row>
    <row r="95" spans="1:23" hidden="1" x14ac:dyDescent="0.25">
      <c r="A95" t="s">
        <v>87</v>
      </c>
      <c r="B95">
        <v>4</v>
      </c>
      <c r="C95">
        <v>2025</v>
      </c>
      <c r="D95" t="s">
        <v>130</v>
      </c>
      <c r="E95" t="s">
        <v>131</v>
      </c>
      <c r="F95">
        <v>55257</v>
      </c>
      <c r="G95">
        <v>2613025.4</v>
      </c>
      <c r="H95">
        <v>165249</v>
      </c>
      <c r="I95">
        <v>2.8339628970701898</v>
      </c>
      <c r="J95">
        <v>7808241.1399999997</v>
      </c>
      <c r="K95">
        <v>2.8308698290786798</v>
      </c>
      <c r="L95">
        <v>110253</v>
      </c>
      <c r="M95">
        <v>3.7816012355981501</v>
      </c>
      <c r="N95">
        <v>47.260693767969997</v>
      </c>
      <c r="O95">
        <v>5210633.2699999996</v>
      </c>
      <c r="P95">
        <v>3.7782195119134299</v>
      </c>
      <c r="Q95">
        <v>54996</v>
      </c>
      <c r="R95">
        <v>1.8863245585422199</v>
      </c>
      <c r="S95">
        <v>47.232669103207499</v>
      </c>
      <c r="T95">
        <v>2597607.87</v>
      </c>
      <c r="U95">
        <v>1.8835201462439299</v>
      </c>
      <c r="V95">
        <v>537</v>
      </c>
      <c r="W95">
        <v>2.8082836523376198</v>
      </c>
    </row>
    <row r="96" spans="1:23" hidden="1" x14ac:dyDescent="0.25">
      <c r="A96" t="s">
        <v>87</v>
      </c>
      <c r="B96">
        <v>4</v>
      </c>
      <c r="C96">
        <v>2025</v>
      </c>
      <c r="D96" t="s">
        <v>132</v>
      </c>
      <c r="E96" t="s">
        <v>133</v>
      </c>
      <c r="F96">
        <v>8499</v>
      </c>
      <c r="G96">
        <v>403828.63</v>
      </c>
      <c r="H96">
        <v>31377</v>
      </c>
      <c r="I96">
        <v>0.53810464100461297</v>
      </c>
      <c r="J96">
        <v>1472147.23</v>
      </c>
      <c r="K96">
        <v>0.53372547064661302</v>
      </c>
      <c r="L96">
        <v>19938</v>
      </c>
      <c r="M96">
        <v>0.683859536115624</v>
      </c>
      <c r="N96">
        <v>47.045236733875001</v>
      </c>
      <c r="O96">
        <v>937987.93</v>
      </c>
      <c r="P96">
        <v>0.68013312690211303</v>
      </c>
      <c r="Q96">
        <v>11439</v>
      </c>
      <c r="R96">
        <v>0.392349745893601</v>
      </c>
      <c r="S96">
        <v>46.696328350380298</v>
      </c>
      <c r="T96">
        <v>534159.30000000005</v>
      </c>
      <c r="U96">
        <v>0.38731781439111301</v>
      </c>
      <c r="V96">
        <v>176</v>
      </c>
      <c r="W96">
        <v>0.92040581529128696</v>
      </c>
    </row>
    <row r="97" spans="1:23" hidden="1" x14ac:dyDescent="0.25">
      <c r="A97" t="s">
        <v>87</v>
      </c>
      <c r="B97">
        <v>4</v>
      </c>
      <c r="C97">
        <v>2025</v>
      </c>
      <c r="D97" t="s">
        <v>134</v>
      </c>
      <c r="E97" t="s">
        <v>135</v>
      </c>
      <c r="F97">
        <v>-1260</v>
      </c>
      <c r="G97">
        <v>-63064.13</v>
      </c>
      <c r="H97">
        <v>21840</v>
      </c>
      <c r="I97">
        <v>0.374548406780149</v>
      </c>
      <c r="J97">
        <v>1035446.11</v>
      </c>
      <c r="K97">
        <v>0.37539992680552398</v>
      </c>
      <c r="L97">
        <v>10290</v>
      </c>
      <c r="M97">
        <v>0.35293984485052499</v>
      </c>
      <c r="N97">
        <v>47.248881438289601</v>
      </c>
      <c r="O97">
        <v>486190.99</v>
      </c>
      <c r="P97">
        <v>0.352536091056453</v>
      </c>
      <c r="Q97">
        <v>11550</v>
      </c>
      <c r="R97">
        <v>0.39615696870977302</v>
      </c>
      <c r="S97">
        <v>47.5545558441558</v>
      </c>
      <c r="T97">
        <v>549255.12</v>
      </c>
      <c r="U97">
        <v>0.398263762554594</v>
      </c>
      <c r="V97">
        <v>62</v>
      </c>
      <c r="W97">
        <v>0.32423386675033999</v>
      </c>
    </row>
    <row r="98" spans="1:23" hidden="1" x14ac:dyDescent="0.25">
      <c r="A98" t="s">
        <v>87</v>
      </c>
      <c r="B98">
        <v>4</v>
      </c>
      <c r="C98">
        <v>2025</v>
      </c>
      <c r="D98" t="s">
        <v>136</v>
      </c>
      <c r="E98" t="s">
        <v>137</v>
      </c>
      <c r="F98">
        <v>-13237</v>
      </c>
      <c r="G98">
        <v>-613513.91</v>
      </c>
      <c r="H98">
        <v>48069</v>
      </c>
      <c r="I98">
        <v>0.82436663761515605</v>
      </c>
      <c r="J98">
        <v>2253341.31</v>
      </c>
      <c r="K98">
        <v>0.81694658434890699</v>
      </c>
      <c r="L98">
        <v>17416</v>
      </c>
      <c r="M98">
        <v>0.59735668978782797</v>
      </c>
      <c r="N98">
        <v>47.078186724850703</v>
      </c>
      <c r="O98">
        <v>819913.7</v>
      </c>
      <c r="P98">
        <v>0.59451774456296202</v>
      </c>
      <c r="Q98">
        <v>30653</v>
      </c>
      <c r="R98">
        <v>1.0513765854424799</v>
      </c>
      <c r="S98">
        <v>46.763044726454197</v>
      </c>
      <c r="T98">
        <v>1433427.61</v>
      </c>
      <c r="U98">
        <v>1.0393754241348501</v>
      </c>
      <c r="V98">
        <v>93</v>
      </c>
      <c r="W98">
        <v>0.48635080012551002</v>
      </c>
    </row>
    <row r="99" spans="1:23" hidden="1" x14ac:dyDescent="0.25">
      <c r="A99" t="s">
        <v>87</v>
      </c>
      <c r="B99">
        <v>4</v>
      </c>
      <c r="C99">
        <v>2025</v>
      </c>
      <c r="D99" t="s">
        <v>138</v>
      </c>
      <c r="E99" t="s">
        <v>139</v>
      </c>
      <c r="F99">
        <v>18852</v>
      </c>
      <c r="G99">
        <v>895368.76</v>
      </c>
      <c r="H99">
        <v>84040</v>
      </c>
      <c r="I99">
        <v>1.44125678140127</v>
      </c>
      <c r="J99">
        <v>3971573.12</v>
      </c>
      <c r="K99">
        <v>1.4398897674653399</v>
      </c>
      <c r="L99">
        <v>51446</v>
      </c>
      <c r="M99">
        <v>1.7645620270340301</v>
      </c>
      <c r="N99">
        <v>47.301460560587799</v>
      </c>
      <c r="O99">
        <v>2433470.94</v>
      </c>
      <c r="P99">
        <v>1.76450479447814</v>
      </c>
      <c r="Q99">
        <v>32594</v>
      </c>
      <c r="R99">
        <v>1.1179515357685199</v>
      </c>
      <c r="S99">
        <v>47.189733693317798</v>
      </c>
      <c r="T99">
        <v>1538102.18</v>
      </c>
      <c r="U99">
        <v>1.1152747404525301</v>
      </c>
      <c r="V99">
        <v>135</v>
      </c>
      <c r="W99">
        <v>0.70599309695638501</v>
      </c>
    </row>
    <row r="100" spans="1:23" hidden="1" x14ac:dyDescent="0.25">
      <c r="A100" t="s">
        <v>87</v>
      </c>
      <c r="B100">
        <v>4</v>
      </c>
      <c r="C100">
        <v>2025</v>
      </c>
      <c r="D100" t="s">
        <v>140</v>
      </c>
      <c r="E100" t="s">
        <v>141</v>
      </c>
      <c r="F100">
        <v>217</v>
      </c>
      <c r="G100">
        <v>10453.84</v>
      </c>
      <c r="H100">
        <v>1483</v>
      </c>
      <c r="I100">
        <v>2.5432934398120902E-2</v>
      </c>
      <c r="J100">
        <v>68715.16</v>
      </c>
      <c r="K100">
        <v>2.4912610888489301E-2</v>
      </c>
      <c r="L100">
        <v>850</v>
      </c>
      <c r="M100">
        <v>2.9154408952667299E-2</v>
      </c>
      <c r="N100">
        <v>46.57</v>
      </c>
      <c r="O100">
        <v>39584.5</v>
      </c>
      <c r="P100">
        <v>2.8702639874967999E-2</v>
      </c>
      <c r="Q100">
        <v>633</v>
      </c>
      <c r="R100">
        <v>2.1711459843574601E-2</v>
      </c>
      <c r="S100">
        <v>46.02</v>
      </c>
      <c r="T100">
        <v>29130.66</v>
      </c>
      <c r="U100">
        <v>2.1122581902010499E-2</v>
      </c>
      <c r="V100">
        <v>3</v>
      </c>
      <c r="W100">
        <v>1.56887354879197E-2</v>
      </c>
    </row>
    <row r="101" spans="1:23" hidden="1" x14ac:dyDescent="0.25">
      <c r="A101" t="s">
        <v>87</v>
      </c>
      <c r="B101">
        <v>4</v>
      </c>
      <c r="C101">
        <v>2025</v>
      </c>
      <c r="D101" t="s">
        <v>142</v>
      </c>
      <c r="E101" t="s">
        <v>143</v>
      </c>
      <c r="F101">
        <v>97563</v>
      </c>
      <c r="G101">
        <v>4672683.34</v>
      </c>
      <c r="H101">
        <v>223941</v>
      </c>
      <c r="I101">
        <v>3.8405102913348599</v>
      </c>
      <c r="J101">
        <v>10653248.16</v>
      </c>
      <c r="K101">
        <v>3.86232421067773</v>
      </c>
      <c r="L101">
        <v>160752</v>
      </c>
      <c r="M101">
        <v>5.51368182112844</v>
      </c>
      <c r="N101">
        <v>47.6694893376132</v>
      </c>
      <c r="O101">
        <v>7662965.75</v>
      </c>
      <c r="P101">
        <v>5.5564007704142799</v>
      </c>
      <c r="Q101">
        <v>63189</v>
      </c>
      <c r="R101">
        <v>2.16733876154129</v>
      </c>
      <c r="S101">
        <v>47.322831663738903</v>
      </c>
      <c r="T101">
        <v>2990282.41</v>
      </c>
      <c r="U101">
        <v>2.1682476509411899</v>
      </c>
      <c r="V101">
        <v>839</v>
      </c>
      <c r="W101">
        <v>4.3876163581215399</v>
      </c>
    </row>
    <row r="102" spans="1:23" hidden="1" x14ac:dyDescent="0.25">
      <c r="A102" t="s">
        <v>87</v>
      </c>
      <c r="B102">
        <v>4</v>
      </c>
      <c r="C102">
        <v>2025</v>
      </c>
      <c r="D102" t="s">
        <v>144</v>
      </c>
      <c r="E102" t="s">
        <v>145</v>
      </c>
      <c r="F102">
        <v>-113497</v>
      </c>
      <c r="G102">
        <v>-5457344.8099999996</v>
      </c>
      <c r="H102">
        <v>439229</v>
      </c>
      <c r="I102">
        <v>7.5326246411006501</v>
      </c>
      <c r="J102">
        <v>20799207.390000001</v>
      </c>
      <c r="K102">
        <v>7.5407313392861299</v>
      </c>
      <c r="L102">
        <v>162866</v>
      </c>
      <c r="M102">
        <v>5.5861905511589596</v>
      </c>
      <c r="N102">
        <v>47.099648115628803</v>
      </c>
      <c r="O102">
        <v>7670931.29</v>
      </c>
      <c r="P102">
        <v>5.56217656715366</v>
      </c>
      <c r="Q102">
        <v>276363</v>
      </c>
      <c r="R102">
        <v>9.4790587310423504</v>
      </c>
      <c r="S102">
        <v>47.503740008611899</v>
      </c>
      <c r="T102">
        <v>13128276.1</v>
      </c>
      <c r="U102">
        <v>9.5192861114185998</v>
      </c>
      <c r="V102">
        <v>867</v>
      </c>
      <c r="W102">
        <v>4.5340445560087899</v>
      </c>
    </row>
    <row r="103" spans="1:23" hidden="1" x14ac:dyDescent="0.25">
      <c r="A103" t="s">
        <v>87</v>
      </c>
      <c r="B103">
        <v>4</v>
      </c>
      <c r="C103">
        <v>2025</v>
      </c>
      <c r="D103" t="s">
        <v>165</v>
      </c>
      <c r="E103" t="s">
        <v>166</v>
      </c>
      <c r="F103">
        <v>-1850</v>
      </c>
      <c r="G103">
        <v>-86635.5</v>
      </c>
      <c r="H103">
        <v>1850</v>
      </c>
      <c r="I103">
        <v>3.1726856801432099E-2</v>
      </c>
      <c r="J103">
        <v>86635.5</v>
      </c>
      <c r="K103">
        <v>3.1409611803708402E-2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1850</v>
      </c>
      <c r="R103">
        <v>6.3453713602864101E-2</v>
      </c>
      <c r="S103">
        <v>46.83</v>
      </c>
      <c r="T103">
        <v>86635.5</v>
      </c>
      <c r="U103">
        <v>6.2819223607416805E-2</v>
      </c>
      <c r="V103">
        <v>3</v>
      </c>
      <c r="W103">
        <v>1.56887354879197E-2</v>
      </c>
    </row>
    <row r="104" spans="1:23" hidden="1" x14ac:dyDescent="0.25">
      <c r="A104" t="s">
        <v>87</v>
      </c>
      <c r="B104">
        <v>4</v>
      </c>
      <c r="C104">
        <v>2025</v>
      </c>
      <c r="D104" t="s">
        <v>146</v>
      </c>
      <c r="E104" t="s">
        <v>147</v>
      </c>
      <c r="F104">
        <v>39378</v>
      </c>
      <c r="G104">
        <v>1859628.5</v>
      </c>
      <c r="H104">
        <v>58670</v>
      </c>
      <c r="I104">
        <v>1.0061701019135201</v>
      </c>
      <c r="J104">
        <v>2770599.22</v>
      </c>
      <c r="K104">
        <v>1.0044779099082599</v>
      </c>
      <c r="L104">
        <v>49024</v>
      </c>
      <c r="M104">
        <v>1.68148911117125</v>
      </c>
      <c r="N104">
        <v>47.224091465404697</v>
      </c>
      <c r="O104">
        <v>2315113.86</v>
      </c>
      <c r="P104">
        <v>1.67868431818331</v>
      </c>
      <c r="Q104">
        <v>9646</v>
      </c>
      <c r="R104">
        <v>0.33085109265579898</v>
      </c>
      <c r="S104">
        <v>47.220128550694596</v>
      </c>
      <c r="T104">
        <v>455485.36</v>
      </c>
      <c r="U104">
        <v>0.330271501633219</v>
      </c>
      <c r="V104">
        <v>235</v>
      </c>
      <c r="W104">
        <v>1.2289509465537101</v>
      </c>
    </row>
    <row r="105" spans="1:23" x14ac:dyDescent="0.25">
      <c r="A105" t="s">
        <v>87</v>
      </c>
      <c r="B105">
        <v>4</v>
      </c>
      <c r="C105">
        <v>2025</v>
      </c>
      <c r="D105" t="s">
        <v>148</v>
      </c>
      <c r="E105" t="s">
        <v>148</v>
      </c>
      <c r="F105">
        <v>0</v>
      </c>
      <c r="G105" s="4">
        <v>4.9985828809440103E-9</v>
      </c>
      <c r="H105">
        <v>5831022</v>
      </c>
      <c r="I105">
        <v>0</v>
      </c>
      <c r="J105">
        <v>275824803.38</v>
      </c>
      <c r="K105">
        <v>0</v>
      </c>
      <c r="L105">
        <v>2915511</v>
      </c>
      <c r="M105">
        <v>100</v>
      </c>
      <c r="N105">
        <v>47.248881438289601</v>
      </c>
      <c r="O105">
        <v>137912401.69</v>
      </c>
      <c r="P105">
        <v>100</v>
      </c>
      <c r="Q105">
        <v>2915511</v>
      </c>
      <c r="R105">
        <v>100</v>
      </c>
      <c r="S105">
        <v>47.12</v>
      </c>
      <c r="T105">
        <v>137912401.69</v>
      </c>
      <c r="U105">
        <v>100</v>
      </c>
      <c r="V105">
        <v>19122</v>
      </c>
      <c r="W105">
        <v>100</v>
      </c>
    </row>
    <row r="106" spans="1:23" hidden="1" x14ac:dyDescent="0.25">
      <c r="A106" t="s">
        <v>87</v>
      </c>
      <c r="B106">
        <v>4</v>
      </c>
      <c r="C106">
        <v>2025</v>
      </c>
      <c r="D106" t="s">
        <v>149</v>
      </c>
      <c r="E106" t="s">
        <v>150</v>
      </c>
      <c r="F106">
        <v>230187</v>
      </c>
      <c r="G106">
        <v>11057784.85</v>
      </c>
      <c r="H106">
        <v>567167</v>
      </c>
      <c r="I106">
        <v>9.7267168602690894</v>
      </c>
      <c r="J106">
        <v>26905739.91</v>
      </c>
      <c r="K106">
        <v>9.7546484508618807</v>
      </c>
      <c r="L106">
        <v>398677</v>
      </c>
      <c r="M106">
        <v>13.6743438800265</v>
      </c>
      <c r="N106">
        <v>47.611882250543701</v>
      </c>
      <c r="O106">
        <v>18981762.379999999</v>
      </c>
      <c r="P106">
        <v>13.763637024223</v>
      </c>
      <c r="Q106">
        <v>168490</v>
      </c>
      <c r="R106">
        <v>5.7790898405116602</v>
      </c>
      <c r="S106">
        <v>47.029363938512702</v>
      </c>
      <c r="T106">
        <v>7923977.5300000003</v>
      </c>
      <c r="U106">
        <v>5.7456598775007501</v>
      </c>
      <c r="V106">
        <v>1626</v>
      </c>
      <c r="W106">
        <v>8.5032946344524607</v>
      </c>
    </row>
    <row r="107" spans="1:23" hidden="1" x14ac:dyDescent="0.25">
      <c r="A107" t="s">
        <v>87</v>
      </c>
      <c r="B107">
        <v>4</v>
      </c>
      <c r="C107">
        <v>2025</v>
      </c>
      <c r="D107" t="s">
        <v>151</v>
      </c>
      <c r="E107" t="s">
        <v>152</v>
      </c>
      <c r="F107">
        <v>-680</v>
      </c>
      <c r="G107">
        <v>-72654.409999996395</v>
      </c>
      <c r="H107">
        <v>1262600</v>
      </c>
      <c r="I107">
        <v>21.653151025669299</v>
      </c>
      <c r="J107">
        <v>59657091.75</v>
      </c>
      <c r="K107">
        <v>21.628617520597398</v>
      </c>
      <c r="L107">
        <v>630960</v>
      </c>
      <c r="M107">
        <v>21.6414892620882</v>
      </c>
      <c r="N107">
        <v>47.217285834284297</v>
      </c>
      <c r="O107">
        <v>29792218.670000002</v>
      </c>
      <c r="P107">
        <v>21.602276738655501</v>
      </c>
      <c r="Q107">
        <v>631640</v>
      </c>
      <c r="R107">
        <v>21.664812789250298</v>
      </c>
      <c r="S107">
        <v>47.281478500411602</v>
      </c>
      <c r="T107">
        <v>29864873.079999998</v>
      </c>
      <c r="U107">
        <v>21.654958302539299</v>
      </c>
      <c r="V107">
        <v>4036</v>
      </c>
      <c r="W107">
        <v>21.106578809747901</v>
      </c>
    </row>
    <row r="108" spans="1:23" hidden="1" x14ac:dyDescent="0.25">
      <c r="A108" t="s">
        <v>87</v>
      </c>
      <c r="B108">
        <v>4</v>
      </c>
      <c r="C108">
        <v>2025</v>
      </c>
      <c r="D108" t="s">
        <v>153</v>
      </c>
      <c r="E108" t="s">
        <v>154</v>
      </c>
      <c r="F108">
        <v>652</v>
      </c>
      <c r="G108">
        <v>30270.29</v>
      </c>
      <c r="H108">
        <v>3642</v>
      </c>
      <c r="I108">
        <v>6.2459033768008397E-2</v>
      </c>
      <c r="J108">
        <v>171984.79</v>
      </c>
      <c r="K108">
        <v>6.2352909489093E-2</v>
      </c>
      <c r="L108">
        <v>2147</v>
      </c>
      <c r="M108">
        <v>7.3640607083972603E-2</v>
      </c>
      <c r="N108">
        <v>47.101788542151901</v>
      </c>
      <c r="O108">
        <v>101127.54</v>
      </c>
      <c r="P108">
        <v>7.3327372129531096E-2</v>
      </c>
      <c r="Q108">
        <v>1495</v>
      </c>
      <c r="R108">
        <v>5.1277460452044302E-2</v>
      </c>
      <c r="S108">
        <v>47.396153846153801</v>
      </c>
      <c r="T108">
        <v>70857.25</v>
      </c>
      <c r="U108">
        <v>5.13784468486548E-2</v>
      </c>
      <c r="V108">
        <v>92</v>
      </c>
      <c r="W108">
        <v>0.48112122162953702</v>
      </c>
    </row>
    <row r="109" spans="1:23" hidden="1" x14ac:dyDescent="0.25">
      <c r="A109" t="s">
        <v>87</v>
      </c>
      <c r="B109">
        <v>4</v>
      </c>
      <c r="C109">
        <v>2025</v>
      </c>
      <c r="D109" t="s">
        <v>155</v>
      </c>
      <c r="E109" t="s">
        <v>156</v>
      </c>
      <c r="F109">
        <v>845</v>
      </c>
      <c r="G109">
        <v>39880.449999999997</v>
      </c>
      <c r="H109">
        <v>845</v>
      </c>
      <c r="I109">
        <v>1.4491456214708201E-2</v>
      </c>
      <c r="J109">
        <v>39880.449999999997</v>
      </c>
      <c r="K109">
        <v>1.44586163069089E-2</v>
      </c>
      <c r="L109">
        <v>845</v>
      </c>
      <c r="M109">
        <v>2.8982912429416301E-2</v>
      </c>
      <c r="N109">
        <v>47.195798816568001</v>
      </c>
      <c r="O109">
        <v>39880.449999999997</v>
      </c>
      <c r="P109">
        <v>2.8917232613817699E-2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5</v>
      </c>
      <c r="W109">
        <v>2.6147892479866101E-2</v>
      </c>
    </row>
    <row r="110" spans="1:23" hidden="1" x14ac:dyDescent="0.25">
      <c r="A110" t="s">
        <v>87</v>
      </c>
      <c r="B110">
        <v>5</v>
      </c>
      <c r="C110">
        <v>2025</v>
      </c>
      <c r="D110" t="s">
        <v>88</v>
      </c>
      <c r="E110" t="s">
        <v>89</v>
      </c>
      <c r="F110">
        <v>58845</v>
      </c>
      <c r="G110">
        <v>2758223.46</v>
      </c>
      <c r="H110">
        <v>144883</v>
      </c>
      <c r="I110">
        <v>2.00896026534144</v>
      </c>
      <c r="J110">
        <v>6805453.9400000004</v>
      </c>
      <c r="K110">
        <v>2.0047094548510001</v>
      </c>
      <c r="L110">
        <v>101864</v>
      </c>
      <c r="M110">
        <v>2.82491014775702</v>
      </c>
      <c r="N110">
        <v>46.943362718919303</v>
      </c>
      <c r="O110">
        <v>4781838.7</v>
      </c>
      <c r="P110">
        <v>2.81721023695957</v>
      </c>
      <c r="Q110">
        <v>43019</v>
      </c>
      <c r="R110">
        <v>1.19301038292586</v>
      </c>
      <c r="S110">
        <v>47.040034403403098</v>
      </c>
      <c r="T110">
        <v>2023615.24</v>
      </c>
      <c r="U110">
        <v>1.1922086727424299</v>
      </c>
      <c r="V110">
        <v>585</v>
      </c>
      <c r="W110">
        <v>3.29577464788732</v>
      </c>
    </row>
    <row r="111" spans="1:23" hidden="1" x14ac:dyDescent="0.25">
      <c r="A111" t="s">
        <v>87</v>
      </c>
      <c r="B111">
        <v>5</v>
      </c>
      <c r="C111">
        <v>2025</v>
      </c>
      <c r="D111" t="s">
        <v>90</v>
      </c>
      <c r="E111" t="s">
        <v>91</v>
      </c>
      <c r="F111">
        <v>48069</v>
      </c>
      <c r="G111">
        <v>2278170.81</v>
      </c>
      <c r="H111">
        <v>203325</v>
      </c>
      <c r="I111">
        <v>2.8193221147446401</v>
      </c>
      <c r="J111">
        <v>9568929.9700000007</v>
      </c>
      <c r="K111">
        <v>2.8187575072569002</v>
      </c>
      <c r="L111">
        <v>125697</v>
      </c>
      <c r="M111">
        <v>3.4858510449483102</v>
      </c>
      <c r="N111">
        <v>47.1256306037535</v>
      </c>
      <c r="O111">
        <v>5923550.3899999997</v>
      </c>
      <c r="P111">
        <v>3.4898472836095098</v>
      </c>
      <c r="Q111">
        <v>77628</v>
      </c>
      <c r="R111">
        <v>2.1527931845409798</v>
      </c>
      <c r="S111">
        <v>46.959596794970899</v>
      </c>
      <c r="T111">
        <v>3645379.58</v>
      </c>
      <c r="U111">
        <v>2.1476677309043</v>
      </c>
      <c r="V111">
        <v>1206</v>
      </c>
      <c r="W111">
        <v>6.7943661971831002</v>
      </c>
    </row>
    <row r="112" spans="1:23" hidden="1" x14ac:dyDescent="0.25">
      <c r="A112" t="s">
        <v>87</v>
      </c>
      <c r="B112">
        <v>5</v>
      </c>
      <c r="C112">
        <v>2025</v>
      </c>
      <c r="D112" t="s">
        <v>92</v>
      </c>
      <c r="E112" t="s">
        <v>93</v>
      </c>
      <c r="F112">
        <v>-2456</v>
      </c>
      <c r="G112">
        <v>-113293.64</v>
      </c>
      <c r="H112">
        <v>5024</v>
      </c>
      <c r="I112">
        <v>6.9663220481874205E-2</v>
      </c>
      <c r="J112">
        <v>233450.36</v>
      </c>
      <c r="K112">
        <v>6.8768394886876499E-2</v>
      </c>
      <c r="L112">
        <v>1284</v>
      </c>
      <c r="M112">
        <v>3.5608111106180902E-2</v>
      </c>
      <c r="N112">
        <v>46.79</v>
      </c>
      <c r="O112">
        <v>60078.36</v>
      </c>
      <c r="P112">
        <v>3.53950397389486E-2</v>
      </c>
      <c r="Q112">
        <v>3740</v>
      </c>
      <c r="R112">
        <v>0.103718329857568</v>
      </c>
      <c r="S112">
        <v>46.356149732620302</v>
      </c>
      <c r="T112">
        <v>173372</v>
      </c>
      <c r="U112">
        <v>0.102141750034804</v>
      </c>
      <c r="V112">
        <v>24</v>
      </c>
      <c r="W112">
        <v>0.13521126760563401</v>
      </c>
    </row>
    <row r="113" spans="1:23" hidden="1" x14ac:dyDescent="0.25">
      <c r="A113" t="s">
        <v>87</v>
      </c>
      <c r="B113">
        <v>5</v>
      </c>
      <c r="C113">
        <v>2025</v>
      </c>
      <c r="D113" t="s">
        <v>94</v>
      </c>
      <c r="E113" t="s">
        <v>95</v>
      </c>
      <c r="F113">
        <v>-1143573</v>
      </c>
      <c r="G113">
        <v>-53851948.770000003</v>
      </c>
      <c r="H113">
        <v>1175137</v>
      </c>
      <c r="I113">
        <v>16.294551737143401</v>
      </c>
      <c r="J113">
        <v>55352041.130000003</v>
      </c>
      <c r="K113">
        <v>16.305269446671499</v>
      </c>
      <c r="L113">
        <v>15782</v>
      </c>
      <c r="M113">
        <v>0.43766916625992802</v>
      </c>
      <c r="N113">
        <v>47.525420098846801</v>
      </c>
      <c r="O113">
        <v>750046.18</v>
      </c>
      <c r="P113">
        <v>0.441888133217128</v>
      </c>
      <c r="Q113">
        <v>1159355</v>
      </c>
      <c r="R113">
        <v>32.151434308026801</v>
      </c>
      <c r="S113">
        <v>47.096872787023798</v>
      </c>
      <c r="T113">
        <v>54601994.950000003</v>
      </c>
      <c r="U113">
        <v>32.1686507601259</v>
      </c>
      <c r="V113">
        <v>2624</v>
      </c>
      <c r="W113">
        <v>14.783098591549299</v>
      </c>
    </row>
    <row r="114" spans="1:23" hidden="1" x14ac:dyDescent="0.25">
      <c r="A114" t="s">
        <v>87</v>
      </c>
      <c r="B114">
        <v>5</v>
      </c>
      <c r="C114">
        <v>2025</v>
      </c>
      <c r="D114" t="s">
        <v>96</v>
      </c>
      <c r="E114" t="s">
        <v>97</v>
      </c>
      <c r="F114">
        <v>16401</v>
      </c>
      <c r="G114">
        <v>763135.85</v>
      </c>
      <c r="H114">
        <v>48321</v>
      </c>
      <c r="I114">
        <v>0.67002318409726203</v>
      </c>
      <c r="J114">
        <v>2259308.77</v>
      </c>
      <c r="K114">
        <v>0.66553351070755795</v>
      </c>
      <c r="L114">
        <v>32361</v>
      </c>
      <c r="M114">
        <v>0.89744087500554603</v>
      </c>
      <c r="N114">
        <v>46.698875498284998</v>
      </c>
      <c r="O114">
        <v>1511222.31</v>
      </c>
      <c r="P114">
        <v>0.89033345312414802</v>
      </c>
      <c r="Q114">
        <v>15960</v>
      </c>
      <c r="R114">
        <v>0.44260549318897802</v>
      </c>
      <c r="S114">
        <v>46.8725852130326</v>
      </c>
      <c r="T114">
        <v>748086.46</v>
      </c>
      <c r="U114">
        <v>0.44073356829096799</v>
      </c>
      <c r="V114">
        <v>117</v>
      </c>
      <c r="W114">
        <v>0.65915492957746502</v>
      </c>
    </row>
    <row r="115" spans="1:23" hidden="1" x14ac:dyDescent="0.25">
      <c r="A115" t="s">
        <v>87</v>
      </c>
      <c r="B115">
        <v>5</v>
      </c>
      <c r="C115">
        <v>2025</v>
      </c>
      <c r="D115" t="s">
        <v>100</v>
      </c>
      <c r="E115" t="s">
        <v>101</v>
      </c>
      <c r="F115">
        <v>3080</v>
      </c>
      <c r="G115">
        <v>141969.85999999999</v>
      </c>
      <c r="H115">
        <v>11920</v>
      </c>
      <c r="I115">
        <v>0.16528375560189901</v>
      </c>
      <c r="J115">
        <v>557526.66</v>
      </c>
      <c r="K115">
        <v>0.164232830974608</v>
      </c>
      <c r="L115">
        <v>7500</v>
      </c>
      <c r="M115">
        <v>0.20799130319030901</v>
      </c>
      <c r="N115">
        <v>46.6331013333333</v>
      </c>
      <c r="O115">
        <v>349748.26</v>
      </c>
      <c r="P115">
        <v>0.20605345354513899</v>
      </c>
      <c r="Q115">
        <v>4420</v>
      </c>
      <c r="R115">
        <v>0.12257620801348899</v>
      </c>
      <c r="S115">
        <v>47.008687782805403</v>
      </c>
      <c r="T115">
        <v>207778.4</v>
      </c>
      <c r="U115">
        <v>0.122412208404077</v>
      </c>
      <c r="V115">
        <v>24</v>
      </c>
      <c r="W115">
        <v>0.13521126760563401</v>
      </c>
    </row>
    <row r="116" spans="1:23" hidden="1" x14ac:dyDescent="0.25">
      <c r="A116" t="s">
        <v>87</v>
      </c>
      <c r="B116">
        <v>5</v>
      </c>
      <c r="C116">
        <v>2025</v>
      </c>
      <c r="D116" t="s">
        <v>102</v>
      </c>
      <c r="E116" t="s">
        <v>103</v>
      </c>
      <c r="F116">
        <v>22642</v>
      </c>
      <c r="G116">
        <v>1135967.4099999999</v>
      </c>
      <c r="H116">
        <v>594220</v>
      </c>
      <c r="I116">
        <v>8.2395061454497007</v>
      </c>
      <c r="J116">
        <v>27919442.530000001</v>
      </c>
      <c r="K116">
        <v>8.2243404933044193</v>
      </c>
      <c r="L116">
        <v>308431</v>
      </c>
      <c r="M116">
        <v>8.5534620845720397</v>
      </c>
      <c r="N116">
        <v>47.101961119342697</v>
      </c>
      <c r="O116">
        <v>14527704.970000001</v>
      </c>
      <c r="P116">
        <v>8.5589669013746494</v>
      </c>
      <c r="Q116">
        <v>285789</v>
      </c>
      <c r="R116">
        <v>7.9255502063273697</v>
      </c>
      <c r="S116">
        <v>46.858827876510297</v>
      </c>
      <c r="T116">
        <v>13391737.560000001</v>
      </c>
      <c r="U116">
        <v>7.88971408523419</v>
      </c>
      <c r="V116">
        <v>2606</v>
      </c>
      <c r="W116">
        <v>14.681690140845101</v>
      </c>
    </row>
    <row r="117" spans="1:23" hidden="1" x14ac:dyDescent="0.25">
      <c r="A117" t="s">
        <v>87</v>
      </c>
      <c r="B117">
        <v>5</v>
      </c>
      <c r="C117">
        <v>2025</v>
      </c>
      <c r="D117" t="s">
        <v>161</v>
      </c>
      <c r="E117" t="s">
        <v>162</v>
      </c>
      <c r="F117">
        <v>430</v>
      </c>
      <c r="G117">
        <v>20296</v>
      </c>
      <c r="H117">
        <v>430</v>
      </c>
      <c r="I117">
        <v>5.9624173581221997E-3</v>
      </c>
      <c r="J117">
        <v>20296</v>
      </c>
      <c r="K117">
        <v>5.9786729076967199E-3</v>
      </c>
      <c r="L117">
        <v>430</v>
      </c>
      <c r="M117">
        <v>1.1924834716244399E-2</v>
      </c>
      <c r="N117">
        <v>47.2</v>
      </c>
      <c r="O117">
        <v>20296</v>
      </c>
      <c r="P117">
        <v>1.19573458153934E-2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2</v>
      </c>
      <c r="W117">
        <v>1.12676056338028E-2</v>
      </c>
    </row>
    <row r="118" spans="1:23" hidden="1" x14ac:dyDescent="0.25">
      <c r="A118" t="s">
        <v>87</v>
      </c>
      <c r="B118">
        <v>5</v>
      </c>
      <c r="C118">
        <v>2025</v>
      </c>
      <c r="D118" t="s">
        <v>104</v>
      </c>
      <c r="E118" t="s">
        <v>105</v>
      </c>
      <c r="F118">
        <v>1914</v>
      </c>
      <c r="G118">
        <v>102000.179999999</v>
      </c>
      <c r="H118">
        <v>153302</v>
      </c>
      <c r="I118">
        <v>2.1256988507787198</v>
      </c>
      <c r="J118">
        <v>7199090.9800000004</v>
      </c>
      <c r="K118">
        <v>2.1206646729488501</v>
      </c>
      <c r="L118">
        <v>77608</v>
      </c>
      <c r="M118">
        <v>2.1522385410657998</v>
      </c>
      <c r="N118">
        <v>47.0382638387795</v>
      </c>
      <c r="O118">
        <v>3650545.58</v>
      </c>
      <c r="P118">
        <v>2.1507112689651202</v>
      </c>
      <c r="Q118">
        <v>75694</v>
      </c>
      <c r="R118">
        <v>2.0991591604916402</v>
      </c>
      <c r="S118">
        <v>46.880141094406397</v>
      </c>
      <c r="T118">
        <v>3548545.4</v>
      </c>
      <c r="U118">
        <v>2.0906180769325799</v>
      </c>
      <c r="V118">
        <v>1215</v>
      </c>
      <c r="W118">
        <v>6.8450704225352101</v>
      </c>
    </row>
    <row r="119" spans="1:23" hidden="1" x14ac:dyDescent="0.25">
      <c r="A119" t="s">
        <v>87</v>
      </c>
      <c r="B119">
        <v>5</v>
      </c>
      <c r="C119">
        <v>2025</v>
      </c>
      <c r="D119" t="s">
        <v>106</v>
      </c>
      <c r="E119" t="s">
        <v>107</v>
      </c>
      <c r="F119">
        <v>293161</v>
      </c>
      <c r="G119">
        <v>13800853.24</v>
      </c>
      <c r="H119">
        <v>505931</v>
      </c>
      <c r="I119">
        <v>7.0152832009584198</v>
      </c>
      <c r="J119">
        <v>23754638.280000001</v>
      </c>
      <c r="K119">
        <v>6.9974976506095397</v>
      </c>
      <c r="L119">
        <v>399546</v>
      </c>
      <c r="M119">
        <v>11.0802790965967</v>
      </c>
      <c r="N119">
        <v>46.997706797214803</v>
      </c>
      <c r="O119">
        <v>18777745.760000002</v>
      </c>
      <c r="P119">
        <v>11.062869515464</v>
      </c>
      <c r="Q119">
        <v>106385</v>
      </c>
      <c r="R119">
        <v>2.9502873053201402</v>
      </c>
      <c r="S119">
        <v>46.781900831884201</v>
      </c>
      <c r="T119">
        <v>4976892.5199999996</v>
      </c>
      <c r="U119">
        <v>2.93212578575507</v>
      </c>
      <c r="V119">
        <v>1012</v>
      </c>
      <c r="W119">
        <v>5.7014084507042302</v>
      </c>
    </row>
    <row r="120" spans="1:23" hidden="1" x14ac:dyDescent="0.25">
      <c r="A120" t="s">
        <v>87</v>
      </c>
      <c r="B120">
        <v>5</v>
      </c>
      <c r="C120">
        <v>2025</v>
      </c>
      <c r="D120" t="s">
        <v>108</v>
      </c>
      <c r="E120" t="s">
        <v>109</v>
      </c>
      <c r="F120">
        <v>180</v>
      </c>
      <c r="G120">
        <v>8423.0400000000009</v>
      </c>
      <c r="H120">
        <v>180</v>
      </c>
      <c r="I120">
        <v>2.4958956382837099E-3</v>
      </c>
      <c r="J120">
        <v>8423.0400000000009</v>
      </c>
      <c r="K120">
        <v>2.4812081714843202E-3</v>
      </c>
      <c r="L120">
        <v>180</v>
      </c>
      <c r="M120">
        <v>4.9917912765674198E-3</v>
      </c>
      <c r="N120">
        <v>46.7946666666667</v>
      </c>
      <c r="O120">
        <v>8423.0400000000009</v>
      </c>
      <c r="P120">
        <v>4.9624163429686403E-3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4</v>
      </c>
      <c r="W120">
        <v>2.25352112676056E-2</v>
      </c>
    </row>
    <row r="121" spans="1:23" hidden="1" x14ac:dyDescent="0.25">
      <c r="A121" t="s">
        <v>87</v>
      </c>
      <c r="B121">
        <v>5</v>
      </c>
      <c r="C121">
        <v>2025</v>
      </c>
      <c r="D121" t="s">
        <v>110</v>
      </c>
      <c r="E121" t="s">
        <v>111</v>
      </c>
      <c r="F121">
        <v>51133</v>
      </c>
      <c r="G121">
        <v>2364523.88</v>
      </c>
      <c r="H121">
        <v>72801</v>
      </c>
      <c r="I121">
        <v>1.00946499090385</v>
      </c>
      <c r="J121">
        <v>3376707.56</v>
      </c>
      <c r="K121">
        <v>0.99469008702141704</v>
      </c>
      <c r="L121">
        <v>61967</v>
      </c>
      <c r="M121">
        <v>1.71847961130585</v>
      </c>
      <c r="N121">
        <v>46.324910355511797</v>
      </c>
      <c r="O121">
        <v>2870615.72</v>
      </c>
      <c r="P121">
        <v>1.69121722837725</v>
      </c>
      <c r="Q121">
        <v>10834</v>
      </c>
      <c r="R121">
        <v>0.30045037050184098</v>
      </c>
      <c r="S121">
        <v>46.713295181835001</v>
      </c>
      <c r="T121">
        <v>506091.84</v>
      </c>
      <c r="U121">
        <v>0.29816294566558799</v>
      </c>
      <c r="V121">
        <v>158</v>
      </c>
      <c r="W121">
        <v>0.89014084507042301</v>
      </c>
    </row>
    <row r="122" spans="1:23" hidden="1" x14ac:dyDescent="0.25">
      <c r="A122" t="s">
        <v>87</v>
      </c>
      <c r="B122">
        <v>5</v>
      </c>
      <c r="C122">
        <v>2025</v>
      </c>
      <c r="D122" t="s">
        <v>112</v>
      </c>
      <c r="E122" t="s">
        <v>113</v>
      </c>
      <c r="F122">
        <v>1000</v>
      </c>
      <c r="G122">
        <v>47484</v>
      </c>
      <c r="H122">
        <v>1000</v>
      </c>
      <c r="I122">
        <v>1.3866086879354001E-2</v>
      </c>
      <c r="J122">
        <v>47484</v>
      </c>
      <c r="K122">
        <v>1.3987549485074399E-2</v>
      </c>
      <c r="L122">
        <v>1000</v>
      </c>
      <c r="M122">
        <v>2.7732173758707901E-2</v>
      </c>
      <c r="N122">
        <v>47.484000000000002</v>
      </c>
      <c r="O122">
        <v>47484</v>
      </c>
      <c r="P122">
        <v>2.7975098970148899E-2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8</v>
      </c>
      <c r="W122">
        <v>4.5070422535211298E-2</v>
      </c>
    </row>
    <row r="123" spans="1:23" hidden="1" x14ac:dyDescent="0.25">
      <c r="A123" t="s">
        <v>87</v>
      </c>
      <c r="B123">
        <v>5</v>
      </c>
      <c r="C123">
        <v>2025</v>
      </c>
      <c r="D123" t="s">
        <v>167</v>
      </c>
      <c r="E123" t="s">
        <v>168</v>
      </c>
      <c r="F123">
        <v>1100</v>
      </c>
      <c r="G123">
        <v>52195</v>
      </c>
      <c r="H123">
        <v>1100</v>
      </c>
      <c r="I123">
        <v>1.5252695567289301E-2</v>
      </c>
      <c r="J123">
        <v>52195</v>
      </c>
      <c r="K123">
        <v>1.53752873678178E-2</v>
      </c>
      <c r="L123">
        <v>1100</v>
      </c>
      <c r="M123">
        <v>3.0505391134578699E-2</v>
      </c>
      <c r="N123">
        <v>47.45</v>
      </c>
      <c r="O123">
        <v>52195</v>
      </c>
      <c r="P123">
        <v>3.07505747356356E-2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4</v>
      </c>
      <c r="W123">
        <v>2.25352112676056E-2</v>
      </c>
    </row>
    <row r="124" spans="1:23" hidden="1" x14ac:dyDescent="0.25">
      <c r="A124" t="s">
        <v>87</v>
      </c>
      <c r="B124">
        <v>5</v>
      </c>
      <c r="C124">
        <v>2025</v>
      </c>
      <c r="D124" t="s">
        <v>163</v>
      </c>
      <c r="E124" t="s">
        <v>164</v>
      </c>
      <c r="F124">
        <v>1500</v>
      </c>
      <c r="G124">
        <v>70875</v>
      </c>
      <c r="H124">
        <v>1500</v>
      </c>
      <c r="I124">
        <v>2.0799130319030901E-2</v>
      </c>
      <c r="J124">
        <v>70875</v>
      </c>
      <c r="K124">
        <v>2.0877928770841801E-2</v>
      </c>
      <c r="L124">
        <v>1500</v>
      </c>
      <c r="M124">
        <v>4.15982606380619E-2</v>
      </c>
      <c r="N124">
        <v>47.25</v>
      </c>
      <c r="O124">
        <v>70875</v>
      </c>
      <c r="P124">
        <v>4.1755857541683601E-2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4</v>
      </c>
      <c r="W124">
        <v>2.25352112676056E-2</v>
      </c>
    </row>
    <row r="125" spans="1:23" hidden="1" x14ac:dyDescent="0.25">
      <c r="A125" t="s">
        <v>87</v>
      </c>
      <c r="B125">
        <v>5</v>
      </c>
      <c r="C125">
        <v>2025</v>
      </c>
      <c r="D125" t="s">
        <v>116</v>
      </c>
      <c r="E125" t="s">
        <v>117</v>
      </c>
      <c r="F125">
        <v>676648</v>
      </c>
      <c r="G125">
        <v>32050829.260000002</v>
      </c>
      <c r="H125">
        <v>693524</v>
      </c>
      <c r="I125">
        <v>9.6164640369170709</v>
      </c>
      <c r="J125">
        <v>32848285.579999998</v>
      </c>
      <c r="K125">
        <v>9.6762492639648592</v>
      </c>
      <c r="L125">
        <v>685086</v>
      </c>
      <c r="M125">
        <v>18.998923991658199</v>
      </c>
      <c r="N125">
        <v>47.365670032667403</v>
      </c>
      <c r="O125">
        <v>32449557.420000002</v>
      </c>
      <c r="P125">
        <v>19.117588669068098</v>
      </c>
      <c r="Q125">
        <v>8438</v>
      </c>
      <c r="R125">
        <v>0.23400408217597701</v>
      </c>
      <c r="S125">
        <v>47.253870585446798</v>
      </c>
      <c r="T125">
        <v>398728.16</v>
      </c>
      <c r="U125">
        <v>0.23490985886162399</v>
      </c>
      <c r="V125">
        <v>193</v>
      </c>
      <c r="W125">
        <v>1.0873239436619699</v>
      </c>
    </row>
    <row r="126" spans="1:23" hidden="1" x14ac:dyDescent="0.25">
      <c r="A126" t="s">
        <v>87</v>
      </c>
      <c r="B126">
        <v>5</v>
      </c>
      <c r="C126">
        <v>2025</v>
      </c>
      <c r="D126" t="s">
        <v>118</v>
      </c>
      <c r="E126" t="s">
        <v>119</v>
      </c>
      <c r="F126">
        <v>10263</v>
      </c>
      <c r="G126">
        <v>485550.11</v>
      </c>
      <c r="H126">
        <v>43831</v>
      </c>
      <c r="I126">
        <v>0.60776445400896295</v>
      </c>
      <c r="J126">
        <v>2046308.11</v>
      </c>
      <c r="K126">
        <v>0.60278906474463301</v>
      </c>
      <c r="L126">
        <v>27047</v>
      </c>
      <c r="M126">
        <v>0.75007210365177301</v>
      </c>
      <c r="N126">
        <v>46.804788331423097</v>
      </c>
      <c r="O126">
        <v>1265929.1100000001</v>
      </c>
      <c r="P126">
        <v>0.74581947901277301</v>
      </c>
      <c r="Q126">
        <v>16784</v>
      </c>
      <c r="R126">
        <v>0.465456804366153</v>
      </c>
      <c r="S126">
        <v>46.4954122974261</v>
      </c>
      <c r="T126">
        <v>780379</v>
      </c>
      <c r="U126">
        <v>0.459758650476494</v>
      </c>
      <c r="V126">
        <v>82</v>
      </c>
      <c r="W126">
        <v>0.46197183098591499</v>
      </c>
    </row>
    <row r="127" spans="1:23" hidden="1" x14ac:dyDescent="0.25">
      <c r="A127" t="s">
        <v>87</v>
      </c>
      <c r="B127">
        <v>5</v>
      </c>
      <c r="C127">
        <v>2025</v>
      </c>
      <c r="D127" t="s">
        <v>120</v>
      </c>
      <c r="E127" t="s">
        <v>121</v>
      </c>
      <c r="F127">
        <v>5406</v>
      </c>
      <c r="G127">
        <v>256315.74</v>
      </c>
      <c r="H127">
        <v>5406</v>
      </c>
      <c r="I127">
        <v>7.4960065669787496E-2</v>
      </c>
      <c r="J127">
        <v>256315.74</v>
      </c>
      <c r="K127">
        <v>7.5503940212565804E-2</v>
      </c>
      <c r="L127">
        <v>5406</v>
      </c>
      <c r="M127">
        <v>0.14992013133957499</v>
      </c>
      <c r="N127">
        <v>47.4131964483907</v>
      </c>
      <c r="O127">
        <v>256315.74</v>
      </c>
      <c r="P127">
        <v>0.151007880425132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28</v>
      </c>
      <c r="W127">
        <v>0.157746478873239</v>
      </c>
    </row>
    <row r="128" spans="1:23" hidden="1" x14ac:dyDescent="0.25">
      <c r="A128" t="s">
        <v>87</v>
      </c>
      <c r="B128">
        <v>5</v>
      </c>
      <c r="C128">
        <v>2025</v>
      </c>
      <c r="D128" t="s">
        <v>122</v>
      </c>
      <c r="E128" t="s">
        <v>123</v>
      </c>
      <c r="F128">
        <v>5858</v>
      </c>
      <c r="G128">
        <v>274342.42</v>
      </c>
      <c r="H128">
        <v>18054</v>
      </c>
      <c r="I128">
        <v>0.25033833251985599</v>
      </c>
      <c r="J128">
        <v>854722.54</v>
      </c>
      <c r="K128">
        <v>0.25177899554078298</v>
      </c>
      <c r="L128">
        <v>11956</v>
      </c>
      <c r="M128">
        <v>0.33156586945911198</v>
      </c>
      <c r="N128">
        <v>47.217504182000702</v>
      </c>
      <c r="O128">
        <v>564532.47999999998</v>
      </c>
      <c r="P128">
        <v>0.33259312610276298</v>
      </c>
      <c r="Q128">
        <v>6098</v>
      </c>
      <c r="R128">
        <v>0.16911079558060099</v>
      </c>
      <c r="S128">
        <v>47.587743522466397</v>
      </c>
      <c r="T128">
        <v>290190.06</v>
      </c>
      <c r="U128">
        <v>0.17096486497880201</v>
      </c>
      <c r="V128">
        <v>60</v>
      </c>
      <c r="W128">
        <v>0.338028169014085</v>
      </c>
    </row>
    <row r="129" spans="1:23" hidden="1" x14ac:dyDescent="0.25">
      <c r="A129" t="s">
        <v>87</v>
      </c>
      <c r="B129">
        <v>5</v>
      </c>
      <c r="C129">
        <v>2025</v>
      </c>
      <c r="D129" t="s">
        <v>124</v>
      </c>
      <c r="E129" t="s">
        <v>125</v>
      </c>
      <c r="F129">
        <v>4714</v>
      </c>
      <c r="G129">
        <v>223769.88</v>
      </c>
      <c r="H129">
        <v>4714</v>
      </c>
      <c r="I129">
        <v>6.5364733549274495E-2</v>
      </c>
      <c r="J129">
        <v>223769.88</v>
      </c>
      <c r="K129">
        <v>6.5916777646558206E-2</v>
      </c>
      <c r="L129">
        <v>4714</v>
      </c>
      <c r="M129">
        <v>0.13072946709854899</v>
      </c>
      <c r="N129">
        <v>47.4692151039457</v>
      </c>
      <c r="O129">
        <v>223769.88</v>
      </c>
      <c r="P129">
        <v>0.13183355529311599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14</v>
      </c>
      <c r="W129">
        <v>7.8873239436619696E-2</v>
      </c>
    </row>
    <row r="130" spans="1:23" hidden="1" x14ac:dyDescent="0.25">
      <c r="A130" t="s">
        <v>87</v>
      </c>
      <c r="B130">
        <v>5</v>
      </c>
      <c r="C130">
        <v>2025</v>
      </c>
      <c r="D130" t="s">
        <v>126</v>
      </c>
      <c r="E130" t="s">
        <v>127</v>
      </c>
      <c r="F130">
        <v>12611</v>
      </c>
      <c r="G130">
        <v>604818.81999999995</v>
      </c>
      <c r="H130">
        <v>20499</v>
      </c>
      <c r="I130">
        <v>0.28424091493987702</v>
      </c>
      <c r="J130">
        <v>973205.82</v>
      </c>
      <c r="K130">
        <v>0.28668108344731802</v>
      </c>
      <c r="L130">
        <v>16555</v>
      </c>
      <c r="M130">
        <v>0.459106136575409</v>
      </c>
      <c r="N130">
        <v>47.660061612805798</v>
      </c>
      <c r="O130">
        <v>789012.32</v>
      </c>
      <c r="P130">
        <v>0.46484495284025801</v>
      </c>
      <c r="Q130">
        <v>3944</v>
      </c>
      <c r="R130">
        <v>0.109375693304344</v>
      </c>
      <c r="S130">
        <v>46.702205882352899</v>
      </c>
      <c r="T130">
        <v>184193.5</v>
      </c>
      <c r="U130">
        <v>0.108517214054379</v>
      </c>
      <c r="V130">
        <v>113</v>
      </c>
      <c r="W130">
        <v>0.63661971830985897</v>
      </c>
    </row>
    <row r="131" spans="1:23" hidden="1" x14ac:dyDescent="0.25">
      <c r="A131" t="s">
        <v>87</v>
      </c>
      <c r="B131">
        <v>5</v>
      </c>
      <c r="C131">
        <v>2025</v>
      </c>
      <c r="D131" t="s">
        <v>130</v>
      </c>
      <c r="E131" t="s">
        <v>131</v>
      </c>
      <c r="F131">
        <v>-45176</v>
      </c>
      <c r="G131">
        <v>-2108603.13</v>
      </c>
      <c r="H131">
        <v>156356</v>
      </c>
      <c r="I131">
        <v>2.16804588010827</v>
      </c>
      <c r="J131">
        <v>7351122.7699999996</v>
      </c>
      <c r="K131">
        <v>2.1654492779932699</v>
      </c>
      <c r="L131">
        <v>55590</v>
      </c>
      <c r="M131">
        <v>1.54163153924657</v>
      </c>
      <c r="N131">
        <v>47.1534416261918</v>
      </c>
      <c r="O131">
        <v>2621259.8199999998</v>
      </c>
      <c r="P131">
        <v>1.5443097230851399</v>
      </c>
      <c r="Q131">
        <v>100766</v>
      </c>
      <c r="R131">
        <v>2.7944602209699601</v>
      </c>
      <c r="S131">
        <v>46.939076176488101</v>
      </c>
      <c r="T131">
        <v>4729862.95</v>
      </c>
      <c r="U131">
        <v>2.7865888329014101</v>
      </c>
      <c r="V131">
        <v>376</v>
      </c>
      <c r="W131">
        <v>2.1183098591549299</v>
      </c>
    </row>
    <row r="132" spans="1:23" hidden="1" x14ac:dyDescent="0.25">
      <c r="A132" t="s">
        <v>87</v>
      </c>
      <c r="B132">
        <v>5</v>
      </c>
      <c r="C132">
        <v>2025</v>
      </c>
      <c r="D132" t="s">
        <v>132</v>
      </c>
      <c r="E132" t="s">
        <v>133</v>
      </c>
      <c r="F132">
        <v>13178</v>
      </c>
      <c r="G132">
        <v>626975.4</v>
      </c>
      <c r="H132">
        <v>24374</v>
      </c>
      <c r="I132">
        <v>0.33797200159737301</v>
      </c>
      <c r="J132">
        <v>1152598.3600000001</v>
      </c>
      <c r="K132">
        <v>0.33952545271913998</v>
      </c>
      <c r="L132">
        <v>18776</v>
      </c>
      <c r="M132">
        <v>0.52069929449349905</v>
      </c>
      <c r="N132">
        <v>47.389586706433803</v>
      </c>
      <c r="O132">
        <v>889786.88</v>
      </c>
      <c r="P132">
        <v>0.524216073421363</v>
      </c>
      <c r="Q132">
        <v>5598</v>
      </c>
      <c r="R132">
        <v>0.15524470870124699</v>
      </c>
      <c r="S132">
        <v>46.947388352983197</v>
      </c>
      <c r="T132">
        <v>262811.48</v>
      </c>
      <c r="U132">
        <v>0.154834832016917</v>
      </c>
      <c r="V132">
        <v>170</v>
      </c>
      <c r="W132">
        <v>0.95774647887323905</v>
      </c>
    </row>
    <row r="133" spans="1:23" hidden="1" x14ac:dyDescent="0.25">
      <c r="A133" t="s">
        <v>87</v>
      </c>
      <c r="B133">
        <v>5</v>
      </c>
      <c r="C133">
        <v>2025</v>
      </c>
      <c r="D133" t="s">
        <v>134</v>
      </c>
      <c r="E133" t="s">
        <v>135</v>
      </c>
      <c r="F133">
        <v>11030</v>
      </c>
      <c r="G133">
        <v>519017.9</v>
      </c>
      <c r="H133">
        <v>12030</v>
      </c>
      <c r="I133">
        <v>0.166809025158628</v>
      </c>
      <c r="J133">
        <v>566407.9</v>
      </c>
      <c r="K133">
        <v>0.1668490129304</v>
      </c>
      <c r="L133">
        <v>11530</v>
      </c>
      <c r="M133">
        <v>0.31975196343790202</v>
      </c>
      <c r="N133">
        <v>47.0696357328708</v>
      </c>
      <c r="O133">
        <v>542712.9</v>
      </c>
      <c r="P133">
        <v>0.319738166327111</v>
      </c>
      <c r="Q133">
        <v>500</v>
      </c>
      <c r="R133">
        <v>1.3866086879354001E-2</v>
      </c>
      <c r="S133">
        <v>47.39</v>
      </c>
      <c r="T133">
        <v>23695</v>
      </c>
      <c r="U133">
        <v>1.39598595336888E-2</v>
      </c>
      <c r="V133">
        <v>16</v>
      </c>
      <c r="W133">
        <v>9.0140845070422498E-2</v>
      </c>
    </row>
    <row r="134" spans="1:23" hidden="1" x14ac:dyDescent="0.25">
      <c r="A134" t="s">
        <v>87</v>
      </c>
      <c r="B134">
        <v>5</v>
      </c>
      <c r="C134">
        <v>2025</v>
      </c>
      <c r="D134" t="s">
        <v>136</v>
      </c>
      <c r="E134" t="s">
        <v>137</v>
      </c>
      <c r="F134">
        <v>9278</v>
      </c>
      <c r="G134">
        <v>445907.38</v>
      </c>
      <c r="H134">
        <v>18062</v>
      </c>
      <c r="I134">
        <v>0.25044926121489097</v>
      </c>
      <c r="J134">
        <v>851642.66</v>
      </c>
      <c r="K134">
        <v>0.25087174312084998</v>
      </c>
      <c r="L134">
        <v>13670</v>
      </c>
      <c r="M134">
        <v>0.37909881528153699</v>
      </c>
      <c r="N134">
        <v>47.459767373811303</v>
      </c>
      <c r="O134">
        <v>648775.02</v>
      </c>
      <c r="P134">
        <v>0.38222444178797799</v>
      </c>
      <c r="Q134">
        <v>4392</v>
      </c>
      <c r="R134">
        <v>0.12179970714824501</v>
      </c>
      <c r="S134">
        <v>46.190264116575598</v>
      </c>
      <c r="T134">
        <v>202867.64</v>
      </c>
      <c r="U134">
        <v>0.119519044453722</v>
      </c>
      <c r="V134">
        <v>32</v>
      </c>
      <c r="W134">
        <v>0.180281690140845</v>
      </c>
    </row>
    <row r="135" spans="1:23" hidden="1" x14ac:dyDescent="0.25">
      <c r="A135" t="s">
        <v>87</v>
      </c>
      <c r="B135">
        <v>5</v>
      </c>
      <c r="C135">
        <v>2025</v>
      </c>
      <c r="D135" t="s">
        <v>138</v>
      </c>
      <c r="E135" t="s">
        <v>139</v>
      </c>
      <c r="F135">
        <v>30850</v>
      </c>
      <c r="G135">
        <v>1457060.24</v>
      </c>
      <c r="H135">
        <v>37450</v>
      </c>
      <c r="I135">
        <v>0.51928495363180505</v>
      </c>
      <c r="J135">
        <v>1767036.24</v>
      </c>
      <c r="K135">
        <v>0.52052284662033299</v>
      </c>
      <c r="L135">
        <v>34150</v>
      </c>
      <c r="M135">
        <v>0.94705373385987501</v>
      </c>
      <c r="N135">
        <v>47.2049265007321</v>
      </c>
      <c r="O135">
        <v>1612048.24</v>
      </c>
      <c r="P135">
        <v>0.94973483823297</v>
      </c>
      <c r="Q135">
        <v>3300</v>
      </c>
      <c r="R135">
        <v>9.1516173403736106E-2</v>
      </c>
      <c r="S135">
        <v>46.966060606060601</v>
      </c>
      <c r="T135">
        <v>154988</v>
      </c>
      <c r="U135">
        <v>9.1310855007696007E-2</v>
      </c>
      <c r="V135">
        <v>78</v>
      </c>
      <c r="W135">
        <v>0.43943661971831</v>
      </c>
    </row>
    <row r="136" spans="1:23" hidden="1" x14ac:dyDescent="0.25">
      <c r="A136" t="s">
        <v>87</v>
      </c>
      <c r="B136">
        <v>5</v>
      </c>
      <c r="C136">
        <v>2025</v>
      </c>
      <c r="D136" t="s">
        <v>142</v>
      </c>
      <c r="E136" t="s">
        <v>143</v>
      </c>
      <c r="F136">
        <v>32370</v>
      </c>
      <c r="G136">
        <v>1533168.89</v>
      </c>
      <c r="H136">
        <v>754858</v>
      </c>
      <c r="I136">
        <v>10.466926609575401</v>
      </c>
      <c r="J136">
        <v>35531817.909999996</v>
      </c>
      <c r="K136">
        <v>10.466747984811301</v>
      </c>
      <c r="L136">
        <v>393614</v>
      </c>
      <c r="M136">
        <v>10.915771841860099</v>
      </c>
      <c r="N136">
        <v>47.082912193163899</v>
      </c>
      <c r="O136">
        <v>18532493.399999999</v>
      </c>
      <c r="P136">
        <v>10.918379602152999</v>
      </c>
      <c r="Q136">
        <v>361244</v>
      </c>
      <c r="R136">
        <v>10.0180813772907</v>
      </c>
      <c r="S136">
        <v>47.057735242661501</v>
      </c>
      <c r="T136">
        <v>16999324.510000002</v>
      </c>
      <c r="U136">
        <v>10.0151163674696</v>
      </c>
      <c r="V136">
        <v>914</v>
      </c>
      <c r="W136">
        <v>5.1492957746478902</v>
      </c>
    </row>
    <row r="137" spans="1:23" hidden="1" x14ac:dyDescent="0.25">
      <c r="A137" t="s">
        <v>87</v>
      </c>
      <c r="B137">
        <v>5</v>
      </c>
      <c r="C137">
        <v>2025</v>
      </c>
      <c r="D137" t="s">
        <v>144</v>
      </c>
      <c r="E137" t="s">
        <v>145</v>
      </c>
      <c r="F137">
        <v>-316716</v>
      </c>
      <c r="G137">
        <v>-15208735.42</v>
      </c>
      <c r="H137">
        <v>1061858</v>
      </c>
      <c r="I137">
        <v>14.723815281537</v>
      </c>
      <c r="J137">
        <v>50053529.579999998</v>
      </c>
      <c r="K137">
        <v>14.7444659654386</v>
      </c>
      <c r="L137">
        <v>372571</v>
      </c>
      <c r="M137">
        <v>10.3322037094556</v>
      </c>
      <c r="N137">
        <v>46.762622641053703</v>
      </c>
      <c r="O137">
        <v>17422397.079999998</v>
      </c>
      <c r="P137">
        <v>10.2643686844039</v>
      </c>
      <c r="Q137">
        <v>689287</v>
      </c>
      <c r="R137">
        <v>19.115426853618501</v>
      </c>
      <c r="S137">
        <v>47.340414805443899</v>
      </c>
      <c r="T137">
        <v>32631132.5</v>
      </c>
      <c r="U137">
        <v>19.224563246473402</v>
      </c>
      <c r="V137">
        <v>900</v>
      </c>
      <c r="W137">
        <v>5.0704225352112697</v>
      </c>
    </row>
    <row r="138" spans="1:23" hidden="1" x14ac:dyDescent="0.25">
      <c r="A138" t="s">
        <v>87</v>
      </c>
      <c r="B138">
        <v>5</v>
      </c>
      <c r="C138">
        <v>2025</v>
      </c>
      <c r="D138" t="s">
        <v>146</v>
      </c>
      <c r="E138" t="s">
        <v>147</v>
      </c>
      <c r="F138">
        <v>5306</v>
      </c>
      <c r="G138">
        <v>254473.52</v>
      </c>
      <c r="H138">
        <v>46250</v>
      </c>
      <c r="I138">
        <v>0.64130651817011997</v>
      </c>
      <c r="J138">
        <v>2176170.36</v>
      </c>
      <c r="K138">
        <v>0.64104310080136995</v>
      </c>
      <c r="L138">
        <v>25778</v>
      </c>
      <c r="M138">
        <v>0.71487997515197199</v>
      </c>
      <c r="N138">
        <v>47.145703312902498</v>
      </c>
      <c r="O138">
        <v>1215321.94</v>
      </c>
      <c r="P138">
        <v>0.71600437099008796</v>
      </c>
      <c r="Q138">
        <v>20472</v>
      </c>
      <c r="R138">
        <v>0.56773306118826805</v>
      </c>
      <c r="S138">
        <v>46.934760648690897</v>
      </c>
      <c r="T138">
        <v>960848.42</v>
      </c>
      <c r="U138">
        <v>0.56608183061265305</v>
      </c>
      <c r="V138">
        <v>161</v>
      </c>
      <c r="W138">
        <v>0.907042253521127</v>
      </c>
    </row>
    <row r="139" spans="1:23" x14ac:dyDescent="0.25">
      <c r="A139" t="s">
        <v>87</v>
      </c>
      <c r="B139">
        <v>5</v>
      </c>
      <c r="C139">
        <v>2025</v>
      </c>
      <c r="D139" t="s">
        <v>148</v>
      </c>
      <c r="E139" t="s">
        <v>148</v>
      </c>
      <c r="F139">
        <v>0</v>
      </c>
      <c r="G139" s="4">
        <v>-7.1122485678642996E-9</v>
      </c>
      <c r="H139">
        <v>7211840</v>
      </c>
      <c r="I139">
        <v>0</v>
      </c>
      <c r="J139">
        <v>339473329.83999997</v>
      </c>
      <c r="K139">
        <v>0</v>
      </c>
      <c r="L139">
        <v>3605920</v>
      </c>
      <c r="M139">
        <v>100</v>
      </c>
      <c r="N139">
        <v>47.1290300152247</v>
      </c>
      <c r="O139">
        <v>169736664.91999999</v>
      </c>
      <c r="P139">
        <v>100</v>
      </c>
      <c r="Q139">
        <v>3605920</v>
      </c>
      <c r="R139">
        <v>100</v>
      </c>
      <c r="S139">
        <v>46.8725852130326</v>
      </c>
      <c r="T139">
        <v>169736664.91999999</v>
      </c>
      <c r="U139">
        <v>100</v>
      </c>
      <c r="V139">
        <v>17750</v>
      </c>
      <c r="W139">
        <v>100</v>
      </c>
    </row>
    <row r="140" spans="1:23" hidden="1" x14ac:dyDescent="0.25">
      <c r="A140" t="s">
        <v>87</v>
      </c>
      <c r="B140">
        <v>5</v>
      </c>
      <c r="C140">
        <v>2025</v>
      </c>
      <c r="D140" t="s">
        <v>149</v>
      </c>
      <c r="E140" t="s">
        <v>150</v>
      </c>
      <c r="F140">
        <v>194655</v>
      </c>
      <c r="G140">
        <v>9231270.7799999993</v>
      </c>
      <c r="H140">
        <v>533109</v>
      </c>
      <c r="I140">
        <v>7.3921357101655101</v>
      </c>
      <c r="J140">
        <v>25067540.620000001</v>
      </c>
      <c r="K140">
        <v>7.3842444800641003</v>
      </c>
      <c r="L140">
        <v>363882</v>
      </c>
      <c r="M140">
        <v>10.0912388516661</v>
      </c>
      <c r="N140">
        <v>47.1290300152247</v>
      </c>
      <c r="O140">
        <v>17149405.699999999</v>
      </c>
      <c r="P140">
        <v>10.103536385661201</v>
      </c>
      <c r="Q140">
        <v>169227</v>
      </c>
      <c r="R140">
        <v>4.6930325686648597</v>
      </c>
      <c r="S140">
        <v>46.790021214108897</v>
      </c>
      <c r="T140">
        <v>7918134.9199999999</v>
      </c>
      <c r="U140">
        <v>4.6649525744670202</v>
      </c>
      <c r="V140">
        <v>1755</v>
      </c>
      <c r="W140">
        <v>9.8873239436619702</v>
      </c>
    </row>
    <row r="141" spans="1:23" hidden="1" x14ac:dyDescent="0.25">
      <c r="A141" t="s">
        <v>87</v>
      </c>
      <c r="B141">
        <v>5</v>
      </c>
      <c r="C141">
        <v>2025</v>
      </c>
      <c r="D141" t="s">
        <v>151</v>
      </c>
      <c r="E141" t="s">
        <v>152</v>
      </c>
      <c r="F141">
        <v>-5298</v>
      </c>
      <c r="G141">
        <v>-303111.06999999698</v>
      </c>
      <c r="H141">
        <v>857858</v>
      </c>
      <c r="I141">
        <v>11.8951335581488</v>
      </c>
      <c r="J141">
        <v>40311100.590000004</v>
      </c>
      <c r="K141">
        <v>11.8746001663811</v>
      </c>
      <c r="L141">
        <v>426280</v>
      </c>
      <c r="M141">
        <v>11.821671029861999</v>
      </c>
      <c r="N141">
        <v>46.9268902130055</v>
      </c>
      <c r="O141">
        <v>20003994.760000002</v>
      </c>
      <c r="P141">
        <v>11.7853115409262</v>
      </c>
      <c r="Q141">
        <v>431578</v>
      </c>
      <c r="R141">
        <v>11.9685960864356</v>
      </c>
      <c r="S141">
        <v>47.053153381312299</v>
      </c>
      <c r="T141">
        <v>20307105.829999998</v>
      </c>
      <c r="U141">
        <v>11.963888791835901</v>
      </c>
      <c r="V141">
        <v>3152</v>
      </c>
      <c r="W141">
        <v>17.757746478873202</v>
      </c>
    </row>
    <row r="142" spans="1:23" hidden="1" x14ac:dyDescent="0.25">
      <c r="A142" t="s">
        <v>87</v>
      </c>
      <c r="B142">
        <v>5</v>
      </c>
      <c r="C142">
        <v>2025</v>
      </c>
      <c r="D142" t="s">
        <v>153</v>
      </c>
      <c r="E142" t="s">
        <v>154</v>
      </c>
      <c r="F142">
        <v>-573</v>
      </c>
      <c r="G142">
        <v>-27121.24</v>
      </c>
      <c r="H142">
        <v>1503</v>
      </c>
      <c r="I142">
        <v>2.0840728579669E-2</v>
      </c>
      <c r="J142">
        <v>70655.16</v>
      </c>
      <c r="K142">
        <v>2.0813169633473402E-2</v>
      </c>
      <c r="L142">
        <v>465</v>
      </c>
      <c r="M142">
        <v>1.2895460797799199E-2</v>
      </c>
      <c r="N142">
        <v>46.810666666666698</v>
      </c>
      <c r="O142">
        <v>21766.959999999999</v>
      </c>
      <c r="P142">
        <v>1.2823958813058599E-2</v>
      </c>
      <c r="Q142">
        <v>1038</v>
      </c>
      <c r="R142">
        <v>2.87859963615388E-2</v>
      </c>
      <c r="S142">
        <v>47.098458574181102</v>
      </c>
      <c r="T142">
        <v>48888.2</v>
      </c>
      <c r="U142">
        <v>2.8802380453888301E-2</v>
      </c>
      <c r="V142">
        <v>107</v>
      </c>
      <c r="W142">
        <v>0.60281690140845101</v>
      </c>
    </row>
    <row r="143" spans="1:23" hidden="1" x14ac:dyDescent="0.25">
      <c r="A143" t="s">
        <v>87</v>
      </c>
      <c r="B143">
        <v>5</v>
      </c>
      <c r="C143">
        <v>2025</v>
      </c>
      <c r="D143" t="s">
        <v>155</v>
      </c>
      <c r="E143" t="s">
        <v>156</v>
      </c>
      <c r="F143">
        <v>2170</v>
      </c>
      <c r="G143">
        <v>105195.2</v>
      </c>
      <c r="H143">
        <v>3030</v>
      </c>
      <c r="I143">
        <v>4.2014243244442501E-2</v>
      </c>
      <c r="J143">
        <v>145236.79999999999</v>
      </c>
      <c r="K143">
        <v>4.2782977993721202E-2</v>
      </c>
      <c r="L143">
        <v>2600</v>
      </c>
      <c r="M143">
        <v>7.2103651772640498E-2</v>
      </c>
      <c r="N143">
        <v>48.16</v>
      </c>
      <c r="O143">
        <v>125216</v>
      </c>
      <c r="P143">
        <v>7.3770743674630698E-2</v>
      </c>
      <c r="Q143">
        <v>430</v>
      </c>
      <c r="R143">
        <v>1.1924834716244399E-2</v>
      </c>
      <c r="S143">
        <v>46.56</v>
      </c>
      <c r="T143">
        <v>20020.8</v>
      </c>
      <c r="U143">
        <v>1.17952123128118E-2</v>
      </c>
      <c r="V143">
        <v>6</v>
      </c>
      <c r="W143">
        <v>3.3802816901408399E-2</v>
      </c>
    </row>
    <row r="144" spans="1:23" hidden="1" x14ac:dyDescent="0.25">
      <c r="A144" t="s">
        <v>87</v>
      </c>
      <c r="B144">
        <v>6</v>
      </c>
      <c r="C144">
        <v>2025</v>
      </c>
      <c r="D144" t="s">
        <v>88</v>
      </c>
      <c r="E144" t="s">
        <v>89</v>
      </c>
      <c r="F144">
        <v>83500</v>
      </c>
      <c r="G144">
        <v>4236401.38</v>
      </c>
      <c r="H144">
        <v>182642</v>
      </c>
      <c r="I144">
        <v>3.3246068819191401</v>
      </c>
      <c r="J144">
        <v>9343999.3000000007</v>
      </c>
      <c r="K144">
        <v>3.3299606794828001</v>
      </c>
      <c r="L144">
        <v>133071</v>
      </c>
      <c r="M144">
        <v>4.8445457494318003</v>
      </c>
      <c r="N144">
        <v>51.026897971759396</v>
      </c>
      <c r="O144">
        <v>6790200.3399999999</v>
      </c>
      <c r="P144">
        <v>4.8397050153911501</v>
      </c>
      <c r="Q144">
        <v>49571</v>
      </c>
      <c r="R144">
        <v>1.80466801440647</v>
      </c>
      <c r="S144">
        <v>51.518003671501504</v>
      </c>
      <c r="T144">
        <v>2553798.96</v>
      </c>
      <c r="U144">
        <v>1.8202163435744401</v>
      </c>
      <c r="V144">
        <v>780</v>
      </c>
      <c r="W144">
        <v>3.3649698015530598</v>
      </c>
    </row>
    <row r="145" spans="1:23" hidden="1" x14ac:dyDescent="0.25">
      <c r="A145" t="s">
        <v>87</v>
      </c>
      <c r="B145">
        <v>6</v>
      </c>
      <c r="C145">
        <v>2025</v>
      </c>
      <c r="D145" t="s">
        <v>90</v>
      </c>
      <c r="E145" t="s">
        <v>91</v>
      </c>
      <c r="F145">
        <v>125494</v>
      </c>
      <c r="G145">
        <v>6460517.1500000004</v>
      </c>
      <c r="H145">
        <v>309664</v>
      </c>
      <c r="I145">
        <v>5.6367706523286403</v>
      </c>
      <c r="J145">
        <v>15783130.43</v>
      </c>
      <c r="K145">
        <v>5.6247011631356196</v>
      </c>
      <c r="L145">
        <v>217579</v>
      </c>
      <c r="M145">
        <v>7.9211204516056899</v>
      </c>
      <c r="N145">
        <v>51.116255658864098</v>
      </c>
      <c r="O145">
        <v>11121823.789999999</v>
      </c>
      <c r="P145">
        <v>7.9270630734821097</v>
      </c>
      <c r="Q145">
        <v>92085</v>
      </c>
      <c r="R145">
        <v>3.35242085305158</v>
      </c>
      <c r="S145">
        <v>50.619608405277802</v>
      </c>
      <c r="T145">
        <v>4661306.6399999997</v>
      </c>
      <c r="U145">
        <v>3.32233925278913</v>
      </c>
      <c r="V145">
        <v>1626</v>
      </c>
      <c r="W145">
        <v>7.0146678170836898</v>
      </c>
    </row>
    <row r="146" spans="1:23" hidden="1" x14ac:dyDescent="0.25">
      <c r="A146" t="s">
        <v>87</v>
      </c>
      <c r="B146">
        <v>6</v>
      </c>
      <c r="C146">
        <v>2025</v>
      </c>
      <c r="D146" t="s">
        <v>92</v>
      </c>
      <c r="E146" t="s">
        <v>93</v>
      </c>
      <c r="F146">
        <v>35120</v>
      </c>
      <c r="G146">
        <v>1795891.92</v>
      </c>
      <c r="H146">
        <v>42680</v>
      </c>
      <c r="I146">
        <v>0.77689809419689204</v>
      </c>
      <c r="J146">
        <v>2165452.6</v>
      </c>
      <c r="K146">
        <v>0.77171153162262995</v>
      </c>
      <c r="L146">
        <v>38900</v>
      </c>
      <c r="M146">
        <v>1.4161825615866499</v>
      </c>
      <c r="N146">
        <v>50.917024678663203</v>
      </c>
      <c r="O146">
        <v>1980672.26</v>
      </c>
      <c r="P146">
        <v>1.4117211555746401</v>
      </c>
      <c r="Q146">
        <v>3780</v>
      </c>
      <c r="R146">
        <v>0.13761362680713499</v>
      </c>
      <c r="S146">
        <v>48.883687830687798</v>
      </c>
      <c r="T146">
        <v>184780.34</v>
      </c>
      <c r="U146">
        <v>0.13170190767061901</v>
      </c>
      <c r="V146">
        <v>59</v>
      </c>
      <c r="W146">
        <v>0.25452976704055202</v>
      </c>
    </row>
    <row r="147" spans="1:23" hidden="1" x14ac:dyDescent="0.25">
      <c r="A147" t="s">
        <v>87</v>
      </c>
      <c r="B147">
        <v>6</v>
      </c>
      <c r="C147">
        <v>2025</v>
      </c>
      <c r="D147" t="s">
        <v>94</v>
      </c>
      <c r="E147" t="s">
        <v>95</v>
      </c>
      <c r="F147">
        <v>-1021437</v>
      </c>
      <c r="G147">
        <v>-52137083.869999997</v>
      </c>
      <c r="H147">
        <v>1044561</v>
      </c>
      <c r="I147">
        <v>19.013998363926898</v>
      </c>
      <c r="J147">
        <v>53311968.270000003</v>
      </c>
      <c r="K147">
        <v>18.9990123484849</v>
      </c>
      <c r="L147">
        <v>11562</v>
      </c>
      <c r="M147">
        <v>0.42092295056721901</v>
      </c>
      <c r="N147">
        <v>50.808008994983602</v>
      </c>
      <c r="O147">
        <v>587442.19999999995</v>
      </c>
      <c r="P147">
        <v>0.41869853895833897</v>
      </c>
      <c r="Q147">
        <v>1032999</v>
      </c>
      <c r="R147">
        <v>37.607073777286502</v>
      </c>
      <c r="S147">
        <v>51.040248896659101</v>
      </c>
      <c r="T147">
        <v>52724526.07</v>
      </c>
      <c r="U147">
        <v>37.579326158011497</v>
      </c>
      <c r="V147">
        <v>3357</v>
      </c>
      <c r="W147">
        <v>14.4823123382226</v>
      </c>
    </row>
    <row r="148" spans="1:23" hidden="1" x14ac:dyDescent="0.25">
      <c r="A148" t="s">
        <v>87</v>
      </c>
      <c r="B148">
        <v>6</v>
      </c>
      <c r="C148">
        <v>2025</v>
      </c>
      <c r="D148" t="s">
        <v>96</v>
      </c>
      <c r="E148" t="s">
        <v>97</v>
      </c>
      <c r="F148">
        <v>32912</v>
      </c>
      <c r="G148">
        <v>1682345.73</v>
      </c>
      <c r="H148">
        <v>56850</v>
      </c>
      <c r="I148">
        <v>1.03483263015682</v>
      </c>
      <c r="J148">
        <v>2881637.77</v>
      </c>
      <c r="K148">
        <v>1.02694147960954</v>
      </c>
      <c r="L148">
        <v>44881</v>
      </c>
      <c r="M148">
        <v>1.63392518114577</v>
      </c>
      <c r="N148">
        <v>50.845385575187699</v>
      </c>
      <c r="O148">
        <v>2281991.75</v>
      </c>
      <c r="P148">
        <v>1.62648616602618</v>
      </c>
      <c r="Q148">
        <v>11969</v>
      </c>
      <c r="R148">
        <v>0.43574007916788199</v>
      </c>
      <c r="S148">
        <v>50.099926476731603</v>
      </c>
      <c r="T148">
        <v>599646.02</v>
      </c>
      <c r="U148">
        <v>0.42739679319290103</v>
      </c>
      <c r="V148">
        <v>174</v>
      </c>
      <c r="W148">
        <v>0.75064710957722203</v>
      </c>
    </row>
    <row r="149" spans="1:23" hidden="1" x14ac:dyDescent="0.25">
      <c r="A149" t="s">
        <v>87</v>
      </c>
      <c r="B149">
        <v>6</v>
      </c>
      <c r="C149">
        <v>2025</v>
      </c>
      <c r="D149" t="s">
        <v>98</v>
      </c>
      <c r="E149" t="s">
        <v>99</v>
      </c>
      <c r="F149">
        <v>-300</v>
      </c>
      <c r="G149">
        <v>-15300</v>
      </c>
      <c r="H149">
        <v>300</v>
      </c>
      <c r="I149">
        <v>5.4608582066323196E-3</v>
      </c>
      <c r="J149">
        <v>15300</v>
      </c>
      <c r="K149">
        <v>5.4525259217524501E-3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300</v>
      </c>
      <c r="R149">
        <v>1.0921716413264599E-2</v>
      </c>
      <c r="S149">
        <v>51</v>
      </c>
      <c r="T149">
        <v>15300</v>
      </c>
      <c r="U149">
        <v>1.09050518435049E-2</v>
      </c>
      <c r="V149">
        <v>4</v>
      </c>
      <c r="W149">
        <v>1.72562553925798E-2</v>
      </c>
    </row>
    <row r="150" spans="1:23" hidden="1" x14ac:dyDescent="0.25">
      <c r="A150" t="s">
        <v>87</v>
      </c>
      <c r="B150">
        <v>6</v>
      </c>
      <c r="C150">
        <v>2025</v>
      </c>
      <c r="D150" t="s">
        <v>100</v>
      </c>
      <c r="E150" t="s">
        <v>101</v>
      </c>
      <c r="F150">
        <v>18377</v>
      </c>
      <c r="G150">
        <v>935044.71</v>
      </c>
      <c r="H150">
        <v>20977</v>
      </c>
      <c r="I150">
        <v>0.38184140866842098</v>
      </c>
      <c r="J150">
        <v>1069204.71</v>
      </c>
      <c r="K150">
        <v>0.38103701940750401</v>
      </c>
      <c r="L150">
        <v>19677</v>
      </c>
      <c r="M150">
        <v>0.71635537954602801</v>
      </c>
      <c r="N150">
        <v>50.928734563195597</v>
      </c>
      <c r="O150">
        <v>1002124.71</v>
      </c>
      <c r="P150">
        <v>0.71426287034034797</v>
      </c>
      <c r="Q150">
        <v>1300</v>
      </c>
      <c r="R150">
        <v>4.7327437790813401E-2</v>
      </c>
      <c r="S150">
        <v>51.6</v>
      </c>
      <c r="T150">
        <v>67080</v>
      </c>
      <c r="U150">
        <v>4.7811168474660701E-2</v>
      </c>
      <c r="V150">
        <v>36</v>
      </c>
      <c r="W150">
        <v>0.15530629853321801</v>
      </c>
    </row>
    <row r="151" spans="1:23" hidden="1" x14ac:dyDescent="0.25">
      <c r="A151" t="s">
        <v>87</v>
      </c>
      <c r="B151">
        <v>6</v>
      </c>
      <c r="C151">
        <v>2025</v>
      </c>
      <c r="D151" t="s">
        <v>102</v>
      </c>
      <c r="E151" t="s">
        <v>103</v>
      </c>
      <c r="F151">
        <v>202612</v>
      </c>
      <c r="G151">
        <v>10257837.189999999</v>
      </c>
      <c r="H151">
        <v>927232</v>
      </c>
      <c r="I151">
        <v>16.878274922173699</v>
      </c>
      <c r="J151">
        <v>47374171.93</v>
      </c>
      <c r="K151">
        <v>16.8829346712341</v>
      </c>
      <c r="L151">
        <v>564922</v>
      </c>
      <c r="M151">
        <v>20.566392932047599</v>
      </c>
      <c r="N151">
        <v>51.008819907881097</v>
      </c>
      <c r="O151">
        <v>28816004.559999999</v>
      </c>
      <c r="P151">
        <v>20.538563637220498</v>
      </c>
      <c r="Q151">
        <v>362310</v>
      </c>
      <c r="R151">
        <v>13.190156912299701</v>
      </c>
      <c r="S151">
        <v>51.221791752918797</v>
      </c>
      <c r="T151">
        <v>18558167.370000001</v>
      </c>
      <c r="U151">
        <v>13.227305705247799</v>
      </c>
      <c r="V151">
        <v>3904</v>
      </c>
      <c r="W151">
        <v>16.842105263157901</v>
      </c>
    </row>
    <row r="152" spans="1:23" hidden="1" x14ac:dyDescent="0.25">
      <c r="A152" t="s">
        <v>87</v>
      </c>
      <c r="B152">
        <v>6</v>
      </c>
      <c r="C152">
        <v>2025</v>
      </c>
      <c r="D152" t="s">
        <v>161</v>
      </c>
      <c r="E152" t="s">
        <v>162</v>
      </c>
      <c r="F152">
        <v>2702</v>
      </c>
      <c r="G152">
        <v>139724.79999999999</v>
      </c>
      <c r="H152">
        <v>2702</v>
      </c>
      <c r="I152">
        <v>4.9184129581068402E-2</v>
      </c>
      <c r="J152">
        <v>139724.79999999999</v>
      </c>
      <c r="K152">
        <v>4.9794319863508303E-2</v>
      </c>
      <c r="L152">
        <v>2702</v>
      </c>
      <c r="M152">
        <v>9.8368259162136901E-2</v>
      </c>
      <c r="N152">
        <v>51.711621021465596</v>
      </c>
      <c r="O152">
        <v>139724.79999999999</v>
      </c>
      <c r="P152">
        <v>9.9588639727016606E-2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4</v>
      </c>
      <c r="W152">
        <v>1.72562553925798E-2</v>
      </c>
    </row>
    <row r="153" spans="1:23" hidden="1" x14ac:dyDescent="0.25">
      <c r="A153" t="s">
        <v>87</v>
      </c>
      <c r="B153">
        <v>6</v>
      </c>
      <c r="C153">
        <v>2025</v>
      </c>
      <c r="D153" t="s">
        <v>104</v>
      </c>
      <c r="E153" t="s">
        <v>105</v>
      </c>
      <c r="F153">
        <v>82683</v>
      </c>
      <c r="G153">
        <v>4240499.53</v>
      </c>
      <c r="H153">
        <v>214039</v>
      </c>
      <c r="I153">
        <v>3.8961220989645899</v>
      </c>
      <c r="J153">
        <v>10988522.609999999</v>
      </c>
      <c r="K153">
        <v>3.91602642959398</v>
      </c>
      <c r="L153">
        <v>148361</v>
      </c>
      <c r="M153">
        <v>5.4011892292945198</v>
      </c>
      <c r="N153">
        <v>51.324209664264899</v>
      </c>
      <c r="O153">
        <v>7614511.0700000003</v>
      </c>
      <c r="P153">
        <v>5.4272312406073198</v>
      </c>
      <c r="Q153">
        <v>65678</v>
      </c>
      <c r="R153">
        <v>2.3910549686346498</v>
      </c>
      <c r="S153">
        <v>51.372020158957298</v>
      </c>
      <c r="T153">
        <v>3374011.54</v>
      </c>
      <c r="U153">
        <v>2.4048216185806401</v>
      </c>
      <c r="V153">
        <v>1607</v>
      </c>
      <c r="W153">
        <v>6.9327006039689403</v>
      </c>
    </row>
    <row r="154" spans="1:23" hidden="1" x14ac:dyDescent="0.25">
      <c r="A154" t="s">
        <v>87</v>
      </c>
      <c r="B154">
        <v>6</v>
      </c>
      <c r="C154">
        <v>2025</v>
      </c>
      <c r="D154" t="s">
        <v>106</v>
      </c>
      <c r="E154" t="s">
        <v>107</v>
      </c>
      <c r="F154">
        <v>52403</v>
      </c>
      <c r="G154">
        <v>2698252.68</v>
      </c>
      <c r="H154">
        <v>221747</v>
      </c>
      <c r="I154">
        <v>4.03642974915366</v>
      </c>
      <c r="J154">
        <v>11314689.6</v>
      </c>
      <c r="K154">
        <v>4.0322639438289496</v>
      </c>
      <c r="L154">
        <v>137075</v>
      </c>
      <c r="M154">
        <v>4.9903142578275004</v>
      </c>
      <c r="N154">
        <v>51.114142914462903</v>
      </c>
      <c r="O154">
        <v>7006471.1399999997</v>
      </c>
      <c r="P154">
        <v>4.9938517007660703</v>
      </c>
      <c r="Q154">
        <v>84672</v>
      </c>
      <c r="R154">
        <v>3.0825452404798099</v>
      </c>
      <c r="S154">
        <v>50.881264880952401</v>
      </c>
      <c r="T154">
        <v>4308218.46</v>
      </c>
      <c r="U154">
        <v>3.07067618689182</v>
      </c>
      <c r="V154">
        <v>978</v>
      </c>
      <c r="W154">
        <v>4.2191544434857597</v>
      </c>
    </row>
    <row r="155" spans="1:23" hidden="1" x14ac:dyDescent="0.25">
      <c r="A155" t="s">
        <v>87</v>
      </c>
      <c r="B155">
        <v>6</v>
      </c>
      <c r="C155">
        <v>2025</v>
      </c>
      <c r="D155" t="s">
        <v>108</v>
      </c>
      <c r="E155" t="s">
        <v>109</v>
      </c>
      <c r="F155">
        <v>620</v>
      </c>
      <c r="G155">
        <v>31837</v>
      </c>
      <c r="H155">
        <v>620</v>
      </c>
      <c r="I155">
        <v>1.1285773627040099E-2</v>
      </c>
      <c r="J155">
        <v>31837</v>
      </c>
      <c r="K155">
        <v>1.13458867824074E-2</v>
      </c>
      <c r="L155">
        <v>620</v>
      </c>
      <c r="M155">
        <v>2.2571547254080299E-2</v>
      </c>
      <c r="N155">
        <v>51.35</v>
      </c>
      <c r="O155">
        <v>31837</v>
      </c>
      <c r="P155">
        <v>2.2691773564814801E-2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5</v>
      </c>
      <c r="W155">
        <v>2.1570319240724799E-2</v>
      </c>
    </row>
    <row r="156" spans="1:23" hidden="1" x14ac:dyDescent="0.25">
      <c r="A156" t="s">
        <v>87</v>
      </c>
      <c r="B156">
        <v>6</v>
      </c>
      <c r="C156">
        <v>2025</v>
      </c>
      <c r="D156" t="s">
        <v>110</v>
      </c>
      <c r="E156" t="s">
        <v>111</v>
      </c>
      <c r="F156">
        <v>33729</v>
      </c>
      <c r="G156">
        <v>1727861.7</v>
      </c>
      <c r="H156">
        <v>57025</v>
      </c>
      <c r="I156">
        <v>1.0380181307773599</v>
      </c>
      <c r="J156">
        <v>2924485.94</v>
      </c>
      <c r="K156">
        <v>1.04221146376801</v>
      </c>
      <c r="L156">
        <v>45377</v>
      </c>
      <c r="M156">
        <v>1.65198241894903</v>
      </c>
      <c r="N156">
        <v>51.263279194305497</v>
      </c>
      <c r="O156">
        <v>2326173.8199999998</v>
      </c>
      <c r="P156">
        <v>1.65797686954927</v>
      </c>
      <c r="Q156">
        <v>11648</v>
      </c>
      <c r="R156">
        <v>0.42405384260568901</v>
      </c>
      <c r="S156">
        <v>51.366081730769203</v>
      </c>
      <c r="T156">
        <v>598312.12</v>
      </c>
      <c r="U156">
        <v>0.426446057986754</v>
      </c>
      <c r="V156">
        <v>306</v>
      </c>
      <c r="W156">
        <v>1.32010353753236</v>
      </c>
    </row>
    <row r="157" spans="1:23" hidden="1" x14ac:dyDescent="0.25">
      <c r="A157" t="s">
        <v>87</v>
      </c>
      <c r="B157">
        <v>6</v>
      </c>
      <c r="C157">
        <v>2025</v>
      </c>
      <c r="D157" t="s">
        <v>112</v>
      </c>
      <c r="E157" t="s">
        <v>113</v>
      </c>
      <c r="F157">
        <v>8900</v>
      </c>
      <c r="G157">
        <v>458015</v>
      </c>
      <c r="H157">
        <v>8900</v>
      </c>
      <c r="I157">
        <v>0.16200546013009201</v>
      </c>
      <c r="J157">
        <v>458015</v>
      </c>
      <c r="K157">
        <v>0.16322474902297099</v>
      </c>
      <c r="L157">
        <v>8900</v>
      </c>
      <c r="M157">
        <v>0.32401092026018402</v>
      </c>
      <c r="N157">
        <v>51.4623595505618</v>
      </c>
      <c r="O157">
        <v>458015</v>
      </c>
      <c r="P157">
        <v>0.32644949804594098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13</v>
      </c>
      <c r="W157">
        <v>5.6082830025884399E-2</v>
      </c>
    </row>
    <row r="158" spans="1:23" hidden="1" x14ac:dyDescent="0.25">
      <c r="A158" t="s">
        <v>87</v>
      </c>
      <c r="B158">
        <v>6</v>
      </c>
      <c r="C158">
        <v>2025</v>
      </c>
      <c r="D158" t="s">
        <v>114</v>
      </c>
      <c r="E158" t="s">
        <v>115</v>
      </c>
      <c r="F158">
        <v>-430</v>
      </c>
      <c r="G158">
        <v>-21070</v>
      </c>
      <c r="H158">
        <v>430</v>
      </c>
      <c r="I158">
        <v>7.8272300961729907E-3</v>
      </c>
      <c r="J158">
        <v>21070</v>
      </c>
      <c r="K158">
        <v>7.5088053053153098E-3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430</v>
      </c>
      <c r="R158">
        <v>1.5654460192345999E-2</v>
      </c>
      <c r="S158">
        <v>49</v>
      </c>
      <c r="T158">
        <v>21070</v>
      </c>
      <c r="U158">
        <v>1.5017610610630601E-2</v>
      </c>
      <c r="V158">
        <v>6</v>
      </c>
      <c r="W158">
        <v>2.58843830888697E-2</v>
      </c>
    </row>
    <row r="159" spans="1:23" hidden="1" x14ac:dyDescent="0.25">
      <c r="A159" t="s">
        <v>87</v>
      </c>
      <c r="B159">
        <v>6</v>
      </c>
      <c r="C159">
        <v>2025</v>
      </c>
      <c r="D159" t="s">
        <v>163</v>
      </c>
      <c r="E159" t="s">
        <v>164</v>
      </c>
      <c r="F159">
        <v>400</v>
      </c>
      <c r="G159">
        <v>16372</v>
      </c>
      <c r="H159">
        <v>3600</v>
      </c>
      <c r="I159">
        <v>6.5530298479587898E-2</v>
      </c>
      <c r="J159">
        <v>182148</v>
      </c>
      <c r="K159">
        <v>6.4912855659827795E-2</v>
      </c>
      <c r="L159">
        <v>2000</v>
      </c>
      <c r="M159">
        <v>7.28114427550976E-2</v>
      </c>
      <c r="N159">
        <v>49.63</v>
      </c>
      <c r="O159">
        <v>99260</v>
      </c>
      <c r="P159">
        <v>7.0747414770346198E-2</v>
      </c>
      <c r="Q159">
        <v>1600</v>
      </c>
      <c r="R159">
        <v>5.8249154204078099E-2</v>
      </c>
      <c r="S159">
        <v>51.805</v>
      </c>
      <c r="T159">
        <v>82888</v>
      </c>
      <c r="U159">
        <v>5.9078296549309503E-2</v>
      </c>
      <c r="V159">
        <v>17</v>
      </c>
      <c r="W159">
        <v>7.3339085418464206E-2</v>
      </c>
    </row>
    <row r="160" spans="1:23" hidden="1" x14ac:dyDescent="0.25">
      <c r="A160" t="s">
        <v>87</v>
      </c>
      <c r="B160">
        <v>6</v>
      </c>
      <c r="C160">
        <v>2025</v>
      </c>
      <c r="D160" t="s">
        <v>116</v>
      </c>
      <c r="E160" t="s">
        <v>117</v>
      </c>
      <c r="F160">
        <v>24237</v>
      </c>
      <c r="G160">
        <v>1252810.7</v>
      </c>
      <c r="H160">
        <v>32969</v>
      </c>
      <c r="I160">
        <v>0.60013011404820304</v>
      </c>
      <c r="J160">
        <v>1689757.18</v>
      </c>
      <c r="K160">
        <v>0.60218593630178596</v>
      </c>
      <c r="L160">
        <v>28603</v>
      </c>
      <c r="M160">
        <v>1.04131284856203</v>
      </c>
      <c r="N160">
        <v>51.438098800825102</v>
      </c>
      <c r="O160">
        <v>1471283.94</v>
      </c>
      <c r="P160">
        <v>1.0486554014520399</v>
      </c>
      <c r="Q160">
        <v>4366</v>
      </c>
      <c r="R160">
        <v>0.15894737953437801</v>
      </c>
      <c r="S160">
        <v>50.039679340357303</v>
      </c>
      <c r="T160">
        <v>218473.24</v>
      </c>
      <c r="U160">
        <v>0.155716471151535</v>
      </c>
      <c r="V160">
        <v>91</v>
      </c>
      <c r="W160">
        <v>0.39257981018119098</v>
      </c>
    </row>
    <row r="161" spans="1:23" hidden="1" x14ac:dyDescent="0.25">
      <c r="A161" t="s">
        <v>87</v>
      </c>
      <c r="B161">
        <v>6</v>
      </c>
      <c r="C161">
        <v>2025</v>
      </c>
      <c r="D161" t="s">
        <v>118</v>
      </c>
      <c r="E161" t="s">
        <v>119</v>
      </c>
      <c r="F161">
        <v>16010</v>
      </c>
      <c r="G161">
        <v>805856.9</v>
      </c>
      <c r="H161">
        <v>22770</v>
      </c>
      <c r="I161">
        <v>0.41447913788339302</v>
      </c>
      <c r="J161">
        <v>1153784.82</v>
      </c>
      <c r="K161">
        <v>0.41117919210290799</v>
      </c>
      <c r="L161">
        <v>19390</v>
      </c>
      <c r="M161">
        <v>0.70590693751067102</v>
      </c>
      <c r="N161">
        <v>50.532277462609599</v>
      </c>
      <c r="O161">
        <v>979820.86</v>
      </c>
      <c r="P161">
        <v>0.698365835009645</v>
      </c>
      <c r="Q161">
        <v>3380</v>
      </c>
      <c r="R161">
        <v>0.123051338256115</v>
      </c>
      <c r="S161">
        <v>51.468627218934898</v>
      </c>
      <c r="T161">
        <v>173963.96</v>
      </c>
      <c r="U161">
        <v>0.123992549196171</v>
      </c>
      <c r="V161">
        <v>117</v>
      </c>
      <c r="W161">
        <v>0.50474547023295901</v>
      </c>
    </row>
    <row r="162" spans="1:23" hidden="1" x14ac:dyDescent="0.25">
      <c r="A162" t="s">
        <v>87</v>
      </c>
      <c r="B162">
        <v>6</v>
      </c>
      <c r="C162">
        <v>2025</v>
      </c>
      <c r="D162" t="s">
        <v>120</v>
      </c>
      <c r="E162" t="s">
        <v>121</v>
      </c>
      <c r="F162">
        <v>2256</v>
      </c>
      <c r="G162">
        <v>108550.64</v>
      </c>
      <c r="H162">
        <v>3232</v>
      </c>
      <c r="I162">
        <v>5.8831645746118898E-2</v>
      </c>
      <c r="J162">
        <v>160641.51999999999</v>
      </c>
      <c r="K162">
        <v>5.7248500124817997E-2</v>
      </c>
      <c r="L162">
        <v>2744</v>
      </c>
      <c r="M162">
        <v>9.9897299459993899E-2</v>
      </c>
      <c r="N162">
        <v>49.051049562682202</v>
      </c>
      <c r="O162">
        <v>134596.07999999999</v>
      </c>
      <c r="P162">
        <v>9.59331523093159E-2</v>
      </c>
      <c r="Q162">
        <v>488</v>
      </c>
      <c r="R162">
        <v>1.7765992032243799E-2</v>
      </c>
      <c r="S162">
        <v>53.371803278688503</v>
      </c>
      <c r="T162">
        <v>26045.439999999999</v>
      </c>
      <c r="U162">
        <v>1.856384794032E-2</v>
      </c>
      <c r="V162">
        <v>19</v>
      </c>
      <c r="W162">
        <v>8.1967213114754106E-2</v>
      </c>
    </row>
    <row r="163" spans="1:23" hidden="1" x14ac:dyDescent="0.25">
      <c r="A163" t="s">
        <v>87</v>
      </c>
      <c r="B163">
        <v>6</v>
      </c>
      <c r="C163">
        <v>2025</v>
      </c>
      <c r="D163" t="s">
        <v>122</v>
      </c>
      <c r="E163" t="s">
        <v>123</v>
      </c>
      <c r="F163">
        <v>1788</v>
      </c>
      <c r="G163">
        <v>94074.48</v>
      </c>
      <c r="H163">
        <v>41260</v>
      </c>
      <c r="I163">
        <v>0.75105003201883203</v>
      </c>
      <c r="J163">
        <v>2127788.9</v>
      </c>
      <c r="K163">
        <v>0.75828915903706795</v>
      </c>
      <c r="L163">
        <v>21524</v>
      </c>
      <c r="M163">
        <v>0.78359674693036097</v>
      </c>
      <c r="N163">
        <v>51.613626184723998</v>
      </c>
      <c r="O163">
        <v>1110931.69</v>
      </c>
      <c r="P163">
        <v>0.79181488065637395</v>
      </c>
      <c r="Q163">
        <v>19736</v>
      </c>
      <c r="R163">
        <v>0.71850331710730297</v>
      </c>
      <c r="S163">
        <v>51.522963619781102</v>
      </c>
      <c r="T163">
        <v>1016857.21</v>
      </c>
      <c r="U163">
        <v>0.72476343741776195</v>
      </c>
      <c r="V163">
        <v>230</v>
      </c>
      <c r="W163">
        <v>0.99223468507333901</v>
      </c>
    </row>
    <row r="164" spans="1:23" hidden="1" x14ac:dyDescent="0.25">
      <c r="A164" t="s">
        <v>87</v>
      </c>
      <c r="B164">
        <v>6</v>
      </c>
      <c r="C164">
        <v>2025</v>
      </c>
      <c r="D164" t="s">
        <v>124</v>
      </c>
      <c r="E164" t="s">
        <v>125</v>
      </c>
      <c r="F164">
        <v>-6778</v>
      </c>
      <c r="G164">
        <v>-341611.72</v>
      </c>
      <c r="H164">
        <v>10162</v>
      </c>
      <c r="I164">
        <v>0.18497747031932599</v>
      </c>
      <c r="J164">
        <v>516523.32</v>
      </c>
      <c r="K164">
        <v>0.184075607286904</v>
      </c>
      <c r="L164">
        <v>1692</v>
      </c>
      <c r="M164">
        <v>6.1598480570812603E-2</v>
      </c>
      <c r="N164">
        <v>51.687825059101698</v>
      </c>
      <c r="O164">
        <v>87455.8</v>
      </c>
      <c r="P164">
        <v>6.2333989085960599E-2</v>
      </c>
      <c r="Q164">
        <v>8470</v>
      </c>
      <c r="R164">
        <v>0.30835646006783801</v>
      </c>
      <c r="S164">
        <v>50.657322314049601</v>
      </c>
      <c r="T164">
        <v>429067.52000000002</v>
      </c>
      <c r="U164">
        <v>0.30581722548784801</v>
      </c>
      <c r="V164">
        <v>39</v>
      </c>
      <c r="W164">
        <v>0.168248490077653</v>
      </c>
    </row>
    <row r="165" spans="1:23" hidden="1" x14ac:dyDescent="0.25">
      <c r="A165" t="s">
        <v>87</v>
      </c>
      <c r="B165">
        <v>6</v>
      </c>
      <c r="C165">
        <v>2025</v>
      </c>
      <c r="D165" t="s">
        <v>126</v>
      </c>
      <c r="E165" t="s">
        <v>127</v>
      </c>
      <c r="F165">
        <v>22460</v>
      </c>
      <c r="G165">
        <v>1158377.02</v>
      </c>
      <c r="H165">
        <v>24106</v>
      </c>
      <c r="I165">
        <v>0.43879815976359599</v>
      </c>
      <c r="J165">
        <v>1242108.1200000001</v>
      </c>
      <c r="K165">
        <v>0.44265534130190898</v>
      </c>
      <c r="L165">
        <v>23283</v>
      </c>
      <c r="M165">
        <v>0.84763441083346902</v>
      </c>
      <c r="N165">
        <v>51.550168363183403</v>
      </c>
      <c r="O165">
        <v>1200242.57</v>
      </c>
      <c r="P165">
        <v>0.85547107520467802</v>
      </c>
      <c r="Q165">
        <v>823</v>
      </c>
      <c r="R165">
        <v>2.99619086937227E-2</v>
      </c>
      <c r="S165">
        <v>50.869441069258798</v>
      </c>
      <c r="T165">
        <v>41865.550000000003</v>
      </c>
      <c r="U165">
        <v>2.9839607399140301E-2</v>
      </c>
      <c r="V165">
        <v>167</v>
      </c>
      <c r="W165">
        <v>0.72044866264020702</v>
      </c>
    </row>
    <row r="166" spans="1:23" hidden="1" x14ac:dyDescent="0.25">
      <c r="A166" t="s">
        <v>87</v>
      </c>
      <c r="B166">
        <v>6</v>
      </c>
      <c r="C166">
        <v>2025</v>
      </c>
      <c r="D166" t="s">
        <v>128</v>
      </c>
      <c r="E166" t="s">
        <v>129</v>
      </c>
      <c r="F166">
        <v>5570</v>
      </c>
      <c r="G166">
        <v>284725.59999999998</v>
      </c>
      <c r="H166">
        <v>5570</v>
      </c>
      <c r="I166">
        <v>0.10138993403647301</v>
      </c>
      <c r="J166">
        <v>284725.59999999998</v>
      </c>
      <c r="K166">
        <v>0.10146887023441301</v>
      </c>
      <c r="L166">
        <v>5570</v>
      </c>
      <c r="M166">
        <v>0.20277986807294701</v>
      </c>
      <c r="N166">
        <v>51.117701974865298</v>
      </c>
      <c r="O166">
        <v>284725.59999999998</v>
      </c>
      <c r="P166">
        <v>0.20293774046882601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4</v>
      </c>
      <c r="W166">
        <v>1.72562553925798E-2</v>
      </c>
    </row>
    <row r="167" spans="1:23" hidden="1" x14ac:dyDescent="0.25">
      <c r="A167" t="s">
        <v>87</v>
      </c>
      <c r="B167">
        <v>6</v>
      </c>
      <c r="C167">
        <v>2025</v>
      </c>
      <c r="D167" t="s">
        <v>130</v>
      </c>
      <c r="E167" t="s">
        <v>131</v>
      </c>
      <c r="F167">
        <v>42141</v>
      </c>
      <c r="G167">
        <v>2170740.15</v>
      </c>
      <c r="H167">
        <v>119997</v>
      </c>
      <c r="I167">
        <v>2.18428867407086</v>
      </c>
      <c r="J167">
        <v>6140400.9500000002</v>
      </c>
      <c r="K167">
        <v>2.1882807418188501</v>
      </c>
      <c r="L167">
        <v>81069</v>
      </c>
      <c r="M167">
        <v>2.9513754263565</v>
      </c>
      <c r="N167">
        <v>51.259674474830099</v>
      </c>
      <c r="O167">
        <v>4155570.55</v>
      </c>
      <c r="P167">
        <v>2.96187662007139</v>
      </c>
      <c r="Q167">
        <v>38928</v>
      </c>
      <c r="R167">
        <v>1.4172019217852201</v>
      </c>
      <c r="S167">
        <v>50.987217427044797</v>
      </c>
      <c r="T167">
        <v>1984830.4</v>
      </c>
      <c r="U167">
        <v>1.4146848635663101</v>
      </c>
      <c r="V167">
        <v>435</v>
      </c>
      <c r="W167">
        <v>1.8766177739430501</v>
      </c>
    </row>
    <row r="168" spans="1:23" hidden="1" x14ac:dyDescent="0.25">
      <c r="A168" t="s">
        <v>87</v>
      </c>
      <c r="B168">
        <v>6</v>
      </c>
      <c r="C168">
        <v>2025</v>
      </c>
      <c r="D168" t="s">
        <v>132</v>
      </c>
      <c r="E168" t="s">
        <v>133</v>
      </c>
      <c r="F168">
        <v>18935</v>
      </c>
      <c r="G168">
        <v>974417.54</v>
      </c>
      <c r="H168">
        <v>43031</v>
      </c>
      <c r="I168">
        <v>0.78328729829865096</v>
      </c>
      <c r="J168">
        <v>2202236.2599999998</v>
      </c>
      <c r="K168">
        <v>0.78482028061916198</v>
      </c>
      <c r="L168">
        <v>30983</v>
      </c>
      <c r="M168">
        <v>1.1279584654405901</v>
      </c>
      <c r="N168">
        <v>51.264464383694303</v>
      </c>
      <c r="O168">
        <v>1588326.9</v>
      </c>
      <c r="P168">
        <v>1.13207759404794</v>
      </c>
      <c r="Q168">
        <v>12048</v>
      </c>
      <c r="R168">
        <v>0.438616131156708</v>
      </c>
      <c r="S168">
        <v>50.955292164674603</v>
      </c>
      <c r="T168">
        <v>613909.36</v>
      </c>
      <c r="U168">
        <v>0.43756296719038701</v>
      </c>
      <c r="V168">
        <v>241</v>
      </c>
      <c r="W168">
        <v>1.03968938740293</v>
      </c>
    </row>
    <row r="169" spans="1:23" hidden="1" x14ac:dyDescent="0.25">
      <c r="A169" t="s">
        <v>87</v>
      </c>
      <c r="B169">
        <v>6</v>
      </c>
      <c r="C169">
        <v>2025</v>
      </c>
      <c r="D169" t="s">
        <v>134</v>
      </c>
      <c r="E169" t="s">
        <v>135</v>
      </c>
      <c r="F169">
        <v>21435</v>
      </c>
      <c r="G169">
        <v>1102698.05</v>
      </c>
      <c r="H169">
        <v>42515</v>
      </c>
      <c r="I169">
        <v>0.77389462218324401</v>
      </c>
      <c r="J169">
        <v>2143324.37</v>
      </c>
      <c r="K169">
        <v>0.76382560040187897</v>
      </c>
      <c r="L169">
        <v>31975</v>
      </c>
      <c r="M169">
        <v>1.16407294104712</v>
      </c>
      <c r="N169">
        <v>50.758755590304901</v>
      </c>
      <c r="O169">
        <v>1623011.21</v>
      </c>
      <c r="P169">
        <v>1.15679878350586</v>
      </c>
      <c r="Q169">
        <v>10540</v>
      </c>
      <c r="R169">
        <v>0.38371630331936402</v>
      </c>
      <c r="S169">
        <v>49.365574952561701</v>
      </c>
      <c r="T169">
        <v>520313.16</v>
      </c>
      <c r="U169">
        <v>0.37085241729790003</v>
      </c>
      <c r="V169">
        <v>149</v>
      </c>
      <c r="W169">
        <v>0.64279551337359797</v>
      </c>
    </row>
    <row r="170" spans="1:23" hidden="1" x14ac:dyDescent="0.25">
      <c r="A170" t="s">
        <v>87</v>
      </c>
      <c r="B170">
        <v>6</v>
      </c>
      <c r="C170">
        <v>2025</v>
      </c>
      <c r="D170" t="s">
        <v>136</v>
      </c>
      <c r="E170" t="s">
        <v>137</v>
      </c>
      <c r="F170">
        <v>8625</v>
      </c>
      <c r="G170">
        <v>441448.91</v>
      </c>
      <c r="H170">
        <v>19723</v>
      </c>
      <c r="I170">
        <v>0.35901502136469798</v>
      </c>
      <c r="J170">
        <v>1012795.57</v>
      </c>
      <c r="K170">
        <v>0.36093425482752001</v>
      </c>
      <c r="L170">
        <v>14174</v>
      </c>
      <c r="M170">
        <v>0.51601469480537698</v>
      </c>
      <c r="N170">
        <v>51.299720615211001</v>
      </c>
      <c r="O170">
        <v>727122.24</v>
      </c>
      <c r="P170">
        <v>0.51825527606309896</v>
      </c>
      <c r="Q170">
        <v>5549</v>
      </c>
      <c r="R170">
        <v>0.20201534792401801</v>
      </c>
      <c r="S170">
        <v>51.481948098756497</v>
      </c>
      <c r="T170">
        <v>285673.33</v>
      </c>
      <c r="U170">
        <v>0.20361323359194</v>
      </c>
      <c r="V170">
        <v>94</v>
      </c>
      <c r="W170">
        <v>0.40552200172562602</v>
      </c>
    </row>
    <row r="171" spans="1:23" hidden="1" x14ac:dyDescent="0.25">
      <c r="A171" t="s">
        <v>87</v>
      </c>
      <c r="B171">
        <v>6</v>
      </c>
      <c r="C171">
        <v>2025</v>
      </c>
      <c r="D171" t="s">
        <v>138</v>
      </c>
      <c r="E171" t="s">
        <v>139</v>
      </c>
      <c r="F171">
        <v>17398</v>
      </c>
      <c r="G171">
        <v>832509.18</v>
      </c>
      <c r="H171">
        <v>25982</v>
      </c>
      <c r="I171">
        <v>0.47294672641573698</v>
      </c>
      <c r="J171">
        <v>1270418.46</v>
      </c>
      <c r="K171">
        <v>0.45274441729560999</v>
      </c>
      <c r="L171">
        <v>21690</v>
      </c>
      <c r="M171">
        <v>0.78964009667903401</v>
      </c>
      <c r="N171">
        <v>48.476893499308403</v>
      </c>
      <c r="O171">
        <v>1051463.82</v>
      </c>
      <c r="P171">
        <v>0.74942924631828201</v>
      </c>
      <c r="Q171">
        <v>4292</v>
      </c>
      <c r="R171">
        <v>0.15625335615243899</v>
      </c>
      <c r="S171">
        <v>51.014594594594598</v>
      </c>
      <c r="T171">
        <v>218954.64</v>
      </c>
      <c r="U171">
        <v>0.156059588272938</v>
      </c>
      <c r="V171">
        <v>46</v>
      </c>
      <c r="W171">
        <v>0.19844693701466801</v>
      </c>
    </row>
    <row r="172" spans="1:23" hidden="1" x14ac:dyDescent="0.25">
      <c r="A172" t="s">
        <v>87</v>
      </c>
      <c r="B172">
        <v>6</v>
      </c>
      <c r="C172">
        <v>2025</v>
      </c>
      <c r="D172" t="s">
        <v>140</v>
      </c>
      <c r="E172" t="s">
        <v>141</v>
      </c>
      <c r="F172">
        <v>770</v>
      </c>
      <c r="G172">
        <v>40001.5</v>
      </c>
      <c r="H172">
        <v>770</v>
      </c>
      <c r="I172">
        <v>1.40162027303563E-2</v>
      </c>
      <c r="J172">
        <v>40001.5</v>
      </c>
      <c r="K172">
        <v>1.4255504291436599E-2</v>
      </c>
      <c r="L172">
        <v>770</v>
      </c>
      <c r="M172">
        <v>2.80324054607126E-2</v>
      </c>
      <c r="N172">
        <v>51.95</v>
      </c>
      <c r="O172">
        <v>40001.5</v>
      </c>
      <c r="P172">
        <v>2.8511008582873299E-2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2</v>
      </c>
      <c r="W172">
        <v>8.6281276962899105E-3</v>
      </c>
    </row>
    <row r="173" spans="1:23" hidden="1" x14ac:dyDescent="0.25">
      <c r="A173" t="s">
        <v>87</v>
      </c>
      <c r="B173">
        <v>6</v>
      </c>
      <c r="C173">
        <v>2025</v>
      </c>
      <c r="D173" t="s">
        <v>142</v>
      </c>
      <c r="E173" t="s">
        <v>143</v>
      </c>
      <c r="F173">
        <v>62990</v>
      </c>
      <c r="G173">
        <v>3223051.97</v>
      </c>
      <c r="H173">
        <v>120558</v>
      </c>
      <c r="I173">
        <v>2.1945004789172602</v>
      </c>
      <c r="J173">
        <v>6172537.4100000001</v>
      </c>
      <c r="K173">
        <v>2.1997333484321402</v>
      </c>
      <c r="L173">
        <v>91774</v>
      </c>
      <c r="M173">
        <v>3.34109867370316</v>
      </c>
      <c r="N173">
        <v>51.188731993810897</v>
      </c>
      <c r="O173">
        <v>4697794.6900000004</v>
      </c>
      <c r="P173">
        <v>3.3483460552021</v>
      </c>
      <c r="Q173">
        <v>28784</v>
      </c>
      <c r="R173">
        <v>1.0479022841313601</v>
      </c>
      <c r="S173">
        <v>51.234808226792602</v>
      </c>
      <c r="T173">
        <v>1474742.72</v>
      </c>
      <c r="U173">
        <v>1.0511206416621901</v>
      </c>
      <c r="V173">
        <v>1356</v>
      </c>
      <c r="W173">
        <v>5.8498705780845599</v>
      </c>
    </row>
    <row r="174" spans="1:23" hidden="1" x14ac:dyDescent="0.25">
      <c r="A174" t="s">
        <v>87</v>
      </c>
      <c r="B174">
        <v>6</v>
      </c>
      <c r="C174">
        <v>2025</v>
      </c>
      <c r="D174" t="s">
        <v>144</v>
      </c>
      <c r="E174" t="s">
        <v>145</v>
      </c>
      <c r="F174">
        <v>-203340</v>
      </c>
      <c r="G174">
        <v>-10433198.5</v>
      </c>
      <c r="H174">
        <v>228454</v>
      </c>
      <c r="I174">
        <v>4.1585163357932702</v>
      </c>
      <c r="J174">
        <v>11727556.439999999</v>
      </c>
      <c r="K174">
        <v>4.1793990514977102</v>
      </c>
      <c r="L174">
        <v>12557</v>
      </c>
      <c r="M174">
        <v>0.45714664333788002</v>
      </c>
      <c r="N174">
        <v>51.539298399299199</v>
      </c>
      <c r="O174">
        <v>647178.97</v>
      </c>
      <c r="P174">
        <v>0.46127583136445099</v>
      </c>
      <c r="Q174">
        <v>215897</v>
      </c>
      <c r="R174">
        <v>7.8598860282486598</v>
      </c>
      <c r="S174">
        <v>51.322517079903797</v>
      </c>
      <c r="T174">
        <v>11080377.470000001</v>
      </c>
      <c r="U174">
        <v>7.8975222716309599</v>
      </c>
      <c r="V174">
        <v>589</v>
      </c>
      <c r="W174">
        <v>2.5409836065573801</v>
      </c>
    </row>
    <row r="175" spans="1:23" hidden="1" x14ac:dyDescent="0.25">
      <c r="A175" t="s">
        <v>87</v>
      </c>
      <c r="B175">
        <v>6</v>
      </c>
      <c r="C175">
        <v>2025</v>
      </c>
      <c r="D175" t="s">
        <v>146</v>
      </c>
      <c r="E175" t="s">
        <v>147</v>
      </c>
      <c r="F175">
        <v>41983</v>
      </c>
      <c r="G175">
        <v>2156584.25</v>
      </c>
      <c r="H175">
        <v>71105</v>
      </c>
      <c r="I175">
        <v>1.2943144092753001</v>
      </c>
      <c r="J175">
        <v>3661630.25</v>
      </c>
      <c r="K175">
        <v>1.3049107094116299</v>
      </c>
      <c r="L175">
        <v>56544</v>
      </c>
      <c r="M175">
        <v>2.0585251095721202</v>
      </c>
      <c r="N175">
        <v>51.4485577603282</v>
      </c>
      <c r="O175">
        <v>2909107.25</v>
      </c>
      <c r="P175">
        <v>2.0734617895141199</v>
      </c>
      <c r="Q175">
        <v>14561</v>
      </c>
      <c r="R175">
        <v>0.53010370897848802</v>
      </c>
      <c r="S175">
        <v>51.680722477851802</v>
      </c>
      <c r="T175">
        <v>752523</v>
      </c>
      <c r="U175">
        <v>0.53635962930914005</v>
      </c>
      <c r="V175">
        <v>253</v>
      </c>
      <c r="W175">
        <v>1.09145815358067</v>
      </c>
    </row>
    <row r="176" spans="1:23" x14ac:dyDescent="0.25">
      <c r="A176" t="s">
        <v>87</v>
      </c>
      <c r="B176">
        <v>6</v>
      </c>
      <c r="C176">
        <v>2025</v>
      </c>
      <c r="D176" t="s">
        <v>148</v>
      </c>
      <c r="E176" t="s">
        <v>148</v>
      </c>
      <c r="F176">
        <v>0</v>
      </c>
      <c r="G176" s="4">
        <v>-4.3655745685100602E-10</v>
      </c>
      <c r="H176">
        <v>5493642</v>
      </c>
      <c r="I176">
        <v>0</v>
      </c>
      <c r="J176">
        <v>280603892.94</v>
      </c>
      <c r="K176">
        <v>0</v>
      </c>
      <c r="L176">
        <v>2746821</v>
      </c>
      <c r="M176">
        <v>100</v>
      </c>
      <c r="N176">
        <v>51.190848227051703</v>
      </c>
      <c r="O176">
        <v>140301946.47</v>
      </c>
      <c r="P176">
        <v>100</v>
      </c>
      <c r="Q176">
        <v>2746821</v>
      </c>
      <c r="R176">
        <v>100</v>
      </c>
      <c r="S176">
        <v>50.993608713522399</v>
      </c>
      <c r="T176">
        <v>140301946.47</v>
      </c>
      <c r="U176">
        <v>100</v>
      </c>
      <c r="V176">
        <v>23180</v>
      </c>
      <c r="W176">
        <v>100</v>
      </c>
    </row>
    <row r="177" spans="1:23" hidden="1" x14ac:dyDescent="0.25">
      <c r="A177" t="s">
        <v>87</v>
      </c>
      <c r="B177">
        <v>6</v>
      </c>
      <c r="C177">
        <v>2025</v>
      </c>
      <c r="D177" t="s">
        <v>149</v>
      </c>
      <c r="E177" t="s">
        <v>150</v>
      </c>
      <c r="F177">
        <v>259277</v>
      </c>
      <c r="G177">
        <v>13314194.460000001</v>
      </c>
      <c r="H177">
        <v>533245</v>
      </c>
      <c r="I177">
        <v>9.7065844479855095</v>
      </c>
      <c r="J177">
        <v>27257356.120000001</v>
      </c>
      <c r="K177">
        <v>9.7138196603096603</v>
      </c>
      <c r="L177">
        <v>396261</v>
      </c>
      <c r="M177">
        <v>14.426167558788899</v>
      </c>
      <c r="N177">
        <v>51.1929644602926</v>
      </c>
      <c r="O177">
        <v>20285775.289999999</v>
      </c>
      <c r="P177">
        <v>14.458655635499399</v>
      </c>
      <c r="Q177">
        <v>136984</v>
      </c>
      <c r="R177">
        <v>4.98700133718215</v>
      </c>
      <c r="S177">
        <v>50.893395068037201</v>
      </c>
      <c r="T177">
        <v>6971580.8300000001</v>
      </c>
      <c r="U177">
        <v>4.9689836851199303</v>
      </c>
      <c r="V177">
        <v>2167</v>
      </c>
      <c r="W177">
        <v>9.3485763589301101</v>
      </c>
    </row>
    <row r="178" spans="1:23" hidden="1" x14ac:dyDescent="0.25">
      <c r="A178" t="s">
        <v>87</v>
      </c>
      <c r="B178">
        <v>6</v>
      </c>
      <c r="C178">
        <v>2025</v>
      </c>
      <c r="D178" t="s">
        <v>151</v>
      </c>
      <c r="E178" t="s">
        <v>152</v>
      </c>
      <c r="F178">
        <v>5835</v>
      </c>
      <c r="G178">
        <v>249115.349999998</v>
      </c>
      <c r="H178">
        <v>1052549</v>
      </c>
      <c r="I178">
        <v>19.159402815108798</v>
      </c>
      <c r="J178">
        <v>53708064.75</v>
      </c>
      <c r="K178">
        <v>19.140170931799599</v>
      </c>
      <c r="L178">
        <v>529192</v>
      </c>
      <c r="M178">
        <v>19.265616507227801</v>
      </c>
      <c r="N178">
        <v>50.980721647341603</v>
      </c>
      <c r="O178">
        <v>26978590.050000001</v>
      </c>
      <c r="P178">
        <v>19.228949226138301</v>
      </c>
      <c r="Q178">
        <v>523357</v>
      </c>
      <c r="R178">
        <v>19.053189122989799</v>
      </c>
      <c r="S178">
        <v>51.073119686944104</v>
      </c>
      <c r="T178">
        <v>26729474.699999999</v>
      </c>
      <c r="U178">
        <v>19.051392637460999</v>
      </c>
      <c r="V178">
        <v>4248</v>
      </c>
      <c r="W178">
        <v>18.3261432269198</v>
      </c>
    </row>
    <row r="179" spans="1:23" hidden="1" x14ac:dyDescent="0.25">
      <c r="A179" t="s">
        <v>87</v>
      </c>
      <c r="B179">
        <v>6</v>
      </c>
      <c r="C179">
        <v>2025</v>
      </c>
      <c r="D179" t="s">
        <v>153</v>
      </c>
      <c r="E179" t="s">
        <v>154</v>
      </c>
      <c r="F179">
        <v>763</v>
      </c>
      <c r="G179">
        <v>39310.199999999997</v>
      </c>
      <c r="H179">
        <v>915</v>
      </c>
      <c r="I179">
        <v>1.6655617530228602E-2</v>
      </c>
      <c r="J179">
        <v>46955.040000000001</v>
      </c>
      <c r="K179">
        <v>1.67335668468577E-2</v>
      </c>
      <c r="L179">
        <v>839</v>
      </c>
      <c r="M179">
        <v>3.0544400235763498E-2</v>
      </c>
      <c r="N179">
        <v>51.409558998808102</v>
      </c>
      <c r="O179">
        <v>43132.62</v>
      </c>
      <c r="P179">
        <v>3.0742709623934401E-2</v>
      </c>
      <c r="Q179">
        <v>76</v>
      </c>
      <c r="R179">
        <v>2.7668348246937102E-3</v>
      </c>
      <c r="S179">
        <v>50.295000000000002</v>
      </c>
      <c r="T179">
        <v>3822.42</v>
      </c>
      <c r="U179">
        <v>2.7244240697810499E-3</v>
      </c>
      <c r="V179">
        <v>54</v>
      </c>
      <c r="W179">
        <v>0.232959447799827</v>
      </c>
    </row>
    <row r="180" spans="1:23" hidden="1" x14ac:dyDescent="0.25">
      <c r="A180" t="s">
        <v>87</v>
      </c>
      <c r="B180">
        <v>6</v>
      </c>
      <c r="C180">
        <v>2025</v>
      </c>
      <c r="D180" t="s">
        <v>155</v>
      </c>
      <c r="E180" t="s">
        <v>156</v>
      </c>
      <c r="F180">
        <v>360</v>
      </c>
      <c r="G180">
        <v>19196.400000000001</v>
      </c>
      <c r="H180">
        <v>760</v>
      </c>
      <c r="I180">
        <v>1.38341741234685E-2</v>
      </c>
      <c r="J180">
        <v>39928.400000000001</v>
      </c>
      <c r="K180">
        <v>1.4229453334254899E-2</v>
      </c>
      <c r="L180">
        <v>560</v>
      </c>
      <c r="M180">
        <v>2.0387203971427299E-2</v>
      </c>
      <c r="N180">
        <v>52.79</v>
      </c>
      <c r="O180">
        <v>29562.400000000001</v>
      </c>
      <c r="P180">
        <v>2.10705558574137E-2</v>
      </c>
      <c r="Q180">
        <v>200</v>
      </c>
      <c r="R180">
        <v>7.2811442755097598E-3</v>
      </c>
      <c r="S180">
        <v>51.83</v>
      </c>
      <c r="T180">
        <v>10366</v>
      </c>
      <c r="U180">
        <v>7.3883508110961999E-3</v>
      </c>
      <c r="V180">
        <v>3</v>
      </c>
      <c r="W180">
        <v>1.29421915444349E-2</v>
      </c>
    </row>
    <row r="181" spans="1:23" hidden="1" x14ac:dyDescent="0.25">
      <c r="A181" t="s">
        <v>87</v>
      </c>
      <c r="B181">
        <v>7</v>
      </c>
      <c r="C181">
        <v>2025</v>
      </c>
      <c r="D181" t="s">
        <v>88</v>
      </c>
      <c r="E181" t="s">
        <v>89</v>
      </c>
      <c r="F181">
        <v>32178</v>
      </c>
      <c r="G181">
        <v>1747982.5</v>
      </c>
      <c r="H181">
        <v>148784</v>
      </c>
      <c r="I181">
        <v>4.1627124106934996</v>
      </c>
      <c r="J181">
        <v>7940957.2199999997</v>
      </c>
      <c r="K181">
        <v>4.1653077563211003</v>
      </c>
      <c r="L181">
        <v>90481</v>
      </c>
      <c r="M181">
        <v>5.0629957741687104</v>
      </c>
      <c r="N181">
        <v>53.541294415402099</v>
      </c>
      <c r="O181">
        <v>4844469.8600000003</v>
      </c>
      <c r="P181">
        <v>5.0821852640888103</v>
      </c>
      <c r="Q181">
        <v>58303</v>
      </c>
      <c r="R181">
        <v>3.2624290472182902</v>
      </c>
      <c r="S181">
        <v>53.1102577911943</v>
      </c>
      <c r="T181">
        <v>3096487.36</v>
      </c>
      <c r="U181">
        <v>3.2484302485534</v>
      </c>
      <c r="V181">
        <v>513</v>
      </c>
      <c r="W181">
        <v>3.7560404158734801</v>
      </c>
    </row>
    <row r="182" spans="1:23" hidden="1" x14ac:dyDescent="0.25">
      <c r="A182" t="s">
        <v>87</v>
      </c>
      <c r="B182">
        <v>7</v>
      </c>
      <c r="C182">
        <v>2025</v>
      </c>
      <c r="D182" t="s">
        <v>90</v>
      </c>
      <c r="E182" t="s">
        <v>91</v>
      </c>
      <c r="F182">
        <v>-16155</v>
      </c>
      <c r="G182">
        <v>-853493.91000000096</v>
      </c>
      <c r="H182">
        <v>238883</v>
      </c>
      <c r="I182">
        <v>6.68352261535982</v>
      </c>
      <c r="J182">
        <v>12789512.73</v>
      </c>
      <c r="K182">
        <v>6.7085434536362403</v>
      </c>
      <c r="L182">
        <v>111364</v>
      </c>
      <c r="M182">
        <v>6.2315343706913504</v>
      </c>
      <c r="N182">
        <v>53.590113591465801</v>
      </c>
      <c r="O182">
        <v>5968009.4100000001</v>
      </c>
      <c r="P182">
        <v>6.2608562662097604</v>
      </c>
      <c r="Q182">
        <v>127519</v>
      </c>
      <c r="R182">
        <v>7.1355108600282904</v>
      </c>
      <c r="S182">
        <v>53.494015166367397</v>
      </c>
      <c r="T182">
        <v>6821503.3200000003</v>
      </c>
      <c r="U182">
        <v>7.1562306410627299</v>
      </c>
      <c r="V182">
        <v>981</v>
      </c>
      <c r="W182">
        <v>7.1826036022843702</v>
      </c>
    </row>
    <row r="183" spans="1:23" hidden="1" x14ac:dyDescent="0.25">
      <c r="A183" t="s">
        <v>87</v>
      </c>
      <c r="B183">
        <v>7</v>
      </c>
      <c r="C183">
        <v>2025</v>
      </c>
      <c r="D183" t="s">
        <v>92</v>
      </c>
      <c r="E183" t="s">
        <v>93</v>
      </c>
      <c r="F183">
        <v>80</v>
      </c>
      <c r="G183">
        <v>6666.4000000000096</v>
      </c>
      <c r="H183">
        <v>3090</v>
      </c>
      <c r="I183">
        <v>8.64527190359375E-2</v>
      </c>
      <c r="J183">
        <v>163367.70000000001</v>
      </c>
      <c r="K183">
        <v>8.5692030455534807E-2</v>
      </c>
      <c r="L183">
        <v>1585</v>
      </c>
      <c r="M183">
        <v>8.8690977133955295E-2</v>
      </c>
      <c r="N183">
        <v>53.638517350157699</v>
      </c>
      <c r="O183">
        <v>85017.05</v>
      </c>
      <c r="P183">
        <v>8.9188788699843702E-2</v>
      </c>
      <c r="Q183">
        <v>1505</v>
      </c>
      <c r="R183">
        <v>8.4214460937919705E-2</v>
      </c>
      <c r="S183">
        <v>52.060232558139496</v>
      </c>
      <c r="T183">
        <v>78350.649999999994</v>
      </c>
      <c r="U183">
        <v>8.2195272211225898E-2</v>
      </c>
      <c r="V183">
        <v>9</v>
      </c>
      <c r="W183">
        <v>6.5895445892517196E-2</v>
      </c>
    </row>
    <row r="184" spans="1:23" hidden="1" x14ac:dyDescent="0.25">
      <c r="A184" t="s">
        <v>87</v>
      </c>
      <c r="B184">
        <v>7</v>
      </c>
      <c r="C184">
        <v>2025</v>
      </c>
      <c r="D184" t="s">
        <v>94</v>
      </c>
      <c r="E184" t="s">
        <v>95</v>
      </c>
      <c r="F184">
        <v>-483044</v>
      </c>
      <c r="G184">
        <v>-25752846</v>
      </c>
      <c r="H184">
        <v>639100</v>
      </c>
      <c r="I184">
        <v>17.880884380539701</v>
      </c>
      <c r="J184">
        <v>34078509.719999999</v>
      </c>
      <c r="K184">
        <v>17.875361487034901</v>
      </c>
      <c r="L184">
        <v>78028</v>
      </c>
      <c r="M184">
        <v>4.3661700718033201</v>
      </c>
      <c r="N184">
        <v>53.350487773619697</v>
      </c>
      <c r="O184">
        <v>4162831.86</v>
      </c>
      <c r="P184">
        <v>4.3670996718248496</v>
      </c>
      <c r="Q184">
        <v>561072</v>
      </c>
      <c r="R184">
        <v>31.395598689276099</v>
      </c>
      <c r="S184">
        <v>53.318785931217398</v>
      </c>
      <c r="T184">
        <v>29915677.859999999</v>
      </c>
      <c r="U184">
        <v>31.383623302244999</v>
      </c>
      <c r="V184">
        <v>1774</v>
      </c>
      <c r="W184">
        <v>12.9887245570362</v>
      </c>
    </row>
    <row r="185" spans="1:23" hidden="1" x14ac:dyDescent="0.25">
      <c r="A185" t="s">
        <v>87</v>
      </c>
      <c r="B185">
        <v>7</v>
      </c>
      <c r="C185">
        <v>2025</v>
      </c>
      <c r="D185" t="s">
        <v>96</v>
      </c>
      <c r="E185" t="s">
        <v>97</v>
      </c>
      <c r="F185">
        <v>8181</v>
      </c>
      <c r="G185">
        <v>445273.03</v>
      </c>
      <c r="H185">
        <v>17889</v>
      </c>
      <c r="I185">
        <v>0.50050248894300498</v>
      </c>
      <c r="J185">
        <v>956057.45</v>
      </c>
      <c r="K185">
        <v>0.50148532496106002</v>
      </c>
      <c r="L185">
        <v>13035</v>
      </c>
      <c r="M185">
        <v>0.72939235769154998</v>
      </c>
      <c r="N185">
        <v>53.752607594936698</v>
      </c>
      <c r="O185">
        <v>700665.24</v>
      </c>
      <c r="P185">
        <v>0.73504648820072305</v>
      </c>
      <c r="Q185">
        <v>4854</v>
      </c>
      <c r="R185">
        <v>0.27161262019445997</v>
      </c>
      <c r="S185">
        <v>52.614793984342803</v>
      </c>
      <c r="T185">
        <v>255392.21</v>
      </c>
      <c r="U185">
        <v>0.26792416172139699</v>
      </c>
      <c r="V185">
        <v>79</v>
      </c>
      <c r="W185">
        <v>0.57841558061209597</v>
      </c>
    </row>
    <row r="186" spans="1:23" hidden="1" x14ac:dyDescent="0.25">
      <c r="A186" t="s">
        <v>87</v>
      </c>
      <c r="B186">
        <v>7</v>
      </c>
      <c r="C186">
        <v>2025</v>
      </c>
      <c r="D186" t="s">
        <v>98</v>
      </c>
      <c r="E186" t="s">
        <v>99</v>
      </c>
      <c r="F186">
        <v>500</v>
      </c>
      <c r="G186">
        <v>26775</v>
      </c>
      <c r="H186">
        <v>500</v>
      </c>
      <c r="I186">
        <v>1.3989113112611201E-2</v>
      </c>
      <c r="J186">
        <v>26775</v>
      </c>
      <c r="K186">
        <v>1.4044417075388499E-2</v>
      </c>
      <c r="L186">
        <v>500</v>
      </c>
      <c r="M186">
        <v>2.7978226225222499E-2</v>
      </c>
      <c r="N186">
        <v>53.55</v>
      </c>
      <c r="O186">
        <v>26775</v>
      </c>
      <c r="P186">
        <v>2.8088834150776999E-2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1</v>
      </c>
      <c r="W186">
        <v>7.3217162102796902E-3</v>
      </c>
    </row>
    <row r="187" spans="1:23" hidden="1" x14ac:dyDescent="0.25">
      <c r="A187" t="s">
        <v>87</v>
      </c>
      <c r="B187">
        <v>7</v>
      </c>
      <c r="C187">
        <v>2025</v>
      </c>
      <c r="D187" t="s">
        <v>100</v>
      </c>
      <c r="E187" t="s">
        <v>101</v>
      </c>
      <c r="F187">
        <v>12080</v>
      </c>
      <c r="G187">
        <v>645059.18000000005</v>
      </c>
      <c r="H187">
        <v>12080</v>
      </c>
      <c r="I187">
        <v>0.337976972800688</v>
      </c>
      <c r="J187">
        <v>645059.18000000005</v>
      </c>
      <c r="K187">
        <v>0.33835593509722101</v>
      </c>
      <c r="L187">
        <v>12080</v>
      </c>
      <c r="M187">
        <v>0.67595394560137501</v>
      </c>
      <c r="N187">
        <v>53.3989387417218</v>
      </c>
      <c r="O187">
        <v>645059.18000000005</v>
      </c>
      <c r="P187">
        <v>0.67671187019444201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33</v>
      </c>
      <c r="W187">
        <v>0.24161663493923</v>
      </c>
    </row>
    <row r="188" spans="1:23" hidden="1" x14ac:dyDescent="0.25">
      <c r="A188" t="s">
        <v>87</v>
      </c>
      <c r="B188">
        <v>7</v>
      </c>
      <c r="C188">
        <v>2025</v>
      </c>
      <c r="D188" t="s">
        <v>102</v>
      </c>
      <c r="E188" t="s">
        <v>103</v>
      </c>
      <c r="F188">
        <v>82927</v>
      </c>
      <c r="G188">
        <v>4445498.9400000004</v>
      </c>
      <c r="H188">
        <v>429035</v>
      </c>
      <c r="I188">
        <v>12.0036382885383</v>
      </c>
      <c r="J188">
        <v>22809605.879999999</v>
      </c>
      <c r="K188">
        <v>11.964430188756401</v>
      </c>
      <c r="L188">
        <v>255981</v>
      </c>
      <c r="M188">
        <v>14.323788654717401</v>
      </c>
      <c r="N188">
        <v>53.236577753817699</v>
      </c>
      <c r="O188">
        <v>13627552.41</v>
      </c>
      <c r="P188">
        <v>14.2962487217745</v>
      </c>
      <c r="Q188">
        <v>173054</v>
      </c>
      <c r="R188">
        <v>9.6834879223592996</v>
      </c>
      <c r="S188">
        <v>53.058891848787098</v>
      </c>
      <c r="T188">
        <v>9182053.4700000007</v>
      </c>
      <c r="U188">
        <v>9.6326116557384207</v>
      </c>
      <c r="V188">
        <v>1810</v>
      </c>
      <c r="W188">
        <v>13.2523063406062</v>
      </c>
    </row>
    <row r="189" spans="1:23" hidden="1" x14ac:dyDescent="0.25">
      <c r="A189" t="s">
        <v>87</v>
      </c>
      <c r="B189">
        <v>7</v>
      </c>
      <c r="C189">
        <v>2025</v>
      </c>
      <c r="D189" t="s">
        <v>161</v>
      </c>
      <c r="E189" t="s">
        <v>162</v>
      </c>
      <c r="F189">
        <v>383</v>
      </c>
      <c r="G189">
        <v>19961.96</v>
      </c>
      <c r="H189">
        <v>383</v>
      </c>
      <c r="I189">
        <v>1.0715660644260201E-2</v>
      </c>
      <c r="J189">
        <v>19961.96</v>
      </c>
      <c r="K189">
        <v>1.0470741060026999E-2</v>
      </c>
      <c r="L189">
        <v>383</v>
      </c>
      <c r="M189">
        <v>2.1431321288520402E-2</v>
      </c>
      <c r="N189">
        <v>52.12</v>
      </c>
      <c r="O189">
        <v>19961.96</v>
      </c>
      <c r="P189">
        <v>2.0941482120053902E-2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2</v>
      </c>
      <c r="W189">
        <v>1.4643432420559399E-2</v>
      </c>
    </row>
    <row r="190" spans="1:23" hidden="1" x14ac:dyDescent="0.25">
      <c r="A190" t="s">
        <v>87</v>
      </c>
      <c r="B190">
        <v>7</v>
      </c>
      <c r="C190">
        <v>2025</v>
      </c>
      <c r="D190" t="s">
        <v>104</v>
      </c>
      <c r="E190" t="s">
        <v>105</v>
      </c>
      <c r="F190">
        <v>26809</v>
      </c>
      <c r="G190">
        <v>1428751.82</v>
      </c>
      <c r="H190">
        <v>73595</v>
      </c>
      <c r="I190">
        <v>2.0590575590452498</v>
      </c>
      <c r="J190">
        <v>3914891.8</v>
      </c>
      <c r="K190">
        <v>2.0534966664507301</v>
      </c>
      <c r="L190">
        <v>50202</v>
      </c>
      <c r="M190">
        <v>2.8091258259172398</v>
      </c>
      <c r="N190">
        <v>53.221421656507701</v>
      </c>
      <c r="O190">
        <v>2671821.81</v>
      </c>
      <c r="P190">
        <v>2.8029265994964998</v>
      </c>
      <c r="Q190">
        <v>23393</v>
      </c>
      <c r="R190">
        <v>1.30898929217326</v>
      </c>
      <c r="S190">
        <v>53.138545291326501</v>
      </c>
      <c r="T190">
        <v>1243069.99</v>
      </c>
      <c r="U190">
        <v>1.30406673340497</v>
      </c>
      <c r="V190">
        <v>813</v>
      </c>
      <c r="W190">
        <v>5.9525552789573899</v>
      </c>
    </row>
    <row r="191" spans="1:23" hidden="1" x14ac:dyDescent="0.25">
      <c r="A191" t="s">
        <v>87</v>
      </c>
      <c r="B191">
        <v>7</v>
      </c>
      <c r="C191">
        <v>2025</v>
      </c>
      <c r="D191" t="s">
        <v>106</v>
      </c>
      <c r="E191" t="s">
        <v>107</v>
      </c>
      <c r="F191">
        <v>37211</v>
      </c>
      <c r="G191">
        <v>2004729.79</v>
      </c>
      <c r="H191">
        <v>114497</v>
      </c>
      <c r="I191">
        <v>3.2034229681093001</v>
      </c>
      <c r="J191">
        <v>6102757.2699999996</v>
      </c>
      <c r="K191">
        <v>3.20110806385581</v>
      </c>
      <c r="L191">
        <v>75854</v>
      </c>
      <c r="M191">
        <v>4.2445207441760502</v>
      </c>
      <c r="N191">
        <v>53.441394389221401</v>
      </c>
      <c r="O191">
        <v>4053743.53</v>
      </c>
      <c r="P191">
        <v>4.2526584389899202</v>
      </c>
      <c r="Q191">
        <v>38643</v>
      </c>
      <c r="R191">
        <v>2.1623251920425401</v>
      </c>
      <c r="S191">
        <v>53.024189115751902</v>
      </c>
      <c r="T191">
        <v>2049013.74</v>
      </c>
      <c r="U191">
        <v>2.1495576887216901</v>
      </c>
      <c r="V191">
        <v>492</v>
      </c>
      <c r="W191">
        <v>3.6022843754576099</v>
      </c>
    </row>
    <row r="192" spans="1:23" hidden="1" x14ac:dyDescent="0.25">
      <c r="A192" t="s">
        <v>87</v>
      </c>
      <c r="B192">
        <v>7</v>
      </c>
      <c r="C192">
        <v>2025</v>
      </c>
      <c r="D192" t="s">
        <v>108</v>
      </c>
      <c r="E192" t="s">
        <v>109</v>
      </c>
      <c r="F192">
        <v>2693</v>
      </c>
      <c r="G192">
        <v>142429.6</v>
      </c>
      <c r="H192">
        <v>2693</v>
      </c>
      <c r="I192">
        <v>7.5345363224524106E-2</v>
      </c>
      <c r="J192">
        <v>142429.6</v>
      </c>
      <c r="K192">
        <v>7.4709270075845102E-2</v>
      </c>
      <c r="L192">
        <v>2693</v>
      </c>
      <c r="M192">
        <v>0.15069072644904799</v>
      </c>
      <c r="N192">
        <v>52.888822874118098</v>
      </c>
      <c r="O192">
        <v>142429.6</v>
      </c>
      <c r="P192">
        <v>0.14941854015169001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7</v>
      </c>
      <c r="W192">
        <v>5.1252013471957798E-2</v>
      </c>
    </row>
    <row r="193" spans="1:23" hidden="1" x14ac:dyDescent="0.25">
      <c r="A193" t="s">
        <v>87</v>
      </c>
      <c r="B193">
        <v>7</v>
      </c>
      <c r="C193">
        <v>2025</v>
      </c>
      <c r="D193" t="s">
        <v>110</v>
      </c>
      <c r="E193" t="s">
        <v>111</v>
      </c>
      <c r="F193">
        <v>-5184</v>
      </c>
      <c r="G193">
        <v>-285799.61</v>
      </c>
      <c r="H193">
        <v>28006</v>
      </c>
      <c r="I193">
        <v>0.78355820366358098</v>
      </c>
      <c r="J193">
        <v>1499990.23</v>
      </c>
      <c r="K193">
        <v>0.78679695234838098</v>
      </c>
      <c r="L193">
        <v>11411</v>
      </c>
      <c r="M193">
        <v>0.63851907891202797</v>
      </c>
      <c r="N193">
        <v>53.202638681973497</v>
      </c>
      <c r="O193">
        <v>607095.31000000006</v>
      </c>
      <c r="P193">
        <v>0.63688513450250395</v>
      </c>
      <c r="Q193">
        <v>16595</v>
      </c>
      <c r="R193">
        <v>0.92859732841513398</v>
      </c>
      <c r="S193">
        <v>53.805056944862898</v>
      </c>
      <c r="T193">
        <v>892894.92</v>
      </c>
      <c r="U193">
        <v>0.93670877019425902</v>
      </c>
      <c r="V193">
        <v>154</v>
      </c>
      <c r="W193">
        <v>1.12754429638307</v>
      </c>
    </row>
    <row r="194" spans="1:23" hidden="1" x14ac:dyDescent="0.25">
      <c r="A194" t="s">
        <v>87</v>
      </c>
      <c r="B194">
        <v>7</v>
      </c>
      <c r="C194">
        <v>2025</v>
      </c>
      <c r="D194" t="s">
        <v>112</v>
      </c>
      <c r="E194" t="s">
        <v>113</v>
      </c>
      <c r="F194">
        <v>-800</v>
      </c>
      <c r="G194">
        <v>-43459.5</v>
      </c>
      <c r="H194">
        <v>1000</v>
      </c>
      <c r="I194">
        <v>2.7978226225222499E-2</v>
      </c>
      <c r="J194">
        <v>54293.5</v>
      </c>
      <c r="K194">
        <v>2.8478825713636E-2</v>
      </c>
      <c r="L194">
        <v>100</v>
      </c>
      <c r="M194">
        <v>5.5956452450445001E-3</v>
      </c>
      <c r="N194">
        <v>54.17</v>
      </c>
      <c r="O194">
        <v>5417</v>
      </c>
      <c r="P194">
        <v>5.6828091351917402E-3</v>
      </c>
      <c r="Q194">
        <v>900</v>
      </c>
      <c r="R194">
        <v>5.0360807205400503E-2</v>
      </c>
      <c r="S194">
        <v>54.307222222222201</v>
      </c>
      <c r="T194">
        <v>48876.5</v>
      </c>
      <c r="U194">
        <v>5.1274842292080298E-2</v>
      </c>
      <c r="V194">
        <v>6</v>
      </c>
      <c r="W194">
        <v>4.3930297261678103E-2</v>
      </c>
    </row>
    <row r="195" spans="1:23" hidden="1" x14ac:dyDescent="0.25">
      <c r="A195" t="s">
        <v>87</v>
      </c>
      <c r="B195">
        <v>7</v>
      </c>
      <c r="C195">
        <v>2025</v>
      </c>
      <c r="D195" t="s">
        <v>167</v>
      </c>
      <c r="E195" t="s">
        <v>168</v>
      </c>
      <c r="F195">
        <v>2641</v>
      </c>
      <c r="G195">
        <v>144782.01999999999</v>
      </c>
      <c r="H195">
        <v>2641</v>
      </c>
      <c r="I195">
        <v>7.3890495460812597E-2</v>
      </c>
      <c r="J195">
        <v>144782.01999999999</v>
      </c>
      <c r="K195">
        <v>7.59431960372451E-2</v>
      </c>
      <c r="L195">
        <v>2641</v>
      </c>
      <c r="M195">
        <v>0.147780990921625</v>
      </c>
      <c r="N195">
        <v>54.820908746686897</v>
      </c>
      <c r="O195">
        <v>144782.01999999999</v>
      </c>
      <c r="P195">
        <v>0.15188639207449001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7</v>
      </c>
      <c r="W195">
        <v>5.1252013471957798E-2</v>
      </c>
    </row>
    <row r="196" spans="1:23" hidden="1" x14ac:dyDescent="0.25">
      <c r="A196" t="s">
        <v>87</v>
      </c>
      <c r="B196">
        <v>7</v>
      </c>
      <c r="C196">
        <v>2025</v>
      </c>
      <c r="D196" t="s">
        <v>169</v>
      </c>
      <c r="E196" t="s">
        <v>170</v>
      </c>
      <c r="F196">
        <v>-10000</v>
      </c>
      <c r="G196">
        <v>-530251.4</v>
      </c>
      <c r="H196">
        <v>10000</v>
      </c>
      <c r="I196">
        <v>0.27978226225222502</v>
      </c>
      <c r="J196">
        <v>530251.4</v>
      </c>
      <c r="K196">
        <v>0.27813526858669102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10000</v>
      </c>
      <c r="R196">
        <v>0.55956452450445004</v>
      </c>
      <c r="S196">
        <v>53.02514</v>
      </c>
      <c r="T196">
        <v>530251.4</v>
      </c>
      <c r="U196">
        <v>0.55627053717338204</v>
      </c>
      <c r="V196">
        <v>13</v>
      </c>
      <c r="W196">
        <v>9.5182310733636005E-2</v>
      </c>
    </row>
    <row r="197" spans="1:23" hidden="1" x14ac:dyDescent="0.25">
      <c r="A197" t="s">
        <v>87</v>
      </c>
      <c r="B197">
        <v>7</v>
      </c>
      <c r="C197">
        <v>2025</v>
      </c>
      <c r="D197" t="s">
        <v>163</v>
      </c>
      <c r="E197" t="s">
        <v>164</v>
      </c>
      <c r="F197">
        <v>562</v>
      </c>
      <c r="G197">
        <v>28334.31</v>
      </c>
      <c r="H197">
        <v>1362</v>
      </c>
      <c r="I197">
        <v>3.8106344118753001E-2</v>
      </c>
      <c r="J197">
        <v>69889.429999999993</v>
      </c>
      <c r="K197">
        <v>3.6659432458680398E-2</v>
      </c>
      <c r="L197">
        <v>962</v>
      </c>
      <c r="M197">
        <v>5.3830107257328098E-2</v>
      </c>
      <c r="N197">
        <v>51.051839916839903</v>
      </c>
      <c r="O197">
        <v>49111.87</v>
      </c>
      <c r="P197">
        <v>5.1521761765248197E-2</v>
      </c>
      <c r="Q197">
        <v>400</v>
      </c>
      <c r="R197">
        <v>2.2382580980178E-2</v>
      </c>
      <c r="S197">
        <v>51.943899999999999</v>
      </c>
      <c r="T197">
        <v>20777.560000000001</v>
      </c>
      <c r="U197">
        <v>2.1797103152112699E-2</v>
      </c>
      <c r="V197">
        <v>10</v>
      </c>
      <c r="W197">
        <v>7.3217162102796898E-2</v>
      </c>
    </row>
    <row r="198" spans="1:23" hidden="1" x14ac:dyDescent="0.25">
      <c r="A198" t="s">
        <v>87</v>
      </c>
      <c r="B198">
        <v>7</v>
      </c>
      <c r="C198">
        <v>2025</v>
      </c>
      <c r="D198" t="s">
        <v>116</v>
      </c>
      <c r="E198" t="s">
        <v>117</v>
      </c>
      <c r="F198">
        <v>36887</v>
      </c>
      <c r="G198">
        <v>1982576.58</v>
      </c>
      <c r="H198">
        <v>49817</v>
      </c>
      <c r="I198">
        <v>1.3937912958619101</v>
      </c>
      <c r="J198">
        <v>2670266.2000000002</v>
      </c>
      <c r="K198">
        <v>1.4006473282955301</v>
      </c>
      <c r="L198">
        <v>43352</v>
      </c>
      <c r="M198">
        <v>2.42582412663169</v>
      </c>
      <c r="N198">
        <v>53.663530863627997</v>
      </c>
      <c r="O198">
        <v>2326421.39</v>
      </c>
      <c r="P198">
        <v>2.44057757566872</v>
      </c>
      <c r="Q198">
        <v>6465</v>
      </c>
      <c r="R198">
        <v>0.361758465092127</v>
      </c>
      <c r="S198">
        <v>53.185585460170103</v>
      </c>
      <c r="T198">
        <v>343844.81</v>
      </c>
      <c r="U198">
        <v>0.36071708092233101</v>
      </c>
      <c r="V198">
        <v>98</v>
      </c>
      <c r="W198">
        <v>0.71752818860740997</v>
      </c>
    </row>
    <row r="199" spans="1:23" hidden="1" x14ac:dyDescent="0.25">
      <c r="A199" t="s">
        <v>87</v>
      </c>
      <c r="B199">
        <v>7</v>
      </c>
      <c r="C199">
        <v>2025</v>
      </c>
      <c r="D199" t="s">
        <v>118</v>
      </c>
      <c r="E199" t="s">
        <v>119</v>
      </c>
      <c r="F199">
        <v>56065</v>
      </c>
      <c r="G199">
        <v>2943250.08</v>
      </c>
      <c r="H199">
        <v>74701</v>
      </c>
      <c r="I199">
        <v>2.0900014772503499</v>
      </c>
      <c r="J199">
        <v>3913266.68</v>
      </c>
      <c r="K199">
        <v>2.05264423458976</v>
      </c>
      <c r="L199">
        <v>65383</v>
      </c>
      <c r="M199">
        <v>3.6586007305674402</v>
      </c>
      <c r="N199">
        <v>52.433482403682902</v>
      </c>
      <c r="O199">
        <v>3428258.38</v>
      </c>
      <c r="P199">
        <v>3.5964810854092</v>
      </c>
      <c r="Q199">
        <v>9318</v>
      </c>
      <c r="R199">
        <v>0.52140222393324598</v>
      </c>
      <c r="S199">
        <v>52.050686842670103</v>
      </c>
      <c r="T199">
        <v>485008.3</v>
      </c>
      <c r="U199">
        <v>0.50880738377031898</v>
      </c>
      <c r="V199">
        <v>126</v>
      </c>
      <c r="W199">
        <v>0.92253624249524102</v>
      </c>
    </row>
    <row r="200" spans="1:23" hidden="1" x14ac:dyDescent="0.25">
      <c r="A200" t="s">
        <v>87</v>
      </c>
      <c r="B200">
        <v>7</v>
      </c>
      <c r="C200">
        <v>2025</v>
      </c>
      <c r="D200" t="s">
        <v>120</v>
      </c>
      <c r="E200" t="s">
        <v>121</v>
      </c>
      <c r="F200">
        <v>-6232</v>
      </c>
      <c r="G200">
        <v>-328804.53999999998</v>
      </c>
      <c r="H200">
        <v>13436</v>
      </c>
      <c r="I200">
        <v>0.375915447562089</v>
      </c>
      <c r="J200">
        <v>716747.12</v>
      </c>
      <c r="K200">
        <v>0.37595874849163502</v>
      </c>
      <c r="L200">
        <v>3602</v>
      </c>
      <c r="M200">
        <v>0.20155514172650299</v>
      </c>
      <c r="N200">
        <v>53.850996668517503</v>
      </c>
      <c r="O200">
        <v>193971.29</v>
      </c>
      <c r="P200">
        <v>0.20348935181409</v>
      </c>
      <c r="Q200">
        <v>9834</v>
      </c>
      <c r="R200">
        <v>0.55027575339767598</v>
      </c>
      <c r="S200">
        <v>53.160039658328301</v>
      </c>
      <c r="T200">
        <v>522775.83</v>
      </c>
      <c r="U200">
        <v>0.54842814516918004</v>
      </c>
      <c r="V200">
        <v>37</v>
      </c>
      <c r="W200">
        <v>0.270903499780349</v>
      </c>
    </row>
    <row r="201" spans="1:23" hidden="1" x14ac:dyDescent="0.25">
      <c r="A201" t="s">
        <v>87</v>
      </c>
      <c r="B201">
        <v>7</v>
      </c>
      <c r="C201">
        <v>2025</v>
      </c>
      <c r="D201" t="s">
        <v>122</v>
      </c>
      <c r="E201" t="s">
        <v>123</v>
      </c>
      <c r="F201">
        <v>6637</v>
      </c>
      <c r="G201">
        <v>353258.19</v>
      </c>
      <c r="H201">
        <v>16389</v>
      </c>
      <c r="I201">
        <v>0.458535149605171</v>
      </c>
      <c r="J201">
        <v>853302.81</v>
      </c>
      <c r="K201">
        <v>0.44758694884186701</v>
      </c>
      <c r="L201">
        <v>11513</v>
      </c>
      <c r="M201">
        <v>0.64422663706197303</v>
      </c>
      <c r="N201">
        <v>52.399939199166198</v>
      </c>
      <c r="O201">
        <v>603280.5</v>
      </c>
      <c r="P201">
        <v>0.63288313392708895</v>
      </c>
      <c r="Q201">
        <v>4876</v>
      </c>
      <c r="R201">
        <v>0.27284366214837003</v>
      </c>
      <c r="S201">
        <v>51.276109515996701</v>
      </c>
      <c r="T201">
        <v>250022.31</v>
      </c>
      <c r="U201">
        <v>0.26229076375664401</v>
      </c>
      <c r="V201">
        <v>53</v>
      </c>
      <c r="W201">
        <v>0.38805095914482401</v>
      </c>
    </row>
    <row r="202" spans="1:23" hidden="1" x14ac:dyDescent="0.25">
      <c r="A202" t="s">
        <v>87</v>
      </c>
      <c r="B202">
        <v>7</v>
      </c>
      <c r="C202">
        <v>2025</v>
      </c>
      <c r="D202" t="s">
        <v>124</v>
      </c>
      <c r="E202" t="s">
        <v>125</v>
      </c>
      <c r="F202">
        <v>32337</v>
      </c>
      <c r="G202">
        <v>1771579.72</v>
      </c>
      <c r="H202">
        <v>38751</v>
      </c>
      <c r="I202">
        <v>1.0841842444536001</v>
      </c>
      <c r="J202">
        <v>2102774.2599999998</v>
      </c>
      <c r="K202">
        <v>1.10297810356046</v>
      </c>
      <c r="L202">
        <v>35544</v>
      </c>
      <c r="M202">
        <v>1.98891614589862</v>
      </c>
      <c r="N202">
        <v>54.500815608822897</v>
      </c>
      <c r="O202">
        <v>1937176.99</v>
      </c>
      <c r="P202">
        <v>2.0322331724672802</v>
      </c>
      <c r="Q202">
        <v>3207</v>
      </c>
      <c r="R202">
        <v>0.17945234300857699</v>
      </c>
      <c r="S202">
        <v>51.636192703461198</v>
      </c>
      <c r="T202">
        <v>165597.26999999999</v>
      </c>
      <c r="U202">
        <v>0.173723034653648</v>
      </c>
      <c r="V202">
        <v>109</v>
      </c>
      <c r="W202">
        <v>0.79806706692048601</v>
      </c>
    </row>
    <row r="203" spans="1:23" hidden="1" x14ac:dyDescent="0.25">
      <c r="A203" t="s">
        <v>87</v>
      </c>
      <c r="B203">
        <v>7</v>
      </c>
      <c r="C203">
        <v>2025</v>
      </c>
      <c r="D203" t="s">
        <v>126</v>
      </c>
      <c r="E203" t="s">
        <v>127</v>
      </c>
      <c r="F203">
        <v>379</v>
      </c>
      <c r="G203">
        <v>26234.61</v>
      </c>
      <c r="H203">
        <v>9387</v>
      </c>
      <c r="I203">
        <v>0.26263160957616299</v>
      </c>
      <c r="J203">
        <v>503419.43</v>
      </c>
      <c r="K203">
        <v>0.264060968768416</v>
      </c>
      <c r="L203">
        <v>4883</v>
      </c>
      <c r="M203">
        <v>0.27323535731552301</v>
      </c>
      <c r="N203">
        <v>54.234491091542097</v>
      </c>
      <c r="O203">
        <v>264827.02</v>
      </c>
      <c r="P203">
        <v>0.27782193252752602</v>
      </c>
      <c r="Q203">
        <v>4504</v>
      </c>
      <c r="R203">
        <v>0.25202786183680398</v>
      </c>
      <c r="S203">
        <v>52.973448046181197</v>
      </c>
      <c r="T203">
        <v>238592.41</v>
      </c>
      <c r="U203">
        <v>0.25030000500930599</v>
      </c>
      <c r="V203">
        <v>84</v>
      </c>
      <c r="W203">
        <v>0.61502416166349405</v>
      </c>
    </row>
    <row r="204" spans="1:23" hidden="1" x14ac:dyDescent="0.25">
      <c r="A204" t="s">
        <v>87</v>
      </c>
      <c r="B204">
        <v>7</v>
      </c>
      <c r="C204">
        <v>2025</v>
      </c>
      <c r="D204" t="s">
        <v>128</v>
      </c>
      <c r="E204" t="s">
        <v>129</v>
      </c>
      <c r="F204">
        <v>-2915</v>
      </c>
      <c r="G204">
        <v>-148646.75</v>
      </c>
      <c r="H204">
        <v>7085</v>
      </c>
      <c r="I204">
        <v>0.19822573280570099</v>
      </c>
      <c r="J204">
        <v>372153.25</v>
      </c>
      <c r="K204">
        <v>0.19520730005457801</v>
      </c>
      <c r="L204">
        <v>2085</v>
      </c>
      <c r="M204">
        <v>0.11666920335917801</v>
      </c>
      <c r="N204">
        <v>53.5986810551559</v>
      </c>
      <c r="O204">
        <v>111753.25</v>
      </c>
      <c r="P204">
        <v>0.117236918956501</v>
      </c>
      <c r="Q204">
        <v>5000</v>
      </c>
      <c r="R204">
        <v>0.27978226225222502</v>
      </c>
      <c r="S204">
        <v>52.08</v>
      </c>
      <c r="T204">
        <v>260400</v>
      </c>
      <c r="U204">
        <v>0.27317768115265501</v>
      </c>
      <c r="V204">
        <v>10</v>
      </c>
      <c r="W204">
        <v>7.3217162102796898E-2</v>
      </c>
    </row>
    <row r="205" spans="1:23" hidden="1" x14ac:dyDescent="0.25">
      <c r="A205" t="s">
        <v>87</v>
      </c>
      <c r="B205">
        <v>7</v>
      </c>
      <c r="C205">
        <v>2025</v>
      </c>
      <c r="D205" t="s">
        <v>130</v>
      </c>
      <c r="E205" t="s">
        <v>131</v>
      </c>
      <c r="F205">
        <v>36272</v>
      </c>
      <c r="G205">
        <v>1967912.74</v>
      </c>
      <c r="H205">
        <v>73906</v>
      </c>
      <c r="I205">
        <v>2.0677587874012899</v>
      </c>
      <c r="J205">
        <v>3981655.5</v>
      </c>
      <c r="K205">
        <v>2.0885165450052101</v>
      </c>
      <c r="L205">
        <v>55089</v>
      </c>
      <c r="M205">
        <v>3.0825850090425599</v>
      </c>
      <c r="N205">
        <v>53.999602824520302</v>
      </c>
      <c r="O205">
        <v>2974784.12</v>
      </c>
      <c r="P205">
        <v>3.1207550991986901</v>
      </c>
      <c r="Q205">
        <v>18817</v>
      </c>
      <c r="R205">
        <v>1.0529325657600199</v>
      </c>
      <c r="S205">
        <v>53.508602859116799</v>
      </c>
      <c r="T205">
        <v>1006871.38</v>
      </c>
      <c r="U205">
        <v>1.0562779908117299</v>
      </c>
      <c r="V205">
        <v>276</v>
      </c>
      <c r="W205">
        <v>2.0207936740371899</v>
      </c>
    </row>
    <row r="206" spans="1:23" hidden="1" x14ac:dyDescent="0.25">
      <c r="A206" t="s">
        <v>87</v>
      </c>
      <c r="B206">
        <v>7</v>
      </c>
      <c r="C206">
        <v>2025</v>
      </c>
      <c r="D206" t="s">
        <v>132</v>
      </c>
      <c r="E206" t="s">
        <v>133</v>
      </c>
      <c r="F206">
        <v>7308</v>
      </c>
      <c r="G206">
        <v>387162.15</v>
      </c>
      <c r="H206">
        <v>14140</v>
      </c>
      <c r="I206">
        <v>0.39561211882464598</v>
      </c>
      <c r="J206">
        <v>755208.53</v>
      </c>
      <c r="K206">
        <v>0.39613309334121499</v>
      </c>
      <c r="L206">
        <v>10724</v>
      </c>
      <c r="M206">
        <v>0.60007699607857201</v>
      </c>
      <c r="N206">
        <v>53.262340544572901</v>
      </c>
      <c r="O206">
        <v>571185.34</v>
      </c>
      <c r="P206">
        <v>0.59921308252531003</v>
      </c>
      <c r="Q206">
        <v>3416</v>
      </c>
      <c r="R206">
        <v>0.19114724157071999</v>
      </c>
      <c r="S206">
        <v>53.870957259953201</v>
      </c>
      <c r="T206">
        <v>184023.19</v>
      </c>
      <c r="U206">
        <v>0.19305310415712101</v>
      </c>
      <c r="V206">
        <v>108</v>
      </c>
      <c r="W206">
        <v>0.79074535071020702</v>
      </c>
    </row>
    <row r="207" spans="1:23" hidden="1" x14ac:dyDescent="0.25">
      <c r="A207" t="s">
        <v>87</v>
      </c>
      <c r="B207">
        <v>7</v>
      </c>
      <c r="C207">
        <v>2025</v>
      </c>
      <c r="D207" t="s">
        <v>134</v>
      </c>
      <c r="E207" t="s">
        <v>135</v>
      </c>
      <c r="F207">
        <v>24482</v>
      </c>
      <c r="G207">
        <v>1305254.48</v>
      </c>
      <c r="H207">
        <v>26682</v>
      </c>
      <c r="I207">
        <v>0.74651503214138604</v>
      </c>
      <c r="J207">
        <v>1425528.48</v>
      </c>
      <c r="K207">
        <v>0.74773917930773504</v>
      </c>
      <c r="L207">
        <v>25582</v>
      </c>
      <c r="M207">
        <v>1.4314779665872801</v>
      </c>
      <c r="N207">
        <v>53.3731326714096</v>
      </c>
      <c r="O207">
        <v>1365391.48</v>
      </c>
      <c r="P207">
        <v>1.4323904699385199</v>
      </c>
      <c r="Q207">
        <v>1100</v>
      </c>
      <c r="R207">
        <v>6.1552097695489499E-2</v>
      </c>
      <c r="S207">
        <v>54.67</v>
      </c>
      <c r="T207">
        <v>60137</v>
      </c>
      <c r="U207">
        <v>6.3087888676947701E-2</v>
      </c>
      <c r="V207">
        <v>57</v>
      </c>
      <c r="W207">
        <v>0.41733782398594199</v>
      </c>
    </row>
    <row r="208" spans="1:23" hidden="1" x14ac:dyDescent="0.25">
      <c r="A208" t="s">
        <v>87</v>
      </c>
      <c r="B208">
        <v>7</v>
      </c>
      <c r="C208">
        <v>2025</v>
      </c>
      <c r="D208" t="s">
        <v>136</v>
      </c>
      <c r="E208" t="s">
        <v>137</v>
      </c>
      <c r="F208">
        <v>8896</v>
      </c>
      <c r="G208">
        <v>464166.54</v>
      </c>
      <c r="H208">
        <v>14794</v>
      </c>
      <c r="I208">
        <v>0.41390987877594099</v>
      </c>
      <c r="J208">
        <v>786142.5</v>
      </c>
      <c r="K208">
        <v>0.41235903457286999</v>
      </c>
      <c r="L208">
        <v>11845</v>
      </c>
      <c r="M208">
        <v>0.66280417927552104</v>
      </c>
      <c r="N208">
        <v>52.777924862811297</v>
      </c>
      <c r="O208">
        <v>625154.52</v>
      </c>
      <c r="P208">
        <v>0.65583049975307495</v>
      </c>
      <c r="Q208">
        <v>2949</v>
      </c>
      <c r="R208">
        <v>0.16501557827636201</v>
      </c>
      <c r="S208">
        <v>54.5907019328586</v>
      </c>
      <c r="T208">
        <v>160987.98000000001</v>
      </c>
      <c r="U208">
        <v>0.168887569392665</v>
      </c>
      <c r="V208">
        <v>43</v>
      </c>
      <c r="W208">
        <v>0.31483379704202702</v>
      </c>
    </row>
    <row r="209" spans="1:23" hidden="1" x14ac:dyDescent="0.25">
      <c r="A209" t="s">
        <v>87</v>
      </c>
      <c r="B209">
        <v>7</v>
      </c>
      <c r="C209">
        <v>2025</v>
      </c>
      <c r="D209" t="s">
        <v>171</v>
      </c>
      <c r="E209" t="s">
        <v>172</v>
      </c>
      <c r="F209">
        <v>75</v>
      </c>
      <c r="G209">
        <v>4118.25</v>
      </c>
      <c r="H209">
        <v>75</v>
      </c>
      <c r="I209">
        <v>2.0983669668916899E-3</v>
      </c>
      <c r="J209">
        <v>4118.25</v>
      </c>
      <c r="K209">
        <v>2.1601651025478499E-3</v>
      </c>
      <c r="L209">
        <v>75</v>
      </c>
      <c r="M209">
        <v>4.1967339337833703E-3</v>
      </c>
      <c r="N209">
        <v>54.91</v>
      </c>
      <c r="O209">
        <v>4118.25</v>
      </c>
      <c r="P209">
        <v>4.3203302050956998E-3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1</v>
      </c>
      <c r="W209">
        <v>7.3217162102796902E-3</v>
      </c>
    </row>
    <row r="210" spans="1:23" hidden="1" x14ac:dyDescent="0.25">
      <c r="A210" t="s">
        <v>87</v>
      </c>
      <c r="B210">
        <v>7</v>
      </c>
      <c r="C210">
        <v>2025</v>
      </c>
      <c r="D210" t="s">
        <v>138</v>
      </c>
      <c r="E210" t="s">
        <v>139</v>
      </c>
      <c r="F210">
        <v>-3718</v>
      </c>
      <c r="G210">
        <v>-214720.29</v>
      </c>
      <c r="H210">
        <v>29028</v>
      </c>
      <c r="I210">
        <v>0.81215195086575798</v>
      </c>
      <c r="J210">
        <v>1576290.11</v>
      </c>
      <c r="K210">
        <v>0.82681888839028905</v>
      </c>
      <c r="L210">
        <v>12655</v>
      </c>
      <c r="M210">
        <v>0.70812890576038101</v>
      </c>
      <c r="N210">
        <v>53.795725800078998</v>
      </c>
      <c r="O210">
        <v>680784.91</v>
      </c>
      <c r="P210">
        <v>0.71419064161873502</v>
      </c>
      <c r="Q210">
        <v>16373</v>
      </c>
      <c r="R210">
        <v>0.91617499597113505</v>
      </c>
      <c r="S210">
        <v>54.694020643742697</v>
      </c>
      <c r="T210">
        <v>895505.2</v>
      </c>
      <c r="U210">
        <v>0.93944713516184397</v>
      </c>
      <c r="V210">
        <v>73</v>
      </c>
      <c r="W210">
        <v>0.53448528335041701</v>
      </c>
    </row>
    <row r="211" spans="1:23" hidden="1" x14ac:dyDescent="0.25">
      <c r="A211" t="s">
        <v>87</v>
      </c>
      <c r="B211">
        <v>7</v>
      </c>
      <c r="C211">
        <v>2025</v>
      </c>
      <c r="D211" t="s">
        <v>140</v>
      </c>
      <c r="E211" t="s">
        <v>141</v>
      </c>
      <c r="F211">
        <v>40</v>
      </c>
      <c r="G211">
        <v>2649.32</v>
      </c>
      <c r="H211">
        <v>338</v>
      </c>
      <c r="I211">
        <v>9.4566404641252006E-3</v>
      </c>
      <c r="J211">
        <v>18049.96</v>
      </c>
      <c r="K211">
        <v>9.4678306791439494E-3</v>
      </c>
      <c r="L211">
        <v>189</v>
      </c>
      <c r="M211">
        <v>1.05757695131341E-2</v>
      </c>
      <c r="N211">
        <v>54.76</v>
      </c>
      <c r="O211">
        <v>10349.64</v>
      </c>
      <c r="P211">
        <v>1.0857490998328599E-2</v>
      </c>
      <c r="Q211">
        <v>149</v>
      </c>
      <c r="R211">
        <v>8.3375114151162995E-3</v>
      </c>
      <c r="S211">
        <v>51.68</v>
      </c>
      <c r="T211">
        <v>7700.32</v>
      </c>
      <c r="U211">
        <v>8.0781703599593305E-3</v>
      </c>
      <c r="V211">
        <v>3</v>
      </c>
      <c r="W211">
        <v>2.19651486308391E-2</v>
      </c>
    </row>
    <row r="212" spans="1:23" hidden="1" x14ac:dyDescent="0.25">
      <c r="A212" t="s">
        <v>87</v>
      </c>
      <c r="B212">
        <v>7</v>
      </c>
      <c r="C212">
        <v>2025</v>
      </c>
      <c r="D212" t="s">
        <v>142</v>
      </c>
      <c r="E212" t="s">
        <v>143</v>
      </c>
      <c r="F212">
        <v>49415</v>
      </c>
      <c r="G212">
        <v>2647307.85</v>
      </c>
      <c r="H212">
        <v>81579</v>
      </c>
      <c r="I212">
        <v>2.2824357172274201</v>
      </c>
      <c r="J212">
        <v>4355124.7699999996</v>
      </c>
      <c r="K212">
        <v>2.2844141432394198</v>
      </c>
      <c r="L212">
        <v>65497</v>
      </c>
      <c r="M212">
        <v>3.6649797661467902</v>
      </c>
      <c r="N212">
        <v>53.456132494618103</v>
      </c>
      <c r="O212">
        <v>3501216.31</v>
      </c>
      <c r="P212">
        <v>3.6730190198911399</v>
      </c>
      <c r="Q212">
        <v>16082</v>
      </c>
      <c r="R212">
        <v>0.899891668308056</v>
      </c>
      <c r="S212">
        <v>53.097155826389802</v>
      </c>
      <c r="T212">
        <v>853908.46</v>
      </c>
      <c r="U212">
        <v>0.895809266587689</v>
      </c>
      <c r="V212">
        <v>744</v>
      </c>
      <c r="W212">
        <v>5.4473568604480898</v>
      </c>
    </row>
    <row r="213" spans="1:23" hidden="1" x14ac:dyDescent="0.25">
      <c r="A213" t="s">
        <v>87</v>
      </c>
      <c r="B213">
        <v>7</v>
      </c>
      <c r="C213">
        <v>2025</v>
      </c>
      <c r="D213" t="s">
        <v>144</v>
      </c>
      <c r="E213" t="s">
        <v>145</v>
      </c>
      <c r="F213">
        <v>-46175</v>
      </c>
      <c r="G213">
        <v>-2541065.42</v>
      </c>
      <c r="H213">
        <v>222215</v>
      </c>
      <c r="I213">
        <v>6.2171815406378101</v>
      </c>
      <c r="J213">
        <v>11917434.1</v>
      </c>
      <c r="K213">
        <v>6.2511079353448</v>
      </c>
      <c r="L213">
        <v>88020</v>
      </c>
      <c r="M213">
        <v>4.9252869446881702</v>
      </c>
      <c r="N213">
        <v>53.262716882526703</v>
      </c>
      <c r="O213">
        <v>4688184.34</v>
      </c>
      <c r="P213">
        <v>4.9182309017564796</v>
      </c>
      <c r="Q213">
        <v>134195</v>
      </c>
      <c r="R213">
        <v>7.5090761365874599</v>
      </c>
      <c r="S213">
        <v>53.871230373709899</v>
      </c>
      <c r="T213">
        <v>7229249.7599999998</v>
      </c>
      <c r="U213">
        <v>7.5839849689331196</v>
      </c>
      <c r="V213">
        <v>389</v>
      </c>
      <c r="W213">
        <v>2.8481476057988</v>
      </c>
    </row>
    <row r="214" spans="1:23" hidden="1" x14ac:dyDescent="0.25">
      <c r="A214" t="s">
        <v>87</v>
      </c>
      <c r="B214">
        <v>7</v>
      </c>
      <c r="C214">
        <v>2025</v>
      </c>
      <c r="D214" t="s">
        <v>146</v>
      </c>
      <c r="E214" t="s">
        <v>147</v>
      </c>
      <c r="F214">
        <v>13902</v>
      </c>
      <c r="G214">
        <v>752997.63</v>
      </c>
      <c r="H214">
        <v>34550</v>
      </c>
      <c r="I214">
        <v>0.96664771608143696</v>
      </c>
      <c r="J214">
        <v>1853305.69</v>
      </c>
      <c r="K214">
        <v>0.97212317753690602</v>
      </c>
      <c r="L214">
        <v>24226</v>
      </c>
      <c r="M214">
        <v>1.3556010170644801</v>
      </c>
      <c r="N214">
        <v>53.791449682159701</v>
      </c>
      <c r="O214">
        <v>1303151.6599999999</v>
      </c>
      <c r="P214">
        <v>1.3670965770700201</v>
      </c>
      <c r="Q214">
        <v>10324</v>
      </c>
      <c r="R214">
        <v>0.57769441509839403</v>
      </c>
      <c r="S214">
        <v>53.288844440139499</v>
      </c>
      <c r="T214">
        <v>550154.03</v>
      </c>
      <c r="U214">
        <v>0.57714977800379397</v>
      </c>
      <c r="V214">
        <v>116</v>
      </c>
      <c r="W214">
        <v>0.84931908039244397</v>
      </c>
    </row>
    <row r="215" spans="1:23" x14ac:dyDescent="0.25">
      <c r="A215" t="s">
        <v>87</v>
      </c>
      <c r="B215">
        <v>7</v>
      </c>
      <c r="C215">
        <v>2025</v>
      </c>
      <c r="D215" t="s">
        <v>148</v>
      </c>
      <c r="E215" t="s">
        <v>148</v>
      </c>
      <c r="F215">
        <v>0</v>
      </c>
      <c r="G215" s="4">
        <v>-2.6666384655982301E-9</v>
      </c>
      <c r="H215">
        <v>3574208</v>
      </c>
      <c r="I215">
        <v>0</v>
      </c>
      <c r="J215">
        <v>190645150</v>
      </c>
      <c r="K215">
        <v>0</v>
      </c>
      <c r="L215">
        <v>1787104</v>
      </c>
      <c r="M215">
        <v>100</v>
      </c>
      <c r="N215">
        <v>53.448763441919702</v>
      </c>
      <c r="O215">
        <v>95322575</v>
      </c>
      <c r="P215">
        <v>100</v>
      </c>
      <c r="Q215">
        <v>1787104</v>
      </c>
      <c r="R215">
        <v>100</v>
      </c>
      <c r="S215">
        <v>53.078023837588397</v>
      </c>
      <c r="T215">
        <v>95322575</v>
      </c>
      <c r="U215">
        <v>100</v>
      </c>
      <c r="V215">
        <v>13658</v>
      </c>
      <c r="W215">
        <v>100</v>
      </c>
    </row>
    <row r="216" spans="1:23" hidden="1" x14ac:dyDescent="0.25">
      <c r="A216" t="s">
        <v>87</v>
      </c>
      <c r="B216">
        <v>7</v>
      </c>
      <c r="C216">
        <v>2025</v>
      </c>
      <c r="D216" t="s">
        <v>149</v>
      </c>
      <c r="E216" t="s">
        <v>150</v>
      </c>
      <c r="F216">
        <v>75426</v>
      </c>
      <c r="G216">
        <v>3985840.4</v>
      </c>
      <c r="H216">
        <v>258542</v>
      </c>
      <c r="I216">
        <v>7.2335465647214701</v>
      </c>
      <c r="J216">
        <v>13758612.720000001</v>
      </c>
      <c r="K216">
        <v>7.2168700436386697</v>
      </c>
      <c r="L216">
        <v>166984</v>
      </c>
      <c r="M216">
        <v>9.3438322559851006</v>
      </c>
      <c r="N216">
        <v>53.132195659464401</v>
      </c>
      <c r="O216">
        <v>8872226.5600000005</v>
      </c>
      <c r="P216">
        <v>9.30758171398538</v>
      </c>
      <c r="Q216">
        <v>91558</v>
      </c>
      <c r="R216">
        <v>5.1232608734578404</v>
      </c>
      <c r="S216">
        <v>53.369297712925103</v>
      </c>
      <c r="T216">
        <v>4886386.16</v>
      </c>
      <c r="U216">
        <v>5.1261583732919496</v>
      </c>
      <c r="V216">
        <v>1185</v>
      </c>
      <c r="W216">
        <v>8.6762337091814299</v>
      </c>
    </row>
    <row r="217" spans="1:23" hidden="1" x14ac:dyDescent="0.25">
      <c r="A217" t="s">
        <v>87</v>
      </c>
      <c r="B217">
        <v>7</v>
      </c>
      <c r="C217">
        <v>2025</v>
      </c>
      <c r="D217" t="s">
        <v>151</v>
      </c>
      <c r="E217" t="s">
        <v>152</v>
      </c>
      <c r="F217">
        <v>16015</v>
      </c>
      <c r="G217">
        <v>819513.30999999901</v>
      </c>
      <c r="H217">
        <v>880331</v>
      </c>
      <c r="I217">
        <v>24.6300998710763</v>
      </c>
      <c r="J217">
        <v>46937487.149999999</v>
      </c>
      <c r="K217">
        <v>24.620341587499102</v>
      </c>
      <c r="L217">
        <v>448173</v>
      </c>
      <c r="M217">
        <v>25.0781711640733</v>
      </c>
      <c r="N217">
        <v>53.279649220278799</v>
      </c>
      <c r="O217">
        <v>23878500.23</v>
      </c>
      <c r="P217">
        <v>25.050204770485902</v>
      </c>
      <c r="Q217">
        <v>432158</v>
      </c>
      <c r="R217">
        <v>24.1820285780794</v>
      </c>
      <c r="S217">
        <v>53.357769426922601</v>
      </c>
      <c r="T217">
        <v>23058986.920000002</v>
      </c>
      <c r="U217">
        <v>24.190478404512302</v>
      </c>
      <c r="V217">
        <v>3344</v>
      </c>
      <c r="W217">
        <v>24.483819007175299</v>
      </c>
    </row>
    <row r="218" spans="1:23" hidden="1" x14ac:dyDescent="0.25">
      <c r="A218" t="s">
        <v>87</v>
      </c>
      <c r="B218">
        <v>7</v>
      </c>
      <c r="C218">
        <v>2025</v>
      </c>
      <c r="D218" t="s">
        <v>153</v>
      </c>
      <c r="E218" t="s">
        <v>154</v>
      </c>
      <c r="F218">
        <v>719</v>
      </c>
      <c r="G218">
        <v>38857.03</v>
      </c>
      <c r="H218">
        <v>831</v>
      </c>
      <c r="I218">
        <v>2.3249905993159899E-2</v>
      </c>
      <c r="J218">
        <v>44808.91</v>
      </c>
      <c r="K218">
        <v>2.3503828972307999E-2</v>
      </c>
      <c r="L218">
        <v>775</v>
      </c>
      <c r="M218">
        <v>4.3366250649094801E-2</v>
      </c>
      <c r="N218">
        <v>53.978025806451598</v>
      </c>
      <c r="O218">
        <v>41832.97</v>
      </c>
      <c r="P218">
        <v>4.38856902470375E-2</v>
      </c>
      <c r="Q218">
        <v>56</v>
      </c>
      <c r="R218">
        <v>3.1335613372249198E-3</v>
      </c>
      <c r="S218">
        <v>53.141785714285703</v>
      </c>
      <c r="T218">
        <v>2975.94</v>
      </c>
      <c r="U218">
        <v>3.1219676975784601E-3</v>
      </c>
      <c r="V218">
        <v>89</v>
      </c>
      <c r="W218">
        <v>0.65163274271489202</v>
      </c>
    </row>
    <row r="219" spans="1:23" hidden="1" x14ac:dyDescent="0.25">
      <c r="A219" t="s">
        <v>87</v>
      </c>
      <c r="B219">
        <v>7</v>
      </c>
      <c r="C219">
        <v>2025</v>
      </c>
      <c r="D219" t="s">
        <v>155</v>
      </c>
      <c r="E219" t="s">
        <v>156</v>
      </c>
      <c r="F219">
        <v>3123</v>
      </c>
      <c r="G219">
        <v>160163.99</v>
      </c>
      <c r="H219">
        <v>4093</v>
      </c>
      <c r="I219">
        <v>0.114514879939836</v>
      </c>
      <c r="J219">
        <v>210361.49</v>
      </c>
      <c r="K219">
        <v>0.11034190484258299</v>
      </c>
      <c r="L219">
        <v>3608</v>
      </c>
      <c r="M219">
        <v>0.20189088044120501</v>
      </c>
      <c r="N219">
        <v>51.347766075388002</v>
      </c>
      <c r="O219">
        <v>185262.74</v>
      </c>
      <c r="P219">
        <v>0.19435347817660201</v>
      </c>
      <c r="Q219">
        <v>485</v>
      </c>
      <c r="R219">
        <v>2.71388794384658E-2</v>
      </c>
      <c r="S219">
        <v>51.75</v>
      </c>
      <c r="T219">
        <v>25098.75</v>
      </c>
      <c r="U219">
        <v>2.6330331508564501E-2</v>
      </c>
      <c r="V219">
        <v>9</v>
      </c>
      <c r="W219">
        <v>6.5895445892517196E-2</v>
      </c>
    </row>
    <row r="220" spans="1:23" hidden="1" x14ac:dyDescent="0.25">
      <c r="A220" t="s">
        <v>87</v>
      </c>
      <c r="B220">
        <v>8</v>
      </c>
      <c r="C220">
        <v>2025</v>
      </c>
      <c r="D220" t="s">
        <v>88</v>
      </c>
      <c r="E220" t="s">
        <v>89</v>
      </c>
      <c r="F220">
        <v>29356</v>
      </c>
      <c r="G220">
        <v>1590455.72</v>
      </c>
      <c r="H220">
        <v>127764</v>
      </c>
      <c r="I220">
        <v>5.0684352211896497</v>
      </c>
      <c r="J220">
        <v>6866515.2400000002</v>
      </c>
      <c r="K220">
        <v>5.0378319695412799</v>
      </c>
      <c r="L220">
        <v>78560</v>
      </c>
      <c r="M220">
        <v>6.2329963209771</v>
      </c>
      <c r="N220">
        <v>53.824917006109999</v>
      </c>
      <c r="O220">
        <v>4228485.4800000004</v>
      </c>
      <c r="P220">
        <v>6.2047191593752604</v>
      </c>
      <c r="Q220">
        <v>49204</v>
      </c>
      <c r="R220">
        <v>3.9038741214021999</v>
      </c>
      <c r="S220">
        <v>53.6141321843753</v>
      </c>
      <c r="T220">
        <v>2638029.7599999998</v>
      </c>
      <c r="U220">
        <v>3.8709447797073002</v>
      </c>
      <c r="V220">
        <v>442</v>
      </c>
      <c r="W220">
        <v>4.0941089292330499</v>
      </c>
    </row>
    <row r="221" spans="1:23" hidden="1" x14ac:dyDescent="0.25">
      <c r="A221" t="s">
        <v>87</v>
      </c>
      <c r="B221">
        <v>8</v>
      </c>
      <c r="C221">
        <v>2025</v>
      </c>
      <c r="D221" t="s">
        <v>90</v>
      </c>
      <c r="E221" t="s">
        <v>91</v>
      </c>
      <c r="F221">
        <v>74757</v>
      </c>
      <c r="G221">
        <v>4144358.96</v>
      </c>
      <c r="H221">
        <v>177917</v>
      </c>
      <c r="I221">
        <v>7.05801938925205</v>
      </c>
      <c r="J221">
        <v>9719463.3599999994</v>
      </c>
      <c r="K221">
        <v>7.1309858829925403</v>
      </c>
      <c r="L221">
        <v>126337</v>
      </c>
      <c r="M221">
        <v>10.023651428249501</v>
      </c>
      <c r="N221">
        <v>54.86841669503</v>
      </c>
      <c r="O221">
        <v>6931911.1600000001</v>
      </c>
      <c r="P221">
        <v>10.171623430888401</v>
      </c>
      <c r="Q221">
        <v>51580</v>
      </c>
      <c r="R221">
        <v>4.09238735025456</v>
      </c>
      <c r="S221">
        <v>54.043276463745599</v>
      </c>
      <c r="T221">
        <v>2787552.2</v>
      </c>
      <c r="U221">
        <v>4.0903483350967198</v>
      </c>
      <c r="V221">
        <v>773</v>
      </c>
      <c r="W221">
        <v>7.1600592812152701</v>
      </c>
    </row>
    <row r="222" spans="1:23" hidden="1" x14ac:dyDescent="0.25">
      <c r="A222" t="s">
        <v>87</v>
      </c>
      <c r="B222">
        <v>8</v>
      </c>
      <c r="C222">
        <v>2025</v>
      </c>
      <c r="D222" t="s">
        <v>92</v>
      </c>
      <c r="E222" t="s">
        <v>93</v>
      </c>
      <c r="F222">
        <v>5656</v>
      </c>
      <c r="G222">
        <v>303171.65000000002</v>
      </c>
      <c r="H222">
        <v>5656</v>
      </c>
      <c r="I222">
        <v>0.22437517306165</v>
      </c>
      <c r="J222">
        <v>303171.65000000002</v>
      </c>
      <c r="K222">
        <v>0.222431288251037</v>
      </c>
      <c r="L222">
        <v>5656</v>
      </c>
      <c r="M222">
        <v>0.4487503461233</v>
      </c>
      <c r="N222">
        <v>53.601776874115998</v>
      </c>
      <c r="O222">
        <v>303171.65000000002</v>
      </c>
      <c r="P222">
        <v>0.444862576502075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15</v>
      </c>
      <c r="W222">
        <v>0.13894034827714</v>
      </c>
    </row>
    <row r="223" spans="1:23" hidden="1" x14ac:dyDescent="0.25">
      <c r="A223" t="s">
        <v>87</v>
      </c>
      <c r="B223">
        <v>8</v>
      </c>
      <c r="C223">
        <v>2025</v>
      </c>
      <c r="D223" t="s">
        <v>94</v>
      </c>
      <c r="E223" t="s">
        <v>95</v>
      </c>
      <c r="F223">
        <v>-308535</v>
      </c>
      <c r="G223">
        <v>-16750882.779999999</v>
      </c>
      <c r="H223">
        <v>329801</v>
      </c>
      <c r="I223">
        <v>13.0833020599196</v>
      </c>
      <c r="J223">
        <v>17873014.899999999</v>
      </c>
      <c r="K223">
        <v>13.113091969968099</v>
      </c>
      <c r="L223">
        <v>10633</v>
      </c>
      <c r="M223">
        <v>0.84362843534813503</v>
      </c>
      <c r="N223">
        <v>52.7664873507007</v>
      </c>
      <c r="O223">
        <v>561066.06000000006</v>
      </c>
      <c r="P223">
        <v>0.82328704890271798</v>
      </c>
      <c r="Q223">
        <v>319168</v>
      </c>
      <c r="R223">
        <v>25.322975684491102</v>
      </c>
      <c r="S223">
        <v>54.240866377581703</v>
      </c>
      <c r="T223">
        <v>17311948.84</v>
      </c>
      <c r="U223">
        <v>25.4028968910335</v>
      </c>
      <c r="V223">
        <v>1048</v>
      </c>
      <c r="W223">
        <v>9.7072989996294901</v>
      </c>
    </row>
    <row r="224" spans="1:23" hidden="1" x14ac:dyDescent="0.25">
      <c r="A224" t="s">
        <v>87</v>
      </c>
      <c r="B224">
        <v>8</v>
      </c>
      <c r="C224">
        <v>2025</v>
      </c>
      <c r="D224" t="s">
        <v>96</v>
      </c>
      <c r="E224" t="s">
        <v>97</v>
      </c>
      <c r="F224">
        <v>-2077</v>
      </c>
      <c r="G224">
        <v>-109440.85</v>
      </c>
      <c r="H224">
        <v>22643</v>
      </c>
      <c r="I224">
        <v>0.89825442779967102</v>
      </c>
      <c r="J224">
        <v>1221431.1100000001</v>
      </c>
      <c r="K224">
        <v>0.89614083410237899</v>
      </c>
      <c r="L224">
        <v>10283</v>
      </c>
      <c r="M224">
        <v>0.81585923076129696</v>
      </c>
      <c r="N224">
        <v>54.069350384129201</v>
      </c>
      <c r="O224">
        <v>555995.13</v>
      </c>
      <c r="P224">
        <v>0.81584615861808296</v>
      </c>
      <c r="Q224">
        <v>12360</v>
      </c>
      <c r="R224">
        <v>0.98064962483804596</v>
      </c>
      <c r="S224">
        <v>53.837862459546898</v>
      </c>
      <c r="T224">
        <v>665435.98</v>
      </c>
      <c r="U224">
        <v>0.97643550958667502</v>
      </c>
      <c r="V224">
        <v>97</v>
      </c>
      <c r="W224">
        <v>0.89848091885883696</v>
      </c>
    </row>
    <row r="225" spans="1:23" hidden="1" x14ac:dyDescent="0.25">
      <c r="A225" t="s">
        <v>87</v>
      </c>
      <c r="B225">
        <v>8</v>
      </c>
      <c r="C225">
        <v>2025</v>
      </c>
      <c r="D225" t="s">
        <v>100</v>
      </c>
      <c r="E225" t="s">
        <v>101</v>
      </c>
      <c r="F225">
        <v>-2709</v>
      </c>
      <c r="G225">
        <v>-143972.64000000001</v>
      </c>
      <c r="H225">
        <v>5691</v>
      </c>
      <c r="I225">
        <v>0.225763633290992</v>
      </c>
      <c r="J225">
        <v>303735.36</v>
      </c>
      <c r="K225">
        <v>0.22284487158410901</v>
      </c>
      <c r="L225">
        <v>1491</v>
      </c>
      <c r="M225">
        <v>0.11829681153992901</v>
      </c>
      <c r="N225">
        <v>53.575694164989898</v>
      </c>
      <c r="O225">
        <v>79881.36</v>
      </c>
      <c r="P225">
        <v>0.11721487686625599</v>
      </c>
      <c r="Q225">
        <v>4200</v>
      </c>
      <c r="R225">
        <v>0.33323045504205401</v>
      </c>
      <c r="S225">
        <v>53.2985714285714</v>
      </c>
      <c r="T225">
        <v>223854</v>
      </c>
      <c r="U225">
        <v>0.32847486630196299</v>
      </c>
      <c r="V225">
        <v>8</v>
      </c>
      <c r="W225">
        <v>7.4101519081141196E-2</v>
      </c>
    </row>
    <row r="226" spans="1:23" hidden="1" x14ac:dyDescent="0.25">
      <c r="A226" t="s">
        <v>87</v>
      </c>
      <c r="B226">
        <v>8</v>
      </c>
      <c r="C226">
        <v>2025</v>
      </c>
      <c r="D226" t="s">
        <v>102</v>
      </c>
      <c r="E226" t="s">
        <v>103</v>
      </c>
      <c r="F226">
        <v>54530</v>
      </c>
      <c r="G226">
        <v>2945054.52</v>
      </c>
      <c r="H226">
        <v>300690</v>
      </c>
      <c r="I226">
        <v>11.928460181737499</v>
      </c>
      <c r="J226">
        <v>16217480.32</v>
      </c>
      <c r="K226">
        <v>11.898457655138399</v>
      </c>
      <c r="L226">
        <v>177610</v>
      </c>
      <c r="M226">
        <v>14.0916812190522</v>
      </c>
      <c r="N226">
        <v>53.945540341197002</v>
      </c>
      <c r="O226">
        <v>9581267.4199999999</v>
      </c>
      <c r="P226">
        <v>14.0591882869542</v>
      </c>
      <c r="Q226">
        <v>123080</v>
      </c>
      <c r="R226">
        <v>9.7652391444228694</v>
      </c>
      <c r="S226">
        <v>53.917881865453403</v>
      </c>
      <c r="T226">
        <v>6636212.9000000004</v>
      </c>
      <c r="U226">
        <v>9.7377270233226092</v>
      </c>
      <c r="V226">
        <v>1466</v>
      </c>
      <c r="W226">
        <v>13.5791033716191</v>
      </c>
    </row>
    <row r="227" spans="1:23" hidden="1" x14ac:dyDescent="0.25">
      <c r="A227" t="s">
        <v>87</v>
      </c>
      <c r="B227">
        <v>8</v>
      </c>
      <c r="C227">
        <v>2025</v>
      </c>
      <c r="D227" t="s">
        <v>161</v>
      </c>
      <c r="E227" t="s">
        <v>162</v>
      </c>
      <c r="F227">
        <v>1665</v>
      </c>
      <c r="G227">
        <v>89952.42</v>
      </c>
      <c r="H227">
        <v>1665</v>
      </c>
      <c r="I227">
        <v>6.60510366244072E-2</v>
      </c>
      <c r="J227">
        <v>89952.42</v>
      </c>
      <c r="K227">
        <v>6.5996384100882696E-2</v>
      </c>
      <c r="L227">
        <v>1665</v>
      </c>
      <c r="M227">
        <v>0.13210207324881401</v>
      </c>
      <c r="N227">
        <v>54.025477477477502</v>
      </c>
      <c r="O227">
        <v>89952.42</v>
      </c>
      <c r="P227">
        <v>0.131992768201765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4</v>
      </c>
      <c r="W227">
        <v>3.7050759540570598E-2</v>
      </c>
    </row>
    <row r="228" spans="1:23" hidden="1" x14ac:dyDescent="0.25">
      <c r="A228" t="s">
        <v>87</v>
      </c>
      <c r="B228">
        <v>8</v>
      </c>
      <c r="C228">
        <v>2025</v>
      </c>
      <c r="D228" t="s">
        <v>104</v>
      </c>
      <c r="E228" t="s">
        <v>105</v>
      </c>
      <c r="F228">
        <v>14518</v>
      </c>
      <c r="G228">
        <v>788133.76</v>
      </c>
      <c r="H228">
        <v>54218</v>
      </c>
      <c r="I228">
        <v>2.1508439061273901</v>
      </c>
      <c r="J228">
        <v>2939215.88</v>
      </c>
      <c r="K228">
        <v>2.1564469324104198</v>
      </c>
      <c r="L228">
        <v>34368</v>
      </c>
      <c r="M228">
        <v>2.7267772092584099</v>
      </c>
      <c r="N228">
        <v>54.227037360335203</v>
      </c>
      <c r="O228">
        <v>1863674.82</v>
      </c>
      <c r="P228">
        <v>2.7346857207368802</v>
      </c>
      <c r="Q228">
        <v>19850</v>
      </c>
      <c r="R228">
        <v>1.57491060299638</v>
      </c>
      <c r="S228">
        <v>54.183428715365203</v>
      </c>
      <c r="T228">
        <v>1075541.06</v>
      </c>
      <c r="U228">
        <v>1.5782081440839599</v>
      </c>
      <c r="V228">
        <v>627</v>
      </c>
      <c r="W228">
        <v>5.8077065579844396</v>
      </c>
    </row>
    <row r="229" spans="1:23" hidden="1" x14ac:dyDescent="0.25">
      <c r="A229" t="s">
        <v>87</v>
      </c>
      <c r="B229">
        <v>8</v>
      </c>
      <c r="C229">
        <v>2025</v>
      </c>
      <c r="D229" t="s">
        <v>106</v>
      </c>
      <c r="E229" t="s">
        <v>107</v>
      </c>
      <c r="F229">
        <v>18886</v>
      </c>
      <c r="G229">
        <v>1032728.29</v>
      </c>
      <c r="H229">
        <v>80874</v>
      </c>
      <c r="I229">
        <v>3.2082952167941801</v>
      </c>
      <c r="J229">
        <v>4376971.41</v>
      </c>
      <c r="K229">
        <v>3.2113008896585802</v>
      </c>
      <c r="L229">
        <v>49880</v>
      </c>
      <c r="M229">
        <v>3.9575083565470699</v>
      </c>
      <c r="N229">
        <v>54.2271421411387</v>
      </c>
      <c r="O229">
        <v>2704849.85</v>
      </c>
      <c r="P229">
        <v>3.9689940445363199</v>
      </c>
      <c r="Q229">
        <v>30994</v>
      </c>
      <c r="R229">
        <v>2.4590820770412898</v>
      </c>
      <c r="S229">
        <v>53.949847067174296</v>
      </c>
      <c r="T229">
        <v>1672121.56</v>
      </c>
      <c r="U229">
        <v>2.45360773478084</v>
      </c>
      <c r="V229">
        <v>390</v>
      </c>
      <c r="W229">
        <v>3.6124490552056301</v>
      </c>
    </row>
    <row r="230" spans="1:23" hidden="1" x14ac:dyDescent="0.25">
      <c r="A230" t="s">
        <v>87</v>
      </c>
      <c r="B230">
        <v>8</v>
      </c>
      <c r="C230">
        <v>2025</v>
      </c>
      <c r="D230" t="s">
        <v>108</v>
      </c>
      <c r="E230" t="s">
        <v>109</v>
      </c>
      <c r="F230">
        <v>660</v>
      </c>
      <c r="G230">
        <v>36241.9</v>
      </c>
      <c r="H230">
        <v>1180</v>
      </c>
      <c r="I230">
        <v>4.6810944874955303E-2</v>
      </c>
      <c r="J230">
        <v>63521.1</v>
      </c>
      <c r="K230">
        <v>4.6604226035392701E-2</v>
      </c>
      <c r="L230">
        <v>920</v>
      </c>
      <c r="M230">
        <v>7.2993337771116704E-2</v>
      </c>
      <c r="N230">
        <v>54.219021739130397</v>
      </c>
      <c r="O230">
        <v>49881.5</v>
      </c>
      <c r="P230">
        <v>7.3194220534104099E-2</v>
      </c>
      <c r="Q230">
        <v>260</v>
      </c>
      <c r="R230">
        <v>2.0628551978793801E-2</v>
      </c>
      <c r="S230">
        <v>52.46</v>
      </c>
      <c r="T230">
        <v>13639.6</v>
      </c>
      <c r="U230">
        <v>2.00142315366813E-2</v>
      </c>
      <c r="V230">
        <v>5</v>
      </c>
      <c r="W230">
        <v>4.63134494257132E-2</v>
      </c>
    </row>
    <row r="231" spans="1:23" hidden="1" x14ac:dyDescent="0.25">
      <c r="A231" t="s">
        <v>87</v>
      </c>
      <c r="B231">
        <v>8</v>
      </c>
      <c r="C231">
        <v>2025</v>
      </c>
      <c r="D231" t="s">
        <v>110</v>
      </c>
      <c r="E231" t="s">
        <v>111</v>
      </c>
      <c r="F231">
        <v>-13335</v>
      </c>
      <c r="G231">
        <v>-719793.83</v>
      </c>
      <c r="H231">
        <v>28575</v>
      </c>
      <c r="I231">
        <v>1.13357860152699</v>
      </c>
      <c r="J231">
        <v>1539641.57</v>
      </c>
      <c r="K231">
        <v>1.12960581195488</v>
      </c>
      <c r="L231">
        <v>7620</v>
      </c>
      <c r="M231">
        <v>0.60457525414772695</v>
      </c>
      <c r="N231">
        <v>53.795783464566902</v>
      </c>
      <c r="O231">
        <v>409923.87</v>
      </c>
      <c r="P231">
        <v>0.60150673381861897</v>
      </c>
      <c r="Q231">
        <v>20955</v>
      </c>
      <c r="R231">
        <v>1.6625819489062501</v>
      </c>
      <c r="S231">
        <v>53.911605821999501</v>
      </c>
      <c r="T231">
        <v>1129717.7</v>
      </c>
      <c r="U231">
        <v>1.65770489009113</v>
      </c>
      <c r="V231">
        <v>131</v>
      </c>
      <c r="W231">
        <v>1.21341237495369</v>
      </c>
    </row>
    <row r="232" spans="1:23" hidden="1" x14ac:dyDescent="0.25">
      <c r="A232" t="s">
        <v>87</v>
      </c>
      <c r="B232">
        <v>8</v>
      </c>
      <c r="C232">
        <v>2025</v>
      </c>
      <c r="D232" t="s">
        <v>112</v>
      </c>
      <c r="E232" t="s">
        <v>113</v>
      </c>
      <c r="F232">
        <v>-5349</v>
      </c>
      <c r="G232">
        <v>-294865.56</v>
      </c>
      <c r="H232">
        <v>6051</v>
      </c>
      <c r="I232">
        <v>0.24004493850708</v>
      </c>
      <c r="J232">
        <v>332625.44</v>
      </c>
      <c r="K232">
        <v>0.24404097521740001</v>
      </c>
      <c r="L232">
        <v>351</v>
      </c>
      <c r="M232">
        <v>2.78485451713717E-2</v>
      </c>
      <c r="N232">
        <v>53.789002849002799</v>
      </c>
      <c r="O232">
        <v>18879.939999999999</v>
      </c>
      <c r="P232">
        <v>2.7703707627690699E-2</v>
      </c>
      <c r="Q232">
        <v>5700</v>
      </c>
      <c r="R232">
        <v>0.45224133184278797</v>
      </c>
      <c r="S232">
        <v>55.043070175438601</v>
      </c>
      <c r="T232">
        <v>313745.5</v>
      </c>
      <c r="U232">
        <v>0.46037824280710798</v>
      </c>
      <c r="V232">
        <v>8</v>
      </c>
      <c r="W232">
        <v>7.4101519081141196E-2</v>
      </c>
    </row>
    <row r="233" spans="1:23" hidden="1" x14ac:dyDescent="0.25">
      <c r="A233" t="s">
        <v>87</v>
      </c>
      <c r="B233">
        <v>8</v>
      </c>
      <c r="C233">
        <v>2025</v>
      </c>
      <c r="D233" t="s">
        <v>167</v>
      </c>
      <c r="E233" t="s">
        <v>168</v>
      </c>
      <c r="F233">
        <v>1000</v>
      </c>
      <c r="G233">
        <v>53403</v>
      </c>
      <c r="H233">
        <v>1000</v>
      </c>
      <c r="I233">
        <v>3.9670292266911197E-2</v>
      </c>
      <c r="J233">
        <v>53403</v>
      </c>
      <c r="K233">
        <v>3.9180768012016101E-2</v>
      </c>
      <c r="L233">
        <v>1000</v>
      </c>
      <c r="M233">
        <v>7.9340584533822506E-2</v>
      </c>
      <c r="N233">
        <v>53.402999999999999</v>
      </c>
      <c r="O233">
        <v>53403</v>
      </c>
      <c r="P233">
        <v>7.8361536024032202E-2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2</v>
      </c>
      <c r="W233">
        <v>1.8525379770285299E-2</v>
      </c>
    </row>
    <row r="234" spans="1:23" hidden="1" x14ac:dyDescent="0.25">
      <c r="A234" t="s">
        <v>87</v>
      </c>
      <c r="B234">
        <v>8</v>
      </c>
      <c r="C234">
        <v>2025</v>
      </c>
      <c r="D234" t="s">
        <v>116</v>
      </c>
      <c r="E234" t="s">
        <v>117</v>
      </c>
      <c r="F234">
        <v>65822</v>
      </c>
      <c r="G234">
        <v>3562681.7</v>
      </c>
      <c r="H234">
        <v>66124</v>
      </c>
      <c r="I234">
        <v>2.6231584058572399</v>
      </c>
      <c r="J234">
        <v>3578979.52</v>
      </c>
      <c r="K234">
        <v>2.6258293783659501</v>
      </c>
      <c r="L234">
        <v>65973</v>
      </c>
      <c r="M234">
        <v>5.23433638344987</v>
      </c>
      <c r="N234">
        <v>54.125636396707797</v>
      </c>
      <c r="O234">
        <v>3570830.61</v>
      </c>
      <c r="P234">
        <v>5.2397013553776404</v>
      </c>
      <c r="Q234">
        <v>151</v>
      </c>
      <c r="R234">
        <v>1.19804282646072E-2</v>
      </c>
      <c r="S234">
        <v>53.9662913907285</v>
      </c>
      <c r="T234">
        <v>8148.91</v>
      </c>
      <c r="U234">
        <v>1.19574013542609E-2</v>
      </c>
      <c r="V234">
        <v>177</v>
      </c>
      <c r="W234">
        <v>1.6394961096702501</v>
      </c>
    </row>
    <row r="235" spans="1:23" hidden="1" x14ac:dyDescent="0.25">
      <c r="A235" t="s">
        <v>87</v>
      </c>
      <c r="B235">
        <v>8</v>
      </c>
      <c r="C235">
        <v>2025</v>
      </c>
      <c r="D235" t="s">
        <v>118</v>
      </c>
      <c r="E235" t="s">
        <v>119</v>
      </c>
      <c r="F235">
        <v>13616</v>
      </c>
      <c r="G235">
        <v>722648.46</v>
      </c>
      <c r="H235">
        <v>21744</v>
      </c>
      <c r="I235">
        <v>0.86259083505171796</v>
      </c>
      <c r="J235">
        <v>1161083</v>
      </c>
      <c r="K235">
        <v>0.85186457063640098</v>
      </c>
      <c r="L235">
        <v>17680</v>
      </c>
      <c r="M235">
        <v>1.4027415345579799</v>
      </c>
      <c r="N235">
        <v>53.272948529411799</v>
      </c>
      <c r="O235">
        <v>941865.73</v>
      </c>
      <c r="P235">
        <v>1.3820580366495601</v>
      </c>
      <c r="Q235">
        <v>4064</v>
      </c>
      <c r="R235">
        <v>0.32244013554545498</v>
      </c>
      <c r="S235">
        <v>53.941257381889798</v>
      </c>
      <c r="T235">
        <v>219217.27</v>
      </c>
      <c r="U235">
        <v>0.321671104623242</v>
      </c>
      <c r="V235">
        <v>88</v>
      </c>
      <c r="W235">
        <v>0.81511670989255303</v>
      </c>
    </row>
    <row r="236" spans="1:23" hidden="1" x14ac:dyDescent="0.25">
      <c r="A236" t="s">
        <v>87</v>
      </c>
      <c r="B236">
        <v>8</v>
      </c>
      <c r="C236">
        <v>2025</v>
      </c>
      <c r="D236" t="s">
        <v>120</v>
      </c>
      <c r="E236" t="s">
        <v>121</v>
      </c>
      <c r="F236">
        <v>838</v>
      </c>
      <c r="G236">
        <v>46118.44</v>
      </c>
      <c r="H236">
        <v>1420</v>
      </c>
      <c r="I236">
        <v>5.6331815019013999E-2</v>
      </c>
      <c r="J236">
        <v>77953.84</v>
      </c>
      <c r="K236">
        <v>5.7193253575376302E-2</v>
      </c>
      <c r="L236">
        <v>1129</v>
      </c>
      <c r="M236">
        <v>8.9575519938685594E-2</v>
      </c>
      <c r="N236">
        <v>54.947865367581898</v>
      </c>
      <c r="O236">
        <v>62036.14</v>
      </c>
      <c r="P236">
        <v>9.1029478108007197E-2</v>
      </c>
      <c r="Q236">
        <v>291</v>
      </c>
      <c r="R236">
        <v>2.30881100993423E-2</v>
      </c>
      <c r="S236">
        <v>54.7</v>
      </c>
      <c r="T236">
        <v>15917.7</v>
      </c>
      <c r="U236">
        <v>2.3357029042745499E-2</v>
      </c>
      <c r="V236">
        <v>10</v>
      </c>
      <c r="W236">
        <v>9.2626898851426498E-2</v>
      </c>
    </row>
    <row r="237" spans="1:23" hidden="1" x14ac:dyDescent="0.25">
      <c r="A237" t="s">
        <v>87</v>
      </c>
      <c r="B237">
        <v>8</v>
      </c>
      <c r="C237">
        <v>2025</v>
      </c>
      <c r="D237" t="s">
        <v>122</v>
      </c>
      <c r="E237" t="s">
        <v>123</v>
      </c>
      <c r="F237">
        <v>-8271</v>
      </c>
      <c r="G237">
        <v>-454307.17</v>
      </c>
      <c r="H237">
        <v>25729</v>
      </c>
      <c r="I237">
        <v>1.0206769497353601</v>
      </c>
      <c r="J237">
        <v>1401256.53</v>
      </c>
      <c r="K237">
        <v>1.02807533335679</v>
      </c>
      <c r="L237">
        <v>8729</v>
      </c>
      <c r="M237">
        <v>0.69256396239573703</v>
      </c>
      <c r="N237">
        <v>54.241571772253401</v>
      </c>
      <c r="O237">
        <v>473474.68</v>
      </c>
      <c r="P237">
        <v>0.69475878121616996</v>
      </c>
      <c r="Q237">
        <v>17000</v>
      </c>
      <c r="R237">
        <v>1.3487899370749801</v>
      </c>
      <c r="S237">
        <v>54.575402941176499</v>
      </c>
      <c r="T237">
        <v>927781.85</v>
      </c>
      <c r="U237">
        <v>1.3613918854974101</v>
      </c>
      <c r="V237">
        <v>126</v>
      </c>
      <c r="W237">
        <v>1.16709892552797</v>
      </c>
    </row>
    <row r="238" spans="1:23" hidden="1" x14ac:dyDescent="0.25">
      <c r="A238" t="s">
        <v>87</v>
      </c>
      <c r="B238">
        <v>8</v>
      </c>
      <c r="C238">
        <v>2025</v>
      </c>
      <c r="D238" t="s">
        <v>124</v>
      </c>
      <c r="E238" t="s">
        <v>125</v>
      </c>
      <c r="F238">
        <v>6365</v>
      </c>
      <c r="G238">
        <v>346854.78</v>
      </c>
      <c r="H238">
        <v>9165</v>
      </c>
      <c r="I238">
        <v>0.36357822862624201</v>
      </c>
      <c r="J238">
        <v>502184.78</v>
      </c>
      <c r="K238">
        <v>0.36844344632970699</v>
      </c>
      <c r="L238">
        <v>7765</v>
      </c>
      <c r="M238">
        <v>0.61607963890513195</v>
      </c>
      <c r="N238">
        <v>54.670931101094702</v>
      </c>
      <c r="O238">
        <v>424519.78</v>
      </c>
      <c r="P238">
        <v>0.62292421836571399</v>
      </c>
      <c r="Q238">
        <v>1400</v>
      </c>
      <c r="R238">
        <v>0.111076818347351</v>
      </c>
      <c r="S238">
        <v>55.475000000000001</v>
      </c>
      <c r="T238">
        <v>77665</v>
      </c>
      <c r="U238">
        <v>0.11396267429369999</v>
      </c>
      <c r="V238">
        <v>23</v>
      </c>
      <c r="W238">
        <v>0.21304186735828101</v>
      </c>
    </row>
    <row r="239" spans="1:23" hidden="1" x14ac:dyDescent="0.25">
      <c r="A239" t="s">
        <v>87</v>
      </c>
      <c r="B239">
        <v>8</v>
      </c>
      <c r="C239">
        <v>2025</v>
      </c>
      <c r="D239" t="s">
        <v>126</v>
      </c>
      <c r="E239" t="s">
        <v>127</v>
      </c>
      <c r="F239">
        <v>4035</v>
      </c>
      <c r="G239">
        <v>218279.5</v>
      </c>
      <c r="H239">
        <v>5767</v>
      </c>
      <c r="I239">
        <v>0.22877857550327699</v>
      </c>
      <c r="J239">
        <v>312000.96000000002</v>
      </c>
      <c r="K239">
        <v>0.228909185500558</v>
      </c>
      <c r="L239">
        <v>4901</v>
      </c>
      <c r="M239">
        <v>0.388848204800264</v>
      </c>
      <c r="N239">
        <v>54.099210365231599</v>
      </c>
      <c r="O239">
        <v>265140.23</v>
      </c>
      <c r="P239">
        <v>0.38905671375325701</v>
      </c>
      <c r="Q239">
        <v>866</v>
      </c>
      <c r="R239">
        <v>6.8708946206290297E-2</v>
      </c>
      <c r="S239">
        <v>54.111697459584299</v>
      </c>
      <c r="T239">
        <v>46860.73</v>
      </c>
      <c r="U239">
        <v>6.8761657247859598E-2</v>
      </c>
      <c r="V239">
        <v>57</v>
      </c>
      <c r="W239">
        <v>0.52797332345313097</v>
      </c>
    </row>
    <row r="240" spans="1:23" hidden="1" x14ac:dyDescent="0.25">
      <c r="A240" t="s">
        <v>87</v>
      </c>
      <c r="B240">
        <v>8</v>
      </c>
      <c r="C240">
        <v>2025</v>
      </c>
      <c r="D240" t="s">
        <v>128</v>
      </c>
      <c r="E240" t="s">
        <v>129</v>
      </c>
      <c r="F240">
        <v>-2785</v>
      </c>
      <c r="G240">
        <v>-150083.65</v>
      </c>
      <c r="H240">
        <v>2785</v>
      </c>
      <c r="I240">
        <v>0.110481763963348</v>
      </c>
      <c r="J240">
        <v>150083.65</v>
      </c>
      <c r="K240">
        <v>0.110113526825209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2785</v>
      </c>
      <c r="R240">
        <v>0.22096352792669599</v>
      </c>
      <c r="S240">
        <v>53.89</v>
      </c>
      <c r="T240">
        <v>150083.65</v>
      </c>
      <c r="U240">
        <v>0.220227053650417</v>
      </c>
      <c r="V240">
        <v>12</v>
      </c>
      <c r="W240">
        <v>0.11115227862171199</v>
      </c>
    </row>
    <row r="241" spans="1:23" hidden="1" x14ac:dyDescent="0.25">
      <c r="A241" t="s">
        <v>87</v>
      </c>
      <c r="B241">
        <v>8</v>
      </c>
      <c r="C241">
        <v>2025</v>
      </c>
      <c r="D241" t="s">
        <v>130</v>
      </c>
      <c r="E241" t="s">
        <v>131</v>
      </c>
      <c r="F241">
        <v>31718</v>
      </c>
      <c r="G241">
        <v>1700237.69</v>
      </c>
      <c r="H241">
        <v>54422</v>
      </c>
      <c r="I241">
        <v>2.15893664574984</v>
      </c>
      <c r="J241">
        <v>2926493.77</v>
      </c>
      <c r="K241">
        <v>2.14711296164973</v>
      </c>
      <c r="L241">
        <v>43070</v>
      </c>
      <c r="M241">
        <v>3.41719897587173</v>
      </c>
      <c r="N241">
        <v>53.711765265846303</v>
      </c>
      <c r="O241">
        <v>2313365.73</v>
      </c>
      <c r="P241">
        <v>3.3945451002407498</v>
      </c>
      <c r="Q241">
        <v>11352</v>
      </c>
      <c r="R241">
        <v>0.90067431562795297</v>
      </c>
      <c r="S241">
        <v>54.010574348132501</v>
      </c>
      <c r="T241">
        <v>613128.04</v>
      </c>
      <c r="U241">
        <v>0.89968082305871</v>
      </c>
      <c r="V241">
        <v>206</v>
      </c>
      <c r="W241">
        <v>1.90811411633939</v>
      </c>
    </row>
    <row r="242" spans="1:23" hidden="1" x14ac:dyDescent="0.25">
      <c r="A242" t="s">
        <v>87</v>
      </c>
      <c r="B242">
        <v>8</v>
      </c>
      <c r="C242">
        <v>2025</v>
      </c>
      <c r="D242" t="s">
        <v>132</v>
      </c>
      <c r="E242" t="s">
        <v>133</v>
      </c>
      <c r="F242">
        <v>5418</v>
      </c>
      <c r="G242">
        <v>294736.27</v>
      </c>
      <c r="H242">
        <v>7510</v>
      </c>
      <c r="I242">
        <v>0.297923894924503</v>
      </c>
      <c r="J242">
        <v>407602.71</v>
      </c>
      <c r="K242">
        <v>0.29905037585115202</v>
      </c>
      <c r="L242">
        <v>6464</v>
      </c>
      <c r="M242">
        <v>0.51285753842662896</v>
      </c>
      <c r="N242">
        <v>54.326963180693099</v>
      </c>
      <c r="O242">
        <v>351169.49</v>
      </c>
      <c r="P242">
        <v>0.51529278582057203</v>
      </c>
      <c r="Q242">
        <v>1046</v>
      </c>
      <c r="R242">
        <v>8.29902514223783E-2</v>
      </c>
      <c r="S242">
        <v>53.951453154875701</v>
      </c>
      <c r="T242">
        <v>56433.22</v>
      </c>
      <c r="U242">
        <v>8.2807965881732004E-2</v>
      </c>
      <c r="V242">
        <v>58</v>
      </c>
      <c r="W242">
        <v>0.53723601333827298</v>
      </c>
    </row>
    <row r="243" spans="1:23" hidden="1" x14ac:dyDescent="0.25">
      <c r="A243" t="s">
        <v>87</v>
      </c>
      <c r="B243">
        <v>8</v>
      </c>
      <c r="C243">
        <v>2025</v>
      </c>
      <c r="D243" t="s">
        <v>134</v>
      </c>
      <c r="E243" t="s">
        <v>135</v>
      </c>
      <c r="F243">
        <v>5055</v>
      </c>
      <c r="G243">
        <v>272012.86</v>
      </c>
      <c r="H243">
        <v>7225</v>
      </c>
      <c r="I243">
        <v>0.286617861628434</v>
      </c>
      <c r="J243">
        <v>388912.42</v>
      </c>
      <c r="K243">
        <v>0.28533766464452898</v>
      </c>
      <c r="L243">
        <v>6140</v>
      </c>
      <c r="M243">
        <v>0.48715118903767002</v>
      </c>
      <c r="N243">
        <v>53.821276872964198</v>
      </c>
      <c r="O243">
        <v>330462.64</v>
      </c>
      <c r="P243">
        <v>0.48490833977411002</v>
      </c>
      <c r="Q243">
        <v>1085</v>
      </c>
      <c r="R243">
        <v>8.6084534219197401E-2</v>
      </c>
      <c r="S243">
        <v>53.870764976958498</v>
      </c>
      <c r="T243">
        <v>58449.78</v>
      </c>
      <c r="U243">
        <v>8.5766989514947795E-2</v>
      </c>
      <c r="V243">
        <v>21</v>
      </c>
      <c r="W243">
        <v>0.194516487587996</v>
      </c>
    </row>
    <row r="244" spans="1:23" hidden="1" x14ac:dyDescent="0.25">
      <c r="A244" t="s">
        <v>87</v>
      </c>
      <c r="B244">
        <v>8</v>
      </c>
      <c r="C244">
        <v>2025</v>
      </c>
      <c r="D244" t="s">
        <v>136</v>
      </c>
      <c r="E244" t="s">
        <v>137</v>
      </c>
      <c r="F244">
        <v>1869</v>
      </c>
      <c r="G244">
        <v>101685.06</v>
      </c>
      <c r="H244">
        <v>3725</v>
      </c>
      <c r="I244">
        <v>0.14777183869424401</v>
      </c>
      <c r="J244">
        <v>200631.06</v>
      </c>
      <c r="K244">
        <v>0.14719920262653599</v>
      </c>
      <c r="L244">
        <v>2797</v>
      </c>
      <c r="M244">
        <v>0.22191561494110201</v>
      </c>
      <c r="N244">
        <v>54.042924562030798</v>
      </c>
      <c r="O244">
        <v>151158.06</v>
      </c>
      <c r="P244">
        <v>0.22180360211997099</v>
      </c>
      <c r="Q244">
        <v>928</v>
      </c>
      <c r="R244">
        <v>7.3628062447387302E-2</v>
      </c>
      <c r="S244">
        <v>53.311422413793103</v>
      </c>
      <c r="T244">
        <v>49473</v>
      </c>
      <c r="U244">
        <v>7.25948031331001E-2</v>
      </c>
      <c r="V244">
        <v>21</v>
      </c>
      <c r="W244">
        <v>0.194516487587996</v>
      </c>
    </row>
    <row r="245" spans="1:23" hidden="1" x14ac:dyDescent="0.25">
      <c r="A245" t="s">
        <v>87</v>
      </c>
      <c r="B245">
        <v>8</v>
      </c>
      <c r="C245">
        <v>2025</v>
      </c>
      <c r="D245" t="s">
        <v>171</v>
      </c>
      <c r="E245" t="s">
        <v>172</v>
      </c>
      <c r="F245">
        <v>2000</v>
      </c>
      <c r="G245">
        <v>109560</v>
      </c>
      <c r="H245">
        <v>2000</v>
      </c>
      <c r="I245">
        <v>7.9340584533822506E-2</v>
      </c>
      <c r="J245">
        <v>109560</v>
      </c>
      <c r="K245">
        <v>8.0382093578946601E-2</v>
      </c>
      <c r="L245">
        <v>2000</v>
      </c>
      <c r="M245">
        <v>0.15868116906764501</v>
      </c>
      <c r="N245">
        <v>54.78</v>
      </c>
      <c r="O245">
        <v>109560</v>
      </c>
      <c r="P245">
        <v>0.16076418715789301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1</v>
      </c>
      <c r="W245">
        <v>9.2626898851426494E-3</v>
      </c>
    </row>
    <row r="246" spans="1:23" hidden="1" x14ac:dyDescent="0.25">
      <c r="A246" t="s">
        <v>87</v>
      </c>
      <c r="B246">
        <v>8</v>
      </c>
      <c r="C246">
        <v>2025</v>
      </c>
      <c r="D246" t="s">
        <v>138</v>
      </c>
      <c r="E246" t="s">
        <v>139</v>
      </c>
      <c r="F246">
        <v>41430</v>
      </c>
      <c r="G246">
        <v>2248710.91</v>
      </c>
      <c r="H246">
        <v>41430</v>
      </c>
      <c r="I246">
        <v>1.6435402086181301</v>
      </c>
      <c r="J246">
        <v>2248710.91</v>
      </c>
      <c r="K246">
        <v>1.6498365352283499</v>
      </c>
      <c r="L246">
        <v>41430</v>
      </c>
      <c r="M246">
        <v>3.28708041723627</v>
      </c>
      <c r="N246">
        <v>54.277357229061103</v>
      </c>
      <c r="O246">
        <v>2248710.91</v>
      </c>
      <c r="P246">
        <v>3.2996730704566999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105</v>
      </c>
      <c r="W246">
        <v>0.97258243793997801</v>
      </c>
    </row>
    <row r="247" spans="1:23" hidden="1" x14ac:dyDescent="0.25">
      <c r="A247" t="s">
        <v>87</v>
      </c>
      <c r="B247">
        <v>8</v>
      </c>
      <c r="C247">
        <v>2025</v>
      </c>
      <c r="D247" t="s">
        <v>140</v>
      </c>
      <c r="E247" t="s">
        <v>141</v>
      </c>
      <c r="F247">
        <v>495</v>
      </c>
      <c r="G247">
        <v>26695.35</v>
      </c>
      <c r="H247">
        <v>495</v>
      </c>
      <c r="I247">
        <v>1.9636794672121101E-2</v>
      </c>
      <c r="J247">
        <v>26695.35</v>
      </c>
      <c r="K247">
        <v>1.95858718676774E-2</v>
      </c>
      <c r="L247">
        <v>495</v>
      </c>
      <c r="M247">
        <v>3.9273589344242098E-2</v>
      </c>
      <c r="N247">
        <v>53.93</v>
      </c>
      <c r="O247">
        <v>26695.35</v>
      </c>
      <c r="P247">
        <v>3.9171743735354703E-2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1</v>
      </c>
      <c r="W247">
        <v>9.2626898851426494E-3</v>
      </c>
    </row>
    <row r="248" spans="1:23" hidden="1" x14ac:dyDescent="0.25">
      <c r="A248" t="s">
        <v>87</v>
      </c>
      <c r="B248">
        <v>8</v>
      </c>
      <c r="C248">
        <v>2025</v>
      </c>
      <c r="D248" t="s">
        <v>142</v>
      </c>
      <c r="E248" t="s">
        <v>143</v>
      </c>
      <c r="F248">
        <v>28078</v>
      </c>
      <c r="G248">
        <v>1510081.77</v>
      </c>
      <c r="H248">
        <v>73336</v>
      </c>
      <c r="I248">
        <v>2.9092605536862002</v>
      </c>
      <c r="J248">
        <v>3961677.69</v>
      </c>
      <c r="K248">
        <v>2.90660776567365</v>
      </c>
      <c r="L248">
        <v>50707</v>
      </c>
      <c r="M248">
        <v>4.0231230199565404</v>
      </c>
      <c r="N248">
        <v>53.954675488591299</v>
      </c>
      <c r="O248">
        <v>2735879.73</v>
      </c>
      <c r="P248">
        <v>4.01452611313624</v>
      </c>
      <c r="Q248">
        <v>22629</v>
      </c>
      <c r="R248">
        <v>1.7953980874158699</v>
      </c>
      <c r="S248">
        <v>54.169338459498903</v>
      </c>
      <c r="T248">
        <v>1225797.96</v>
      </c>
      <c r="U248">
        <v>1.79868941821106</v>
      </c>
      <c r="V248">
        <v>724</v>
      </c>
      <c r="W248">
        <v>6.7061874768432803</v>
      </c>
    </row>
    <row r="249" spans="1:23" hidden="1" x14ac:dyDescent="0.25">
      <c r="A249" t="s">
        <v>87</v>
      </c>
      <c r="B249">
        <v>8</v>
      </c>
      <c r="C249">
        <v>2025</v>
      </c>
      <c r="D249" t="s">
        <v>144</v>
      </c>
      <c r="E249" t="s">
        <v>145</v>
      </c>
      <c r="F249">
        <v>-140887</v>
      </c>
      <c r="G249">
        <v>-7623523.4100000001</v>
      </c>
      <c r="H249">
        <v>223927</v>
      </c>
      <c r="I249">
        <v>8.8832495364526292</v>
      </c>
      <c r="J249">
        <v>12124934.73</v>
      </c>
      <c r="K249">
        <v>8.8958345938798793</v>
      </c>
      <c r="L249">
        <v>41520</v>
      </c>
      <c r="M249">
        <v>3.2942210698443102</v>
      </c>
      <c r="N249">
        <v>54.207747109826599</v>
      </c>
      <c r="O249">
        <v>2250705.66</v>
      </c>
      <c r="P249">
        <v>3.3026000909234199</v>
      </c>
      <c r="Q249">
        <v>182407</v>
      </c>
      <c r="R249">
        <v>14.472278003061</v>
      </c>
      <c r="S249">
        <v>54.132950325371297</v>
      </c>
      <c r="T249">
        <v>9874229.0700000003</v>
      </c>
      <c r="U249">
        <v>14.4890690968363</v>
      </c>
      <c r="V249">
        <v>505</v>
      </c>
      <c r="W249">
        <v>4.6776583919970403</v>
      </c>
    </row>
    <row r="250" spans="1:23" hidden="1" x14ac:dyDescent="0.25">
      <c r="A250" t="s">
        <v>87</v>
      </c>
      <c r="B250">
        <v>8</v>
      </c>
      <c r="C250">
        <v>2025</v>
      </c>
      <c r="D250" t="s">
        <v>146</v>
      </c>
      <c r="E250" t="s">
        <v>147</v>
      </c>
      <c r="F250">
        <v>18326</v>
      </c>
      <c r="G250">
        <v>990459.76</v>
      </c>
      <c r="H250">
        <v>25410</v>
      </c>
      <c r="I250">
        <v>1.00802212650221</v>
      </c>
      <c r="J250">
        <v>1374383.82</v>
      </c>
      <c r="K250">
        <v>1.00835933582174</v>
      </c>
      <c r="L250">
        <v>21868</v>
      </c>
      <c r="M250">
        <v>1.7350199025856301</v>
      </c>
      <c r="N250">
        <v>54.070870221328001</v>
      </c>
      <c r="O250">
        <v>1182421.79</v>
      </c>
      <c r="P250">
        <v>1.7350408720986801</v>
      </c>
      <c r="Q250">
        <v>3542</v>
      </c>
      <c r="R250">
        <v>0.28102435041879897</v>
      </c>
      <c r="S250">
        <v>54.195942970073403</v>
      </c>
      <c r="T250">
        <v>191962.03</v>
      </c>
      <c r="U250">
        <v>0.28167779954480698</v>
      </c>
      <c r="V250">
        <v>102</v>
      </c>
      <c r="W250">
        <v>0.94479436828454999</v>
      </c>
    </row>
    <row r="251" spans="1:23" x14ac:dyDescent="0.25">
      <c r="A251" t="s">
        <v>87</v>
      </c>
      <c r="B251">
        <v>8</v>
      </c>
      <c r="C251">
        <v>2025</v>
      </c>
      <c r="D251" t="s">
        <v>148</v>
      </c>
      <c r="E251" t="s">
        <v>148</v>
      </c>
      <c r="F251">
        <v>0</v>
      </c>
      <c r="G251" s="4">
        <v>1.1423253454267999E-9</v>
      </c>
      <c r="H251">
        <v>2520778</v>
      </c>
      <c r="I251">
        <v>0</v>
      </c>
      <c r="J251">
        <v>136299012.78</v>
      </c>
      <c r="K251">
        <v>0</v>
      </c>
      <c r="L251">
        <v>1260389</v>
      </c>
      <c r="M251">
        <v>100</v>
      </c>
      <c r="N251">
        <v>54.069350384129201</v>
      </c>
      <c r="O251">
        <v>68149506.390000001</v>
      </c>
      <c r="P251">
        <v>100</v>
      </c>
      <c r="Q251">
        <v>1260389</v>
      </c>
      <c r="R251">
        <v>100</v>
      </c>
      <c r="S251">
        <v>53.949847067174296</v>
      </c>
      <c r="T251">
        <v>68149506.390000001</v>
      </c>
      <c r="U251">
        <v>100</v>
      </c>
      <c r="V251">
        <v>10796</v>
      </c>
      <c r="W251">
        <v>100</v>
      </c>
    </row>
    <row r="252" spans="1:23" hidden="1" x14ac:dyDescent="0.25">
      <c r="A252" t="s">
        <v>87</v>
      </c>
      <c r="B252">
        <v>8</v>
      </c>
      <c r="C252">
        <v>2025</v>
      </c>
      <c r="D252" t="s">
        <v>149</v>
      </c>
      <c r="E252" t="s">
        <v>150</v>
      </c>
      <c r="F252">
        <v>66123</v>
      </c>
      <c r="G252">
        <v>3584002.65</v>
      </c>
      <c r="H252">
        <v>211191</v>
      </c>
      <c r="I252">
        <v>8.3780086941412506</v>
      </c>
      <c r="J252">
        <v>11414730.65</v>
      </c>
      <c r="K252">
        <v>8.3747713333951292</v>
      </c>
      <c r="L252">
        <v>138657</v>
      </c>
      <c r="M252">
        <v>11.0011274297062</v>
      </c>
      <c r="N252">
        <v>54.085741433898001</v>
      </c>
      <c r="O252">
        <v>7499366.6500000004</v>
      </c>
      <c r="P252">
        <v>11.0042860869502</v>
      </c>
      <c r="Q252">
        <v>72534</v>
      </c>
      <c r="R252">
        <v>5.7548899585762801</v>
      </c>
      <c r="S252">
        <v>53.979706068878002</v>
      </c>
      <c r="T252">
        <v>3915364</v>
      </c>
      <c r="U252">
        <v>5.7452565798400599</v>
      </c>
      <c r="V252">
        <v>1006</v>
      </c>
      <c r="W252">
        <v>9.3182660244535001</v>
      </c>
    </row>
    <row r="253" spans="1:23" hidden="1" x14ac:dyDescent="0.25">
      <c r="A253" t="s">
        <v>87</v>
      </c>
      <c r="B253">
        <v>8</v>
      </c>
      <c r="C253">
        <v>2025</v>
      </c>
      <c r="D253" t="s">
        <v>151</v>
      </c>
      <c r="E253" t="s">
        <v>152</v>
      </c>
      <c r="F253">
        <v>-9548</v>
      </c>
      <c r="G253">
        <v>-541276.56000000203</v>
      </c>
      <c r="H253">
        <v>592090</v>
      </c>
      <c r="I253">
        <v>23.488383348315502</v>
      </c>
      <c r="J253">
        <v>31946032.98</v>
      </c>
      <c r="K253">
        <v>23.438198361395401</v>
      </c>
      <c r="L253">
        <v>291271</v>
      </c>
      <c r="M253">
        <v>23.109611397750999</v>
      </c>
      <c r="N253">
        <v>53.909857864325701</v>
      </c>
      <c r="O253">
        <v>15702378.210000001</v>
      </c>
      <c r="P253">
        <v>23.041074017674902</v>
      </c>
      <c r="Q253">
        <v>300819</v>
      </c>
      <c r="R253">
        <v>23.86715529888</v>
      </c>
      <c r="S253">
        <v>53.998101084040599</v>
      </c>
      <c r="T253">
        <v>16243654.77</v>
      </c>
      <c r="U253">
        <v>23.8353227051158</v>
      </c>
      <c r="V253">
        <v>2476</v>
      </c>
      <c r="W253">
        <v>22.9344201556132</v>
      </c>
    </row>
    <row r="254" spans="1:23" hidden="1" x14ac:dyDescent="0.25">
      <c r="A254" t="s">
        <v>87</v>
      </c>
      <c r="B254">
        <v>8</v>
      </c>
      <c r="C254">
        <v>2025</v>
      </c>
      <c r="D254" t="s">
        <v>153</v>
      </c>
      <c r="E254" t="s">
        <v>154</v>
      </c>
      <c r="F254">
        <v>778</v>
      </c>
      <c r="G254">
        <v>42254.43</v>
      </c>
      <c r="H254">
        <v>1056</v>
      </c>
      <c r="I254">
        <v>4.1891828633858298E-2</v>
      </c>
      <c r="J254">
        <v>57335.05</v>
      </c>
      <c r="K254">
        <v>4.2065638503592399E-2</v>
      </c>
      <c r="L254">
        <v>917</v>
      </c>
      <c r="M254">
        <v>7.2755316017515198E-2</v>
      </c>
      <c r="N254">
        <v>54.301788440567101</v>
      </c>
      <c r="O254">
        <v>49794.74</v>
      </c>
      <c r="P254">
        <v>7.3066912201886006E-2</v>
      </c>
      <c r="Q254">
        <v>139</v>
      </c>
      <c r="R254">
        <v>1.1028341250201299E-2</v>
      </c>
      <c r="S254">
        <v>54.246834532374102</v>
      </c>
      <c r="T254">
        <v>7540.31</v>
      </c>
      <c r="U254">
        <v>1.10643648052988E-2</v>
      </c>
      <c r="V254">
        <v>59</v>
      </c>
      <c r="W254">
        <v>0.54649870322341598</v>
      </c>
    </row>
    <row r="255" spans="1:23" hidden="1" x14ac:dyDescent="0.25">
      <c r="A255" t="s">
        <v>87</v>
      </c>
      <c r="B255">
        <v>8</v>
      </c>
      <c r="C255">
        <v>2025</v>
      </c>
      <c r="D255" t="s">
        <v>155</v>
      </c>
      <c r="E255" t="s">
        <v>156</v>
      </c>
      <c r="F255">
        <v>502</v>
      </c>
      <c r="G255">
        <v>27626.6</v>
      </c>
      <c r="H255">
        <v>502</v>
      </c>
      <c r="I255">
        <v>1.9914486717989399E-2</v>
      </c>
      <c r="J255">
        <v>27626.6</v>
      </c>
      <c r="K255">
        <v>2.02691123262881E-2</v>
      </c>
      <c r="L255">
        <v>502</v>
      </c>
      <c r="M255">
        <v>3.9828973435978902E-2</v>
      </c>
      <c r="N255">
        <v>55.033067729083697</v>
      </c>
      <c r="O255">
        <v>27626.6</v>
      </c>
      <c r="P255">
        <v>4.0538224652576199E-2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2</v>
      </c>
      <c r="W255">
        <v>1.8525379770285299E-2</v>
      </c>
    </row>
    <row r="256" spans="1:23" hidden="1" x14ac:dyDescent="0.25">
      <c r="A256" t="s">
        <v>87</v>
      </c>
      <c r="B256">
        <v>9</v>
      </c>
      <c r="C256">
        <v>2025</v>
      </c>
      <c r="D256" t="s">
        <v>88</v>
      </c>
      <c r="E256" t="s">
        <v>89</v>
      </c>
      <c r="F256">
        <v>94228</v>
      </c>
      <c r="G256">
        <v>5729394.2000000002</v>
      </c>
      <c r="H256">
        <v>200796</v>
      </c>
      <c r="I256">
        <v>4.3273041521827702</v>
      </c>
      <c r="J256">
        <v>12071623.4</v>
      </c>
      <c r="K256">
        <v>4.3391602417197896</v>
      </c>
      <c r="L256">
        <v>147512</v>
      </c>
      <c r="M256">
        <v>6.3579881082968202</v>
      </c>
      <c r="N256">
        <v>60.337523726883198</v>
      </c>
      <c r="O256">
        <v>8900508.8000000007</v>
      </c>
      <c r="P256">
        <v>6.3985982058798996</v>
      </c>
      <c r="Q256">
        <v>53284</v>
      </c>
      <c r="R256">
        <v>2.29662019606871</v>
      </c>
      <c r="S256">
        <v>59.513448690038302</v>
      </c>
      <c r="T256">
        <v>3171114.6</v>
      </c>
      <c r="U256">
        <v>2.2797222774116301</v>
      </c>
      <c r="V256">
        <v>706</v>
      </c>
      <c r="W256">
        <v>3.1411283146467301</v>
      </c>
    </row>
    <row r="257" spans="1:23" hidden="1" x14ac:dyDescent="0.25">
      <c r="A257" t="s">
        <v>87</v>
      </c>
      <c r="B257">
        <v>9</v>
      </c>
      <c r="C257">
        <v>2025</v>
      </c>
      <c r="D257" t="s">
        <v>90</v>
      </c>
      <c r="E257" t="s">
        <v>91</v>
      </c>
      <c r="F257">
        <v>101400</v>
      </c>
      <c r="G257">
        <v>6111066.0899999999</v>
      </c>
      <c r="H257">
        <v>225854</v>
      </c>
      <c r="I257">
        <v>4.8673228151312102</v>
      </c>
      <c r="J257">
        <v>13580448.83</v>
      </c>
      <c r="K257">
        <v>4.8815094436963697</v>
      </c>
      <c r="L257">
        <v>163627</v>
      </c>
      <c r="M257">
        <v>7.0525687415009202</v>
      </c>
      <c r="N257">
        <v>60.171960984434101</v>
      </c>
      <c r="O257">
        <v>9845757.4600000009</v>
      </c>
      <c r="P257">
        <v>7.0781398496100199</v>
      </c>
      <c r="Q257">
        <v>62227</v>
      </c>
      <c r="R257">
        <v>2.6820768887614999</v>
      </c>
      <c r="S257">
        <v>60.017217124399401</v>
      </c>
      <c r="T257">
        <v>3734691.37</v>
      </c>
      <c r="U257">
        <v>2.6848790376248002</v>
      </c>
      <c r="V257">
        <v>1710</v>
      </c>
      <c r="W257">
        <v>7.6081153230112104</v>
      </c>
    </row>
    <row r="258" spans="1:23" hidden="1" x14ac:dyDescent="0.25">
      <c r="A258" t="s">
        <v>87</v>
      </c>
      <c r="B258">
        <v>9</v>
      </c>
      <c r="C258">
        <v>2025</v>
      </c>
      <c r="D258" t="s">
        <v>92</v>
      </c>
      <c r="E258" t="s">
        <v>93</v>
      </c>
      <c r="F258">
        <v>12789</v>
      </c>
      <c r="G258">
        <v>764300.98</v>
      </c>
      <c r="H258">
        <v>14253</v>
      </c>
      <c r="I258">
        <v>0.307162822372263</v>
      </c>
      <c r="J258">
        <v>850729.22</v>
      </c>
      <c r="K258">
        <v>0.30579569007208202</v>
      </c>
      <c r="L258">
        <v>13521</v>
      </c>
      <c r="M258">
        <v>0.58277534852948498</v>
      </c>
      <c r="N258">
        <v>59.723030840914099</v>
      </c>
      <c r="O258">
        <v>807515.1</v>
      </c>
      <c r="P258">
        <v>0.58052464035324902</v>
      </c>
      <c r="Q258">
        <v>732</v>
      </c>
      <c r="R258">
        <v>3.1550296215041997E-2</v>
      </c>
      <c r="S258">
        <v>59.035683060109299</v>
      </c>
      <c r="T258">
        <v>43214.12</v>
      </c>
      <c r="U258">
        <v>3.1066739771164201E-2</v>
      </c>
      <c r="V258">
        <v>32</v>
      </c>
      <c r="W258">
        <v>0.14237408791599901</v>
      </c>
    </row>
    <row r="259" spans="1:23" hidden="1" x14ac:dyDescent="0.25">
      <c r="A259" t="s">
        <v>87</v>
      </c>
      <c r="B259">
        <v>9</v>
      </c>
      <c r="C259">
        <v>2025</v>
      </c>
      <c r="D259" t="s">
        <v>94</v>
      </c>
      <c r="E259" t="s">
        <v>95</v>
      </c>
      <c r="F259">
        <v>-802976</v>
      </c>
      <c r="G259">
        <v>-48668338.420000002</v>
      </c>
      <c r="H259">
        <v>826282</v>
      </c>
      <c r="I259">
        <v>17.806995804069199</v>
      </c>
      <c r="J259">
        <v>50038782.439999998</v>
      </c>
      <c r="K259">
        <v>17.9865033983511</v>
      </c>
      <c r="L259">
        <v>11653</v>
      </c>
      <c r="M259">
        <v>0.50226175108454196</v>
      </c>
      <c r="N259">
        <v>58.802197717326003</v>
      </c>
      <c r="O259">
        <v>685222.01</v>
      </c>
      <c r="P259">
        <v>0.49260782976984602</v>
      </c>
      <c r="Q259">
        <v>814629</v>
      </c>
      <c r="R259">
        <v>35.111729857053902</v>
      </c>
      <c r="S259">
        <v>60.584094636945203</v>
      </c>
      <c r="T259">
        <v>49353560.43</v>
      </c>
      <c r="U259">
        <v>35.480398968189903</v>
      </c>
      <c r="V259">
        <v>3510</v>
      </c>
      <c r="W259">
        <v>15.616657768286199</v>
      </c>
    </row>
    <row r="260" spans="1:23" hidden="1" x14ac:dyDescent="0.25">
      <c r="A260" t="s">
        <v>87</v>
      </c>
      <c r="B260">
        <v>9</v>
      </c>
      <c r="C260">
        <v>2025</v>
      </c>
      <c r="D260" t="s">
        <v>96</v>
      </c>
      <c r="E260" t="s">
        <v>97</v>
      </c>
      <c r="F260">
        <v>14603</v>
      </c>
      <c r="G260">
        <v>889579.81</v>
      </c>
      <c r="H260">
        <v>23799</v>
      </c>
      <c r="I260">
        <v>0.51288627023345901</v>
      </c>
      <c r="J260">
        <v>1425816.07</v>
      </c>
      <c r="K260">
        <v>0.51251138293041498</v>
      </c>
      <c r="L260">
        <v>19201</v>
      </c>
      <c r="M260">
        <v>0.82759185467899099</v>
      </c>
      <c r="N260">
        <v>60.293627415238802</v>
      </c>
      <c r="O260">
        <v>1157697.94</v>
      </c>
      <c r="P260">
        <v>0.83227196650093205</v>
      </c>
      <c r="Q260">
        <v>4598</v>
      </c>
      <c r="R260">
        <v>0.198180685787928</v>
      </c>
      <c r="S260">
        <v>58.311903001304898</v>
      </c>
      <c r="T260">
        <v>268118.13</v>
      </c>
      <c r="U260">
        <v>0.192750799336911</v>
      </c>
      <c r="V260">
        <v>119</v>
      </c>
      <c r="W260">
        <v>0.52945363943762203</v>
      </c>
    </row>
    <row r="261" spans="1:23" hidden="1" x14ac:dyDescent="0.25">
      <c r="A261" t="s">
        <v>87</v>
      </c>
      <c r="B261">
        <v>9</v>
      </c>
      <c r="C261">
        <v>2025</v>
      </c>
      <c r="D261" t="s">
        <v>100</v>
      </c>
      <c r="E261" t="s">
        <v>101</v>
      </c>
      <c r="F261">
        <v>31475</v>
      </c>
      <c r="G261">
        <v>1877072.42</v>
      </c>
      <c r="H261">
        <v>34603</v>
      </c>
      <c r="I261">
        <v>0.74572056006085896</v>
      </c>
      <c r="J261">
        <v>2065142.46</v>
      </c>
      <c r="K261">
        <v>0.74231805938540196</v>
      </c>
      <c r="L261">
        <v>33039</v>
      </c>
      <c r="M261">
        <v>1.4240303779354799</v>
      </c>
      <c r="N261">
        <v>59.660021187081902</v>
      </c>
      <c r="O261">
        <v>1971107.44</v>
      </c>
      <c r="P261">
        <v>1.4170341058682501</v>
      </c>
      <c r="Q261">
        <v>1564</v>
      </c>
      <c r="R261">
        <v>6.7410742186237299E-2</v>
      </c>
      <c r="S261">
        <v>60.124693094629201</v>
      </c>
      <c r="T261">
        <v>94035.02</v>
      </c>
      <c r="U261">
        <v>6.7602012854044505E-2</v>
      </c>
      <c r="V261">
        <v>68</v>
      </c>
      <c r="W261">
        <v>0.30254493682149802</v>
      </c>
    </row>
    <row r="262" spans="1:23" hidden="1" x14ac:dyDescent="0.25">
      <c r="A262" t="s">
        <v>87</v>
      </c>
      <c r="B262">
        <v>9</v>
      </c>
      <c r="C262">
        <v>2025</v>
      </c>
      <c r="D262" t="s">
        <v>159</v>
      </c>
      <c r="E262" t="s">
        <v>160</v>
      </c>
      <c r="F262">
        <v>-150</v>
      </c>
      <c r="G262">
        <v>-8608.5</v>
      </c>
      <c r="H262">
        <v>150</v>
      </c>
      <c r="I262">
        <v>3.2326123171149599E-3</v>
      </c>
      <c r="J262">
        <v>8608.5</v>
      </c>
      <c r="K262">
        <v>3.0943361719555302E-3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150</v>
      </c>
      <c r="R262">
        <v>6.4652246342299198E-3</v>
      </c>
      <c r="S262">
        <v>57.39</v>
      </c>
      <c r="T262">
        <v>8608.5</v>
      </c>
      <c r="U262">
        <v>6.18867234413351E-3</v>
      </c>
      <c r="V262">
        <v>2</v>
      </c>
      <c r="W262">
        <v>8.8983804947499606E-3</v>
      </c>
    </row>
    <row r="263" spans="1:23" hidden="1" x14ac:dyDescent="0.25">
      <c r="A263" t="s">
        <v>87</v>
      </c>
      <c r="B263">
        <v>9</v>
      </c>
      <c r="C263">
        <v>2025</v>
      </c>
      <c r="D263" t="s">
        <v>102</v>
      </c>
      <c r="E263" t="s">
        <v>103</v>
      </c>
      <c r="F263">
        <v>273295</v>
      </c>
      <c r="G263">
        <v>16480886.119999999</v>
      </c>
      <c r="H263">
        <v>606725</v>
      </c>
      <c r="I263">
        <v>13.0753780540105</v>
      </c>
      <c r="J263">
        <v>36335694.219999999</v>
      </c>
      <c r="K263">
        <v>13.0609110713901</v>
      </c>
      <c r="L263">
        <v>440010</v>
      </c>
      <c r="M263">
        <v>18.96508994205</v>
      </c>
      <c r="N263">
        <v>60.017477261880401</v>
      </c>
      <c r="O263">
        <v>26408290.170000002</v>
      </c>
      <c r="P263">
        <v>18.9849863529282</v>
      </c>
      <c r="Q263">
        <v>166715</v>
      </c>
      <c r="R263">
        <v>7.1856661659709404</v>
      </c>
      <c r="S263">
        <v>59.5471556248688</v>
      </c>
      <c r="T263">
        <v>9927404.0500000007</v>
      </c>
      <c r="U263">
        <v>7.1368357894260397</v>
      </c>
      <c r="V263">
        <v>3661</v>
      </c>
      <c r="W263">
        <v>16.288485495639801</v>
      </c>
    </row>
    <row r="264" spans="1:23" hidden="1" x14ac:dyDescent="0.25">
      <c r="A264" t="s">
        <v>87</v>
      </c>
      <c r="B264">
        <v>9</v>
      </c>
      <c r="C264">
        <v>2025</v>
      </c>
      <c r="D264" t="s">
        <v>161</v>
      </c>
      <c r="E264" t="s">
        <v>162</v>
      </c>
      <c r="F264">
        <v>1874</v>
      </c>
      <c r="G264">
        <v>110075.64</v>
      </c>
      <c r="H264">
        <v>1874</v>
      </c>
      <c r="I264">
        <v>4.0386103215156198E-2</v>
      </c>
      <c r="J264">
        <v>110075.64</v>
      </c>
      <c r="K264">
        <v>3.9566827496446001E-2</v>
      </c>
      <c r="L264">
        <v>1874</v>
      </c>
      <c r="M264">
        <v>8.0772206430312396E-2</v>
      </c>
      <c r="N264">
        <v>58.738335112059801</v>
      </c>
      <c r="O264">
        <v>110075.64</v>
      </c>
      <c r="P264">
        <v>7.91336549900475E-2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7</v>
      </c>
      <c r="W264">
        <v>3.11443317316248E-2</v>
      </c>
    </row>
    <row r="265" spans="1:23" hidden="1" x14ac:dyDescent="0.25">
      <c r="A265" t="s">
        <v>87</v>
      </c>
      <c r="B265">
        <v>9</v>
      </c>
      <c r="C265">
        <v>2025</v>
      </c>
      <c r="D265" t="s">
        <v>104</v>
      </c>
      <c r="E265" t="s">
        <v>105</v>
      </c>
      <c r="F265">
        <v>70263</v>
      </c>
      <c r="G265">
        <v>4262134.2699999996</v>
      </c>
      <c r="H265">
        <v>115343</v>
      </c>
      <c r="I265">
        <v>2.48572801661994</v>
      </c>
      <c r="J265">
        <v>6943694.9100000001</v>
      </c>
      <c r="K265">
        <v>2.4959198846531301</v>
      </c>
      <c r="L265">
        <v>92803</v>
      </c>
      <c r="M265">
        <v>3.9999482782029299</v>
      </c>
      <c r="N265">
        <v>60.374283051194503</v>
      </c>
      <c r="O265">
        <v>5602914.5899999999</v>
      </c>
      <c r="P265">
        <v>4.0279494182705902</v>
      </c>
      <c r="Q265">
        <v>22540</v>
      </c>
      <c r="R265">
        <v>0.97150775503694897</v>
      </c>
      <c r="S265">
        <v>59.484486246672603</v>
      </c>
      <c r="T265">
        <v>1340780.32</v>
      </c>
      <c r="U265">
        <v>0.96389035092553699</v>
      </c>
      <c r="V265">
        <v>1395</v>
      </c>
      <c r="W265">
        <v>6.2066203950880903</v>
      </c>
    </row>
    <row r="266" spans="1:23" hidden="1" x14ac:dyDescent="0.25">
      <c r="A266" t="s">
        <v>87</v>
      </c>
      <c r="B266">
        <v>9</v>
      </c>
      <c r="C266">
        <v>2025</v>
      </c>
      <c r="D266" t="s">
        <v>106</v>
      </c>
      <c r="E266" t="s">
        <v>107</v>
      </c>
      <c r="F266">
        <v>41755</v>
      </c>
      <c r="G266">
        <v>2490293.48</v>
      </c>
      <c r="H266">
        <v>119615</v>
      </c>
      <c r="I266">
        <v>2.5777928154113701</v>
      </c>
      <c r="J266">
        <v>7231900.3399999999</v>
      </c>
      <c r="K266">
        <v>2.5995156896137002</v>
      </c>
      <c r="L266">
        <v>80685</v>
      </c>
      <c r="M266">
        <v>3.4776443307522702</v>
      </c>
      <c r="N266">
        <v>60.2478392514098</v>
      </c>
      <c r="O266">
        <v>4861096.91</v>
      </c>
      <c r="P266">
        <v>3.4946548187148898</v>
      </c>
      <c r="Q266">
        <v>38930</v>
      </c>
      <c r="R266">
        <v>1.6779413000704699</v>
      </c>
      <c r="S266">
        <v>60.899137683020797</v>
      </c>
      <c r="T266">
        <v>2370803.4300000002</v>
      </c>
      <c r="U266">
        <v>1.70437656044815</v>
      </c>
      <c r="V266">
        <v>602</v>
      </c>
      <c r="W266">
        <v>2.6784125289197398</v>
      </c>
    </row>
    <row r="267" spans="1:23" hidden="1" x14ac:dyDescent="0.25">
      <c r="A267" t="s">
        <v>87</v>
      </c>
      <c r="B267">
        <v>9</v>
      </c>
      <c r="C267">
        <v>2025</v>
      </c>
      <c r="D267" t="s">
        <v>173</v>
      </c>
      <c r="E267" t="s">
        <v>174</v>
      </c>
      <c r="F267">
        <v>10000</v>
      </c>
      <c r="G267">
        <v>579501.69999999995</v>
      </c>
      <c r="H267">
        <v>10000</v>
      </c>
      <c r="I267">
        <v>0.21550748780766399</v>
      </c>
      <c r="J267">
        <v>579501.69999999995</v>
      </c>
      <c r="K267">
        <v>0.208302616253671</v>
      </c>
      <c r="L267">
        <v>10000</v>
      </c>
      <c r="M267">
        <v>0.43101497561532798</v>
      </c>
      <c r="N267">
        <v>57.95017</v>
      </c>
      <c r="O267">
        <v>579501.69999999995</v>
      </c>
      <c r="P267">
        <v>0.41660523249236597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22</v>
      </c>
      <c r="W267">
        <v>9.7882185442249497E-2</v>
      </c>
    </row>
    <row r="268" spans="1:23" hidden="1" x14ac:dyDescent="0.25">
      <c r="A268" t="s">
        <v>87</v>
      </c>
      <c r="B268">
        <v>9</v>
      </c>
      <c r="C268">
        <v>2025</v>
      </c>
      <c r="D268" t="s">
        <v>108</v>
      </c>
      <c r="E268" t="s">
        <v>109</v>
      </c>
      <c r="F268">
        <v>-2658</v>
      </c>
      <c r="G268">
        <v>-133306.59</v>
      </c>
      <c r="H268">
        <v>11114</v>
      </c>
      <c r="I268">
        <v>0.239515021949438</v>
      </c>
      <c r="J268">
        <v>673699.07</v>
      </c>
      <c r="K268">
        <v>0.24216197959154301</v>
      </c>
      <c r="L268">
        <v>4228</v>
      </c>
      <c r="M268">
        <v>0.182233131690161</v>
      </c>
      <c r="N268">
        <v>63.9063954588458</v>
      </c>
      <c r="O268">
        <v>270196.24</v>
      </c>
      <c r="P268">
        <v>0.19424475783895601</v>
      </c>
      <c r="Q268">
        <v>6886</v>
      </c>
      <c r="R268">
        <v>0.29679691220871501</v>
      </c>
      <c r="S268">
        <v>58.597564623874497</v>
      </c>
      <c r="T268">
        <v>403502.83</v>
      </c>
      <c r="U268">
        <v>0.29007920134757598</v>
      </c>
      <c r="V268">
        <v>32</v>
      </c>
      <c r="W268">
        <v>0.14237408791599901</v>
      </c>
    </row>
    <row r="269" spans="1:23" hidden="1" x14ac:dyDescent="0.25">
      <c r="A269" t="s">
        <v>87</v>
      </c>
      <c r="B269">
        <v>9</v>
      </c>
      <c r="C269">
        <v>2025</v>
      </c>
      <c r="D269" t="s">
        <v>110</v>
      </c>
      <c r="E269" t="s">
        <v>111</v>
      </c>
      <c r="F269">
        <v>22585</v>
      </c>
      <c r="G269">
        <v>1345094.64</v>
      </c>
      <c r="H269">
        <v>46881</v>
      </c>
      <c r="I269">
        <v>1.01032065359111</v>
      </c>
      <c r="J269">
        <v>2788857.42</v>
      </c>
      <c r="K269">
        <v>1.00245831365889</v>
      </c>
      <c r="L269">
        <v>34733</v>
      </c>
      <c r="M269">
        <v>1.4970443148047199</v>
      </c>
      <c r="N269">
        <v>59.510437624161497</v>
      </c>
      <c r="O269">
        <v>2066976.03</v>
      </c>
      <c r="P269">
        <v>1.48595427681109</v>
      </c>
      <c r="Q269">
        <v>12148</v>
      </c>
      <c r="R269">
        <v>0.52359699237750001</v>
      </c>
      <c r="S269">
        <v>59.423887882779098</v>
      </c>
      <c r="T269">
        <v>721881.39</v>
      </c>
      <c r="U269">
        <v>0.51896235047193595</v>
      </c>
      <c r="V269">
        <v>299</v>
      </c>
      <c r="W269">
        <v>1.3303078839651199</v>
      </c>
    </row>
    <row r="270" spans="1:23" hidden="1" x14ac:dyDescent="0.25">
      <c r="A270" t="s">
        <v>87</v>
      </c>
      <c r="B270">
        <v>9</v>
      </c>
      <c r="C270">
        <v>2025</v>
      </c>
      <c r="D270" t="s">
        <v>112</v>
      </c>
      <c r="E270" t="s">
        <v>113</v>
      </c>
      <c r="F270">
        <v>1467</v>
      </c>
      <c r="G270">
        <v>85110.42</v>
      </c>
      <c r="H270">
        <v>1867</v>
      </c>
      <c r="I270">
        <v>4.0235247973690803E-2</v>
      </c>
      <c r="J270">
        <v>110488.42</v>
      </c>
      <c r="K270">
        <v>3.9715201787560502E-2</v>
      </c>
      <c r="L270">
        <v>1667</v>
      </c>
      <c r="M270">
        <v>7.1850196435075106E-2</v>
      </c>
      <c r="N270">
        <v>58.667918416316702</v>
      </c>
      <c r="O270">
        <v>97799.42</v>
      </c>
      <c r="P270">
        <v>7.0308249495590003E-2</v>
      </c>
      <c r="Q270">
        <v>200</v>
      </c>
      <c r="R270">
        <v>8.6202995123065493E-3</v>
      </c>
      <c r="S270">
        <v>63.445</v>
      </c>
      <c r="T270">
        <v>12689</v>
      </c>
      <c r="U270">
        <v>9.1221540773317195E-3</v>
      </c>
      <c r="V270">
        <v>12</v>
      </c>
      <c r="W270">
        <v>5.3390282968499701E-2</v>
      </c>
    </row>
    <row r="271" spans="1:23" hidden="1" x14ac:dyDescent="0.25">
      <c r="A271" t="s">
        <v>87</v>
      </c>
      <c r="B271">
        <v>9</v>
      </c>
      <c r="C271">
        <v>2025</v>
      </c>
      <c r="D271" t="s">
        <v>167</v>
      </c>
      <c r="E271" t="s">
        <v>168</v>
      </c>
      <c r="F271">
        <v>2144</v>
      </c>
      <c r="G271">
        <v>122228.16</v>
      </c>
      <c r="H271">
        <v>2144</v>
      </c>
      <c r="I271">
        <v>4.6204805385963103E-2</v>
      </c>
      <c r="J271">
        <v>122228.16</v>
      </c>
      <c r="K271">
        <v>4.3935066122967797E-2</v>
      </c>
      <c r="L271">
        <v>2144</v>
      </c>
      <c r="M271">
        <v>9.2409610771926304E-2</v>
      </c>
      <c r="N271">
        <v>57.009402985074601</v>
      </c>
      <c r="O271">
        <v>122228.16</v>
      </c>
      <c r="P271">
        <v>8.7870132242777094E-2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2</v>
      </c>
      <c r="W271">
        <v>8.8983804947499606E-3</v>
      </c>
    </row>
    <row r="272" spans="1:23" hidden="1" x14ac:dyDescent="0.25">
      <c r="A272" t="s">
        <v>87</v>
      </c>
      <c r="B272">
        <v>9</v>
      </c>
      <c r="C272">
        <v>2025</v>
      </c>
      <c r="D272" t="s">
        <v>163</v>
      </c>
      <c r="E272" t="s">
        <v>164</v>
      </c>
      <c r="F272">
        <v>1283</v>
      </c>
      <c r="G272">
        <v>78257.210000000006</v>
      </c>
      <c r="H272">
        <v>1283</v>
      </c>
      <c r="I272">
        <v>2.7649610685723299E-2</v>
      </c>
      <c r="J272">
        <v>78257.210000000006</v>
      </c>
      <c r="K272">
        <v>2.8129652740816601E-2</v>
      </c>
      <c r="L272">
        <v>1283</v>
      </c>
      <c r="M272">
        <v>5.5299221371446501E-2</v>
      </c>
      <c r="N272">
        <v>60.995487139516797</v>
      </c>
      <c r="O272">
        <v>78257.210000000006</v>
      </c>
      <c r="P272">
        <v>5.6259305479610999E-2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7</v>
      </c>
      <c r="W272">
        <v>3.11443317316248E-2</v>
      </c>
    </row>
    <row r="273" spans="1:23" hidden="1" x14ac:dyDescent="0.25">
      <c r="A273" t="s">
        <v>87</v>
      </c>
      <c r="B273">
        <v>9</v>
      </c>
      <c r="C273">
        <v>2025</v>
      </c>
      <c r="D273" t="s">
        <v>116</v>
      </c>
      <c r="E273" t="s">
        <v>117</v>
      </c>
      <c r="F273">
        <v>150114</v>
      </c>
      <c r="G273">
        <v>8762203.8000000007</v>
      </c>
      <c r="H273">
        <v>156752</v>
      </c>
      <c r="I273">
        <v>3.3781229728826898</v>
      </c>
      <c r="J273">
        <v>9148301.2799999993</v>
      </c>
      <c r="K273">
        <v>3.2883684222165401</v>
      </c>
      <c r="L273">
        <v>153433</v>
      </c>
      <c r="M273">
        <v>6.6131920753586604</v>
      </c>
      <c r="N273">
        <v>58.365883089035599</v>
      </c>
      <c r="O273">
        <v>8955252.5399999991</v>
      </c>
      <c r="P273">
        <v>6.4379536185218296</v>
      </c>
      <c r="Q273">
        <v>3319</v>
      </c>
      <c r="R273">
        <v>0.14305387040672701</v>
      </c>
      <c r="S273">
        <v>58.164730340463997</v>
      </c>
      <c r="T273">
        <v>193048.74</v>
      </c>
      <c r="U273">
        <v>0.13878322568482601</v>
      </c>
      <c r="V273">
        <v>607</v>
      </c>
      <c r="W273">
        <v>2.7006584801566098</v>
      </c>
    </row>
    <row r="274" spans="1:23" hidden="1" x14ac:dyDescent="0.25">
      <c r="A274" t="s">
        <v>87</v>
      </c>
      <c r="B274">
        <v>9</v>
      </c>
      <c r="C274">
        <v>2025</v>
      </c>
      <c r="D274" t="s">
        <v>118</v>
      </c>
      <c r="E274" t="s">
        <v>119</v>
      </c>
      <c r="F274">
        <v>15636</v>
      </c>
      <c r="G274">
        <v>932201.2</v>
      </c>
      <c r="H274">
        <v>19672</v>
      </c>
      <c r="I274">
        <v>0.42394633001523602</v>
      </c>
      <c r="J274">
        <v>1165085.06</v>
      </c>
      <c r="K274">
        <v>0.41879129285740602</v>
      </c>
      <c r="L274">
        <v>17654</v>
      </c>
      <c r="M274">
        <v>0.76091383795129997</v>
      </c>
      <c r="N274">
        <v>59.399746799592201</v>
      </c>
      <c r="O274">
        <v>1048643.1299999999</v>
      </c>
      <c r="P274">
        <v>0.75387218877040896</v>
      </c>
      <c r="Q274">
        <v>2018</v>
      </c>
      <c r="R274">
        <v>8.6978822079173096E-2</v>
      </c>
      <c r="S274">
        <v>57.701650148661997</v>
      </c>
      <c r="T274">
        <v>116441.93</v>
      </c>
      <c r="U274">
        <v>8.37103969203149E-2</v>
      </c>
      <c r="V274">
        <v>99</v>
      </c>
      <c r="W274">
        <v>0.440469834490123</v>
      </c>
    </row>
    <row r="275" spans="1:23" hidden="1" x14ac:dyDescent="0.25">
      <c r="A275" t="s">
        <v>87</v>
      </c>
      <c r="B275">
        <v>9</v>
      </c>
      <c r="C275">
        <v>2025</v>
      </c>
      <c r="D275" t="s">
        <v>120</v>
      </c>
      <c r="E275" t="s">
        <v>121</v>
      </c>
      <c r="F275">
        <v>3547</v>
      </c>
      <c r="G275">
        <v>205818.57</v>
      </c>
      <c r="H275">
        <v>6015</v>
      </c>
      <c r="I275">
        <v>0.12962775391631001</v>
      </c>
      <c r="J275">
        <v>351918.49</v>
      </c>
      <c r="K275">
        <v>0.126497544657835</v>
      </c>
      <c r="L275">
        <v>4781</v>
      </c>
      <c r="M275">
        <v>0.206068259841688</v>
      </c>
      <c r="N275">
        <v>58.328494038903997</v>
      </c>
      <c r="O275">
        <v>278868.53000000003</v>
      </c>
      <c r="P275">
        <v>0.20047928897439701</v>
      </c>
      <c r="Q275">
        <v>1234</v>
      </c>
      <c r="R275">
        <v>5.3187247990931399E-2</v>
      </c>
      <c r="S275">
        <v>59.197698541328997</v>
      </c>
      <c r="T275">
        <v>73049.960000000006</v>
      </c>
      <c r="U275">
        <v>5.2515800335953898E-2</v>
      </c>
      <c r="V275">
        <v>24</v>
      </c>
      <c r="W275">
        <v>0.106780565936999</v>
      </c>
    </row>
    <row r="276" spans="1:23" hidden="1" x14ac:dyDescent="0.25">
      <c r="A276" t="s">
        <v>87</v>
      </c>
      <c r="B276">
        <v>9</v>
      </c>
      <c r="C276">
        <v>2025</v>
      </c>
      <c r="D276" t="s">
        <v>122</v>
      </c>
      <c r="E276" t="s">
        <v>123</v>
      </c>
      <c r="F276">
        <v>-77198</v>
      </c>
      <c r="G276">
        <v>-4903414.4400000004</v>
      </c>
      <c r="H276">
        <v>100060</v>
      </c>
      <c r="I276">
        <v>2.1563679230034798</v>
      </c>
      <c r="J276">
        <v>6223842</v>
      </c>
      <c r="K276">
        <v>2.2371678491184399</v>
      </c>
      <c r="L276">
        <v>11431</v>
      </c>
      <c r="M276">
        <v>0.492693218625881</v>
      </c>
      <c r="N276">
        <v>57.756432508091997</v>
      </c>
      <c r="O276">
        <v>660213.78</v>
      </c>
      <c r="P276">
        <v>0.47462935020132602</v>
      </c>
      <c r="Q276">
        <v>88629</v>
      </c>
      <c r="R276">
        <v>3.8200426273810901</v>
      </c>
      <c r="S276">
        <v>62.774353992485501</v>
      </c>
      <c r="T276">
        <v>5563628.2199999997</v>
      </c>
      <c r="U276">
        <v>3.9997063481622601</v>
      </c>
      <c r="V276">
        <v>495</v>
      </c>
      <c r="W276">
        <v>2.2023491724506101</v>
      </c>
    </row>
    <row r="277" spans="1:23" hidden="1" x14ac:dyDescent="0.25">
      <c r="A277" t="s">
        <v>87</v>
      </c>
      <c r="B277">
        <v>9</v>
      </c>
      <c r="C277">
        <v>2025</v>
      </c>
      <c r="D277" t="s">
        <v>124</v>
      </c>
      <c r="E277" t="s">
        <v>125</v>
      </c>
      <c r="F277">
        <v>2465</v>
      </c>
      <c r="G277">
        <v>154147.04999999999</v>
      </c>
      <c r="H277">
        <v>16449</v>
      </c>
      <c r="I277">
        <v>0.35448826669482603</v>
      </c>
      <c r="J277">
        <v>999185.33</v>
      </c>
      <c r="K277">
        <v>0.359158425870515</v>
      </c>
      <c r="L277">
        <v>9457</v>
      </c>
      <c r="M277">
        <v>0.40761086243941502</v>
      </c>
      <c r="N277">
        <v>60.977708575658198</v>
      </c>
      <c r="O277">
        <v>576666.18999999994</v>
      </c>
      <c r="P277">
        <v>0.414566777207792</v>
      </c>
      <c r="Q277">
        <v>6992</v>
      </c>
      <c r="R277">
        <v>0.30136567095023697</v>
      </c>
      <c r="S277">
        <v>60.428938787185402</v>
      </c>
      <c r="T277">
        <v>422519.14</v>
      </c>
      <c r="U277">
        <v>0.30375007452925301</v>
      </c>
      <c r="V277">
        <v>37</v>
      </c>
      <c r="W277">
        <v>0.16462003915287399</v>
      </c>
    </row>
    <row r="278" spans="1:23" hidden="1" x14ac:dyDescent="0.25">
      <c r="A278" t="s">
        <v>87</v>
      </c>
      <c r="B278">
        <v>9</v>
      </c>
      <c r="C278">
        <v>2025</v>
      </c>
      <c r="D278" t="s">
        <v>126</v>
      </c>
      <c r="E278" t="s">
        <v>127</v>
      </c>
      <c r="F278">
        <v>-1467</v>
      </c>
      <c r="G278">
        <v>-110982.46</v>
      </c>
      <c r="H278">
        <v>8867</v>
      </c>
      <c r="I278">
        <v>0.19109048943905599</v>
      </c>
      <c r="J278">
        <v>554244.43999999994</v>
      </c>
      <c r="K278">
        <v>0.199223862321803</v>
      </c>
      <c r="L278">
        <v>3700</v>
      </c>
      <c r="M278">
        <v>0.159475540977671</v>
      </c>
      <c r="N278">
        <v>59.900267567567603</v>
      </c>
      <c r="O278">
        <v>221630.99</v>
      </c>
      <c r="P278">
        <v>0.15933107722800999</v>
      </c>
      <c r="Q278">
        <v>5167</v>
      </c>
      <c r="R278">
        <v>0.22270543790044001</v>
      </c>
      <c r="S278">
        <v>64.3726437004064</v>
      </c>
      <c r="T278">
        <v>332613.45</v>
      </c>
      <c r="U278">
        <v>0.239116647418463</v>
      </c>
      <c r="V278">
        <v>98</v>
      </c>
      <c r="W278">
        <v>0.436020644242748</v>
      </c>
    </row>
    <row r="279" spans="1:23" hidden="1" x14ac:dyDescent="0.25">
      <c r="A279" t="s">
        <v>87</v>
      </c>
      <c r="B279">
        <v>9</v>
      </c>
      <c r="C279">
        <v>2025</v>
      </c>
      <c r="D279" t="s">
        <v>128</v>
      </c>
      <c r="E279" t="s">
        <v>129</v>
      </c>
      <c r="F279">
        <v>5430</v>
      </c>
      <c r="G279">
        <v>322695.7</v>
      </c>
      <c r="H279">
        <v>5430</v>
      </c>
      <c r="I279">
        <v>0.117020565879561</v>
      </c>
      <c r="J279">
        <v>322695.7</v>
      </c>
      <c r="K279">
        <v>0.115993375970786</v>
      </c>
      <c r="L279">
        <v>5430</v>
      </c>
      <c r="M279">
        <v>0.234041131759123</v>
      </c>
      <c r="N279">
        <v>59.428305709023903</v>
      </c>
      <c r="O279">
        <v>322695.7</v>
      </c>
      <c r="P279">
        <v>0.23198675193323301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10</v>
      </c>
      <c r="W279">
        <v>4.4491902473749803E-2</v>
      </c>
    </row>
    <row r="280" spans="1:23" hidden="1" x14ac:dyDescent="0.25">
      <c r="A280" t="s">
        <v>87</v>
      </c>
      <c r="B280">
        <v>9</v>
      </c>
      <c r="C280">
        <v>2025</v>
      </c>
      <c r="D280" t="s">
        <v>175</v>
      </c>
      <c r="E280" t="s">
        <v>176</v>
      </c>
      <c r="F280">
        <v>3000</v>
      </c>
      <c r="G280">
        <v>189863.62</v>
      </c>
      <c r="H280">
        <v>45292</v>
      </c>
      <c r="I280">
        <v>0.97607651377847104</v>
      </c>
      <c r="J280">
        <v>2649558.58</v>
      </c>
      <c r="K280">
        <v>0.95238717010038199</v>
      </c>
      <c r="L280">
        <v>24146</v>
      </c>
      <c r="M280">
        <v>1.04072876012077</v>
      </c>
      <c r="N280">
        <v>58.796947734614399</v>
      </c>
      <c r="O280">
        <v>1419711.1</v>
      </c>
      <c r="P280">
        <v>1.0206338875062699</v>
      </c>
      <c r="Q280">
        <v>21146</v>
      </c>
      <c r="R280">
        <v>0.911424267436172</v>
      </c>
      <c r="S280">
        <v>58.159816513761498</v>
      </c>
      <c r="T280">
        <v>1229847.48</v>
      </c>
      <c r="U280">
        <v>0.88414045268958497</v>
      </c>
      <c r="V280">
        <v>101</v>
      </c>
      <c r="W280">
        <v>0.449368214984873</v>
      </c>
    </row>
    <row r="281" spans="1:23" hidden="1" x14ac:dyDescent="0.25">
      <c r="A281" t="s">
        <v>87</v>
      </c>
      <c r="B281">
        <v>9</v>
      </c>
      <c r="C281">
        <v>2025</v>
      </c>
      <c r="D281" t="s">
        <v>130</v>
      </c>
      <c r="E281" t="s">
        <v>131</v>
      </c>
      <c r="F281">
        <v>84987</v>
      </c>
      <c r="G281">
        <v>5068139.2300000004</v>
      </c>
      <c r="H281">
        <v>150089</v>
      </c>
      <c r="I281">
        <v>3.2345303337564499</v>
      </c>
      <c r="J281">
        <v>9019626.8300000001</v>
      </c>
      <c r="K281">
        <v>3.2421162290305601</v>
      </c>
      <c r="L281">
        <v>117538</v>
      </c>
      <c r="M281">
        <v>5.0660638203874404</v>
      </c>
      <c r="N281">
        <v>59.928559529684001</v>
      </c>
      <c r="O281">
        <v>7043883.0300000003</v>
      </c>
      <c r="P281">
        <v>5.0638652610720296</v>
      </c>
      <c r="Q281">
        <v>32551</v>
      </c>
      <c r="R281">
        <v>1.4029968471254499</v>
      </c>
      <c r="S281">
        <v>60.696869527817903</v>
      </c>
      <c r="T281">
        <v>1975743.8</v>
      </c>
      <c r="U281">
        <v>1.4203671968581399</v>
      </c>
      <c r="V281">
        <v>567</v>
      </c>
      <c r="W281">
        <v>2.5226908702616102</v>
      </c>
    </row>
    <row r="282" spans="1:23" hidden="1" x14ac:dyDescent="0.25">
      <c r="A282" t="s">
        <v>87</v>
      </c>
      <c r="B282">
        <v>9</v>
      </c>
      <c r="C282">
        <v>2025</v>
      </c>
      <c r="D282" t="s">
        <v>132</v>
      </c>
      <c r="E282" t="s">
        <v>133</v>
      </c>
      <c r="F282">
        <v>8037</v>
      </c>
      <c r="G282">
        <v>488253.81</v>
      </c>
      <c r="H282">
        <v>25451</v>
      </c>
      <c r="I282">
        <v>0.54848810721928498</v>
      </c>
      <c r="J282">
        <v>1531602.99</v>
      </c>
      <c r="K282">
        <v>0.55053662461895203</v>
      </c>
      <c r="L282">
        <v>16744</v>
      </c>
      <c r="M282">
        <v>0.72169147517030496</v>
      </c>
      <c r="N282">
        <v>60.315838509316798</v>
      </c>
      <c r="O282">
        <v>1009928.4</v>
      </c>
      <c r="P282">
        <v>0.72604007181108099</v>
      </c>
      <c r="Q282">
        <v>8707</v>
      </c>
      <c r="R282">
        <v>0.375284739268266</v>
      </c>
      <c r="S282">
        <v>59.914389571609</v>
      </c>
      <c r="T282">
        <v>521674.59</v>
      </c>
      <c r="U282">
        <v>0.375033177414206</v>
      </c>
      <c r="V282">
        <v>209</v>
      </c>
      <c r="W282">
        <v>0.92988076170137002</v>
      </c>
    </row>
    <row r="283" spans="1:23" hidden="1" x14ac:dyDescent="0.25">
      <c r="A283" t="s">
        <v>87</v>
      </c>
      <c r="B283">
        <v>9</v>
      </c>
      <c r="C283">
        <v>2025</v>
      </c>
      <c r="D283" t="s">
        <v>134</v>
      </c>
      <c r="E283" t="s">
        <v>135</v>
      </c>
      <c r="F283">
        <v>27299</v>
      </c>
      <c r="G283">
        <v>1631485.92</v>
      </c>
      <c r="H283">
        <v>28499</v>
      </c>
      <c r="I283">
        <v>0.61417478950306104</v>
      </c>
      <c r="J283">
        <v>1710505.24</v>
      </c>
      <c r="K283">
        <v>0.61484326380338905</v>
      </c>
      <c r="L283">
        <v>27899</v>
      </c>
      <c r="M283">
        <v>1.2024886804692001</v>
      </c>
      <c r="N283">
        <v>59.894461450231198</v>
      </c>
      <c r="O283">
        <v>1670995.58</v>
      </c>
      <c r="P283">
        <v>1.201282933423</v>
      </c>
      <c r="Q283">
        <v>600</v>
      </c>
      <c r="R283">
        <v>2.58608985369197E-2</v>
      </c>
      <c r="S283">
        <v>65.849433333333295</v>
      </c>
      <c r="T283">
        <v>39509.660000000003</v>
      </c>
      <c r="U283">
        <v>2.8403594141617999E-2</v>
      </c>
      <c r="V283">
        <v>68</v>
      </c>
      <c r="W283">
        <v>0.30254493682149802</v>
      </c>
    </row>
    <row r="284" spans="1:23" hidden="1" x14ac:dyDescent="0.25">
      <c r="A284" t="s">
        <v>87</v>
      </c>
      <c r="B284">
        <v>9</v>
      </c>
      <c r="C284">
        <v>2025</v>
      </c>
      <c r="D284" t="s">
        <v>177</v>
      </c>
      <c r="E284" t="s">
        <v>178</v>
      </c>
      <c r="F284">
        <v>1788</v>
      </c>
      <c r="G284">
        <v>109781.62</v>
      </c>
      <c r="H284">
        <v>1788</v>
      </c>
      <c r="I284">
        <v>3.85327388200103E-2</v>
      </c>
      <c r="J284">
        <v>109781.62</v>
      </c>
      <c r="K284">
        <v>3.9461141636972397E-2</v>
      </c>
      <c r="L284">
        <v>1788</v>
      </c>
      <c r="M284">
        <v>7.7065477640020599E-2</v>
      </c>
      <c r="N284">
        <v>61.399116331096202</v>
      </c>
      <c r="O284">
        <v>109781.62</v>
      </c>
      <c r="P284">
        <v>7.8922283271107896E-2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3</v>
      </c>
      <c r="W284">
        <v>1.3347570742124899E-2</v>
      </c>
    </row>
    <row r="285" spans="1:23" hidden="1" x14ac:dyDescent="0.25">
      <c r="A285" t="s">
        <v>87</v>
      </c>
      <c r="B285">
        <v>9</v>
      </c>
      <c r="C285">
        <v>2025</v>
      </c>
      <c r="D285" t="s">
        <v>136</v>
      </c>
      <c r="E285" t="s">
        <v>137</v>
      </c>
      <c r="F285">
        <v>19238</v>
      </c>
      <c r="G285">
        <v>1155377.23</v>
      </c>
      <c r="H285">
        <v>31250</v>
      </c>
      <c r="I285">
        <v>0.67346089939895004</v>
      </c>
      <c r="J285">
        <v>1913786.03</v>
      </c>
      <c r="K285">
        <v>0.68791279990848297</v>
      </c>
      <c r="L285">
        <v>25244</v>
      </c>
      <c r="M285">
        <v>1.0880542044433299</v>
      </c>
      <c r="N285">
        <v>60.789955236887998</v>
      </c>
      <c r="O285">
        <v>1534581.63</v>
      </c>
      <c r="P285">
        <v>1.1032146010005901</v>
      </c>
      <c r="Q285">
        <v>6006</v>
      </c>
      <c r="R285">
        <v>0.25886759435456602</v>
      </c>
      <c r="S285">
        <v>63.137595737595703</v>
      </c>
      <c r="T285">
        <v>379204.4</v>
      </c>
      <c r="U285">
        <v>0.27261099878651801</v>
      </c>
      <c r="V285">
        <v>85</v>
      </c>
      <c r="W285">
        <v>0.37818117102687299</v>
      </c>
    </row>
    <row r="286" spans="1:23" hidden="1" x14ac:dyDescent="0.25">
      <c r="A286" t="s">
        <v>87</v>
      </c>
      <c r="B286">
        <v>9</v>
      </c>
      <c r="C286">
        <v>2025</v>
      </c>
      <c r="D286" t="s">
        <v>138</v>
      </c>
      <c r="E286" t="s">
        <v>139</v>
      </c>
      <c r="F286">
        <v>19313</v>
      </c>
      <c r="G286">
        <v>1164329.51</v>
      </c>
      <c r="H286">
        <v>20545</v>
      </c>
      <c r="I286">
        <v>0.44276013370084499</v>
      </c>
      <c r="J286">
        <v>1240543.27</v>
      </c>
      <c r="K286">
        <v>0.44591484152140298</v>
      </c>
      <c r="L286">
        <v>19929</v>
      </c>
      <c r="M286">
        <v>0.85896974490378697</v>
      </c>
      <c r="N286">
        <v>60.336012343820599</v>
      </c>
      <c r="O286">
        <v>1202436.3899999999</v>
      </c>
      <c r="P286">
        <v>0.86443455094822297</v>
      </c>
      <c r="Q286">
        <v>616</v>
      </c>
      <c r="R286">
        <v>2.6550522497904201E-2</v>
      </c>
      <c r="S286">
        <v>61.861818181818201</v>
      </c>
      <c r="T286">
        <v>38106.879999999997</v>
      </c>
      <c r="U286">
        <v>2.7395132064496099E-2</v>
      </c>
      <c r="V286">
        <v>53</v>
      </c>
      <c r="W286">
        <v>0.23580708311087401</v>
      </c>
    </row>
    <row r="287" spans="1:23" hidden="1" x14ac:dyDescent="0.25">
      <c r="A287" t="s">
        <v>87</v>
      </c>
      <c r="B287">
        <v>9</v>
      </c>
      <c r="C287">
        <v>2025</v>
      </c>
      <c r="D287" t="s">
        <v>140</v>
      </c>
      <c r="E287" t="s">
        <v>141</v>
      </c>
      <c r="F287">
        <v>762</v>
      </c>
      <c r="G287">
        <v>44615.1</v>
      </c>
      <c r="H287">
        <v>762</v>
      </c>
      <c r="I287">
        <v>1.6421670570944E-2</v>
      </c>
      <c r="J287">
        <v>44615.1</v>
      </c>
      <c r="K287">
        <v>1.6036953911298502E-2</v>
      </c>
      <c r="L287">
        <v>762</v>
      </c>
      <c r="M287">
        <v>3.2843341141887999E-2</v>
      </c>
      <c r="N287">
        <v>58.55</v>
      </c>
      <c r="O287">
        <v>44615.1</v>
      </c>
      <c r="P287">
        <v>3.2073907821444099E-2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1</v>
      </c>
      <c r="W287">
        <v>4.4491902473749803E-3</v>
      </c>
    </row>
    <row r="288" spans="1:23" hidden="1" x14ac:dyDescent="0.25">
      <c r="A288" t="s">
        <v>87</v>
      </c>
      <c r="B288">
        <v>9</v>
      </c>
      <c r="C288">
        <v>2025</v>
      </c>
      <c r="D288" t="s">
        <v>142</v>
      </c>
      <c r="E288" t="s">
        <v>143</v>
      </c>
      <c r="F288">
        <v>92880</v>
      </c>
      <c r="G288">
        <v>5593775.5199999996</v>
      </c>
      <c r="H288">
        <v>199064</v>
      </c>
      <c r="I288">
        <v>4.2899782552944803</v>
      </c>
      <c r="J288">
        <v>11787937.92</v>
      </c>
      <c r="K288">
        <v>4.2371891384819902</v>
      </c>
      <c r="L288">
        <v>145972</v>
      </c>
      <c r="M288">
        <v>6.2916118020520599</v>
      </c>
      <c r="N288">
        <v>59.537834105170802</v>
      </c>
      <c r="O288">
        <v>8690856.7200000007</v>
      </c>
      <c r="P288">
        <v>6.2478787972381102</v>
      </c>
      <c r="Q288">
        <v>53092</v>
      </c>
      <c r="R288">
        <v>2.2883447085369002</v>
      </c>
      <c r="S288">
        <v>58.334234912981202</v>
      </c>
      <c r="T288">
        <v>3097081.2</v>
      </c>
      <c r="U288">
        <v>2.22649947958132</v>
      </c>
      <c r="V288">
        <v>1189</v>
      </c>
      <c r="W288">
        <v>5.2900872041288496</v>
      </c>
    </row>
    <row r="289" spans="1:23" hidden="1" x14ac:dyDescent="0.25">
      <c r="A289" t="s">
        <v>87</v>
      </c>
      <c r="B289">
        <v>9</v>
      </c>
      <c r="C289">
        <v>2025</v>
      </c>
      <c r="D289" t="s">
        <v>144</v>
      </c>
      <c r="E289" t="s">
        <v>145</v>
      </c>
      <c r="F289">
        <v>-474725</v>
      </c>
      <c r="G289">
        <v>-27689732.68</v>
      </c>
      <c r="H289">
        <v>527265</v>
      </c>
      <c r="I289">
        <v>11.3629555558908</v>
      </c>
      <c r="J289">
        <v>30758119.52</v>
      </c>
      <c r="K289">
        <v>11.0560448175719</v>
      </c>
      <c r="L289">
        <v>26270</v>
      </c>
      <c r="M289">
        <v>1.13227634094147</v>
      </c>
      <c r="N289">
        <v>58.4009676437</v>
      </c>
      <c r="O289">
        <v>1534193.42</v>
      </c>
      <c r="P289">
        <v>1.1029355158532901</v>
      </c>
      <c r="Q289">
        <v>500995</v>
      </c>
      <c r="R289">
        <v>21.593634770840101</v>
      </c>
      <c r="S289">
        <v>58.331771973772199</v>
      </c>
      <c r="T289">
        <v>29223926.100000001</v>
      </c>
      <c r="U289">
        <v>21.009154120005999</v>
      </c>
      <c r="V289">
        <v>1803</v>
      </c>
      <c r="W289">
        <v>8.0218900160170801</v>
      </c>
    </row>
    <row r="290" spans="1:23" hidden="1" x14ac:dyDescent="0.25">
      <c r="A290" t="s">
        <v>87</v>
      </c>
      <c r="B290">
        <v>9</v>
      </c>
      <c r="C290">
        <v>2025</v>
      </c>
      <c r="D290" t="s">
        <v>146</v>
      </c>
      <c r="E290" t="s">
        <v>147</v>
      </c>
      <c r="F290">
        <v>17253</v>
      </c>
      <c r="G290">
        <v>1057345.29</v>
      </c>
      <c r="H290">
        <v>71103</v>
      </c>
      <c r="I290">
        <v>1.53232289055883</v>
      </c>
      <c r="J290">
        <v>4270817.95</v>
      </c>
      <c r="K290">
        <v>1.5351508934799301</v>
      </c>
      <c r="L290">
        <v>44178</v>
      </c>
      <c r="M290">
        <v>1.90413795927339</v>
      </c>
      <c r="N290">
        <v>60.303355063606297</v>
      </c>
      <c r="O290">
        <v>2664081.62</v>
      </c>
      <c r="P290">
        <v>1.9152149901868101</v>
      </c>
      <c r="Q290">
        <v>26925</v>
      </c>
      <c r="R290">
        <v>1.1605078218442699</v>
      </c>
      <c r="S290">
        <v>59.674515506035299</v>
      </c>
      <c r="T290">
        <v>1606736.33</v>
      </c>
      <c r="U290">
        <v>1.1550867967457299</v>
      </c>
      <c r="V290">
        <v>266</v>
      </c>
      <c r="W290">
        <v>1.1834846058017401</v>
      </c>
    </row>
    <row r="291" spans="1:23" x14ac:dyDescent="0.25">
      <c r="A291" t="s">
        <v>87</v>
      </c>
      <c r="B291">
        <v>9</v>
      </c>
      <c r="C291">
        <v>2025</v>
      </c>
      <c r="D291" t="s">
        <v>148</v>
      </c>
      <c r="E291" t="s">
        <v>148</v>
      </c>
      <c r="F291">
        <v>0</v>
      </c>
      <c r="G291">
        <v>9.9999975864193402E-3</v>
      </c>
      <c r="H291">
        <v>4640210</v>
      </c>
      <c r="I291">
        <v>0</v>
      </c>
      <c r="J291">
        <v>278201834.63</v>
      </c>
      <c r="K291">
        <v>0</v>
      </c>
      <c r="L291">
        <v>2320105</v>
      </c>
      <c r="M291">
        <v>100</v>
      </c>
      <c r="N291">
        <v>59.894461450231198</v>
      </c>
      <c r="O291">
        <v>139100917.31999999</v>
      </c>
      <c r="P291">
        <v>100</v>
      </c>
      <c r="Q291">
        <v>2320105</v>
      </c>
      <c r="R291">
        <v>100</v>
      </c>
      <c r="S291">
        <v>59.484486246672603</v>
      </c>
      <c r="T291">
        <v>139100917.31</v>
      </c>
      <c r="U291">
        <v>100</v>
      </c>
      <c r="V291">
        <v>22476</v>
      </c>
      <c r="W291">
        <v>100</v>
      </c>
    </row>
    <row r="292" spans="1:23" hidden="1" x14ac:dyDescent="0.25">
      <c r="A292" t="s">
        <v>87</v>
      </c>
      <c r="B292">
        <v>9</v>
      </c>
      <c r="C292">
        <v>2025</v>
      </c>
      <c r="D292" t="s">
        <v>149</v>
      </c>
      <c r="E292" t="s">
        <v>150</v>
      </c>
      <c r="F292">
        <v>225085</v>
      </c>
      <c r="G292">
        <v>13523930.050000001</v>
      </c>
      <c r="H292">
        <v>409659</v>
      </c>
      <c r="I292">
        <v>8.8284581947799801</v>
      </c>
      <c r="J292">
        <v>24558800.73</v>
      </c>
      <c r="K292">
        <v>8.8276918671878892</v>
      </c>
      <c r="L292">
        <v>317372</v>
      </c>
      <c r="M292">
        <v>13.679208484098799</v>
      </c>
      <c r="N292">
        <v>59.996992141713797</v>
      </c>
      <c r="O292">
        <v>19041365.390000001</v>
      </c>
      <c r="P292">
        <v>13.688885563705901</v>
      </c>
      <c r="Q292">
        <v>92287</v>
      </c>
      <c r="R292">
        <v>3.9777079054611799</v>
      </c>
      <c r="S292">
        <v>59.785618126063298</v>
      </c>
      <c r="T292">
        <v>5517435.3399999999</v>
      </c>
      <c r="U292">
        <v>3.9664981703203699</v>
      </c>
      <c r="V292">
        <v>1874</v>
      </c>
      <c r="W292">
        <v>8.3377825235807101</v>
      </c>
    </row>
    <row r="293" spans="1:23" hidden="1" x14ac:dyDescent="0.25">
      <c r="A293" t="s">
        <v>87</v>
      </c>
      <c r="B293">
        <v>9</v>
      </c>
      <c r="C293">
        <v>2025</v>
      </c>
      <c r="D293" t="s">
        <v>151</v>
      </c>
      <c r="E293" t="s">
        <v>152</v>
      </c>
      <c r="F293">
        <v>257</v>
      </c>
      <c r="G293">
        <v>7914.9099999964201</v>
      </c>
      <c r="H293">
        <v>564393</v>
      </c>
      <c r="I293">
        <v>12.1630917566231</v>
      </c>
      <c r="J293">
        <v>34259263.609999999</v>
      </c>
      <c r="K293">
        <v>12.314535472263801</v>
      </c>
      <c r="L293">
        <v>282325</v>
      </c>
      <c r="M293">
        <v>12.1686302990597</v>
      </c>
      <c r="N293">
        <v>60.687467493137298</v>
      </c>
      <c r="O293">
        <v>17133589.260000002</v>
      </c>
      <c r="P293">
        <v>12.3173804961936</v>
      </c>
      <c r="Q293">
        <v>282068</v>
      </c>
      <c r="R293">
        <v>12.1575532141864</v>
      </c>
      <c r="S293">
        <v>60.714701242253597</v>
      </c>
      <c r="T293">
        <v>17125674.350000001</v>
      </c>
      <c r="U293">
        <v>12.311690448333801</v>
      </c>
      <c r="V293">
        <v>2567</v>
      </c>
      <c r="W293">
        <v>11.421071365011599</v>
      </c>
    </row>
    <row r="294" spans="1:23" hidden="1" x14ac:dyDescent="0.25">
      <c r="A294" t="s">
        <v>87</v>
      </c>
      <c r="B294">
        <v>9</v>
      </c>
      <c r="C294">
        <v>2025</v>
      </c>
      <c r="D294" t="s">
        <v>153</v>
      </c>
      <c r="E294" t="s">
        <v>154</v>
      </c>
      <c r="F294">
        <v>910</v>
      </c>
      <c r="G294">
        <v>58475.67</v>
      </c>
      <c r="H294">
        <v>7210</v>
      </c>
      <c r="I294">
        <v>0.155380898709326</v>
      </c>
      <c r="J294">
        <v>447020.77</v>
      </c>
      <c r="K294">
        <v>0.16068217903542001</v>
      </c>
      <c r="L294">
        <v>4060</v>
      </c>
      <c r="M294">
        <v>0.17499208009982301</v>
      </c>
      <c r="N294">
        <v>62.253256157635498</v>
      </c>
      <c r="O294">
        <v>252748.22</v>
      </c>
      <c r="P294">
        <v>0.18170133229140101</v>
      </c>
      <c r="Q294">
        <v>3150</v>
      </c>
      <c r="R294">
        <v>0.135769717318828</v>
      </c>
      <c r="S294">
        <v>61.6738253968254</v>
      </c>
      <c r="T294">
        <v>194272.55</v>
      </c>
      <c r="U294">
        <v>0.139663025777928</v>
      </c>
      <c r="V294">
        <v>130</v>
      </c>
      <c r="W294">
        <v>0.57839473215874704</v>
      </c>
    </row>
    <row r="295" spans="1:23" hidden="1" x14ac:dyDescent="0.25">
      <c r="A295" t="s">
        <v>87</v>
      </c>
      <c r="B295">
        <v>9</v>
      </c>
      <c r="C295">
        <v>2025</v>
      </c>
      <c r="D295" t="s">
        <v>155</v>
      </c>
      <c r="E295" t="s">
        <v>156</v>
      </c>
      <c r="F295">
        <v>2012</v>
      </c>
      <c r="G295">
        <v>119034.16</v>
      </c>
      <c r="H295">
        <v>2012</v>
      </c>
      <c r="I295">
        <v>4.3360106546901998E-2</v>
      </c>
      <c r="J295">
        <v>119034.16</v>
      </c>
      <c r="K295">
        <v>4.2786978798436702E-2</v>
      </c>
      <c r="L295">
        <v>2012</v>
      </c>
      <c r="M295">
        <v>8.67202130938039E-2</v>
      </c>
      <c r="N295">
        <v>59.162107355864798</v>
      </c>
      <c r="O295">
        <v>119034.16</v>
      </c>
      <c r="P295">
        <v>8.5573957593797406E-2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4</v>
      </c>
      <c r="W295">
        <v>1.77967609894999E-2</v>
      </c>
    </row>
    <row r="296" spans="1:23" hidden="1" x14ac:dyDescent="0.25">
      <c r="A296" t="s">
        <v>87</v>
      </c>
      <c r="B296">
        <v>10</v>
      </c>
      <c r="C296">
        <v>2025</v>
      </c>
      <c r="D296" t="s">
        <v>88</v>
      </c>
      <c r="E296" t="s">
        <v>89</v>
      </c>
      <c r="F296">
        <v>-12315</v>
      </c>
      <c r="G296">
        <v>-862552.03000000305</v>
      </c>
      <c r="H296">
        <v>300107</v>
      </c>
      <c r="I296">
        <v>3.4674720349877202</v>
      </c>
      <c r="J296">
        <v>20915558.890000001</v>
      </c>
      <c r="K296">
        <v>3.43538449908606</v>
      </c>
      <c r="L296">
        <v>143896</v>
      </c>
      <c r="M296">
        <v>3.3251830576867101</v>
      </c>
      <c r="N296">
        <v>69.6788196336243</v>
      </c>
      <c r="O296">
        <v>10026503.43</v>
      </c>
      <c r="P296">
        <v>3.2937101653660301</v>
      </c>
      <c r="Q296">
        <v>156211</v>
      </c>
      <c r="R296">
        <v>3.6097610122887298</v>
      </c>
      <c r="S296">
        <v>69.707353899533302</v>
      </c>
      <c r="T296">
        <v>10889055.460000001</v>
      </c>
      <c r="U296">
        <v>3.5770588327921198</v>
      </c>
      <c r="V296">
        <v>1407</v>
      </c>
      <c r="W296">
        <v>2.9602356406480101</v>
      </c>
    </row>
    <row r="297" spans="1:23" hidden="1" x14ac:dyDescent="0.25">
      <c r="A297" t="s">
        <v>87</v>
      </c>
      <c r="B297">
        <v>10</v>
      </c>
      <c r="C297">
        <v>2025</v>
      </c>
      <c r="D297" t="s">
        <v>90</v>
      </c>
      <c r="E297" t="s">
        <v>91</v>
      </c>
      <c r="F297">
        <v>90952</v>
      </c>
      <c r="G297">
        <v>6571730.6900000097</v>
      </c>
      <c r="H297">
        <v>430032</v>
      </c>
      <c r="I297">
        <v>4.9686409652218702</v>
      </c>
      <c r="J297">
        <v>30326761.43</v>
      </c>
      <c r="K297">
        <v>4.9811762942617204</v>
      </c>
      <c r="L297">
        <v>260492</v>
      </c>
      <c r="M297">
        <v>6.0195112099219399</v>
      </c>
      <c r="N297">
        <v>70.8246167252737</v>
      </c>
      <c r="O297">
        <v>18449246.059999999</v>
      </c>
      <c r="P297">
        <v>6.0605843019355801</v>
      </c>
      <c r="Q297">
        <v>169540</v>
      </c>
      <c r="R297">
        <v>3.9177707205218</v>
      </c>
      <c r="S297">
        <v>70.057304293971896</v>
      </c>
      <c r="T297">
        <v>11877515.369999999</v>
      </c>
      <c r="U297">
        <v>3.9017682866942298</v>
      </c>
      <c r="V297">
        <v>3832</v>
      </c>
      <c r="W297">
        <v>8.0622764569745407</v>
      </c>
    </row>
    <row r="298" spans="1:23" hidden="1" x14ac:dyDescent="0.25">
      <c r="A298" t="s">
        <v>87</v>
      </c>
      <c r="B298">
        <v>10</v>
      </c>
      <c r="C298">
        <v>2025</v>
      </c>
      <c r="D298" t="s">
        <v>92</v>
      </c>
      <c r="E298" t="s">
        <v>93</v>
      </c>
      <c r="F298">
        <v>14347</v>
      </c>
      <c r="G298">
        <v>1044216.25</v>
      </c>
      <c r="H298">
        <v>34077</v>
      </c>
      <c r="I298">
        <v>0.39372971818810198</v>
      </c>
      <c r="J298">
        <v>2363462.9500000002</v>
      </c>
      <c r="K298">
        <v>0.38819923604700801</v>
      </c>
      <c r="L298">
        <v>24212</v>
      </c>
      <c r="M298">
        <v>0.55949666559675504</v>
      </c>
      <c r="N298">
        <v>70.371699983479303</v>
      </c>
      <c r="O298">
        <v>1703839.6</v>
      </c>
      <c r="P298">
        <v>0.55971195241222704</v>
      </c>
      <c r="Q298">
        <v>9865</v>
      </c>
      <c r="R298">
        <v>0.22796277077944799</v>
      </c>
      <c r="S298">
        <v>66.865012671059304</v>
      </c>
      <c r="T298">
        <v>659623.35</v>
      </c>
      <c r="U298">
        <v>0.21668651969869099</v>
      </c>
      <c r="V298">
        <v>102</v>
      </c>
      <c r="W298">
        <v>0.214601304439301</v>
      </c>
    </row>
    <row r="299" spans="1:23" hidden="1" x14ac:dyDescent="0.25">
      <c r="A299" t="s">
        <v>87</v>
      </c>
      <c r="B299">
        <v>10</v>
      </c>
      <c r="C299">
        <v>2025</v>
      </c>
      <c r="D299" t="s">
        <v>94</v>
      </c>
      <c r="E299" t="s">
        <v>95</v>
      </c>
      <c r="F299">
        <v>-604275</v>
      </c>
      <c r="G299">
        <v>-44296187.469999999</v>
      </c>
      <c r="H299">
        <v>1368665</v>
      </c>
      <c r="I299">
        <v>15.813718482962599</v>
      </c>
      <c r="J299">
        <v>96770536.209999993</v>
      </c>
      <c r="K299">
        <v>15.8945788545496</v>
      </c>
      <c r="L299">
        <v>382195</v>
      </c>
      <c r="M299">
        <v>8.8318531351293501</v>
      </c>
      <c r="N299">
        <v>68.648659375449697</v>
      </c>
      <c r="O299">
        <v>26237174.370000001</v>
      </c>
      <c r="P299">
        <v>8.6189216945144107</v>
      </c>
      <c r="Q299">
        <v>986470</v>
      </c>
      <c r="R299">
        <v>22.795583830795898</v>
      </c>
      <c r="S299">
        <v>71.500767220493302</v>
      </c>
      <c r="T299">
        <v>70533361.840000004</v>
      </c>
      <c r="U299">
        <v>23.170236013867701</v>
      </c>
      <c r="V299">
        <v>4904</v>
      </c>
      <c r="W299">
        <v>10.317694087944499</v>
      </c>
    </row>
    <row r="300" spans="1:23" hidden="1" x14ac:dyDescent="0.25">
      <c r="A300" t="s">
        <v>87</v>
      </c>
      <c r="B300">
        <v>10</v>
      </c>
      <c r="C300">
        <v>2025</v>
      </c>
      <c r="D300" t="s">
        <v>96</v>
      </c>
      <c r="E300" t="s">
        <v>97</v>
      </c>
      <c r="F300">
        <v>23719</v>
      </c>
      <c r="G300">
        <v>1698272.33</v>
      </c>
      <c r="H300">
        <v>50161</v>
      </c>
      <c r="I300">
        <v>0.57956617055589899</v>
      </c>
      <c r="J300">
        <v>3590237.01</v>
      </c>
      <c r="K300">
        <v>0.58969710716628498</v>
      </c>
      <c r="L300">
        <v>36940</v>
      </c>
      <c r="M300">
        <v>0.85361832261457704</v>
      </c>
      <c r="N300">
        <v>71.5824220357336</v>
      </c>
      <c r="O300">
        <v>2644254.67</v>
      </c>
      <c r="P300">
        <v>0.86863865825213205</v>
      </c>
      <c r="Q300">
        <v>13221</v>
      </c>
      <c r="R300">
        <v>0.30551401849721999</v>
      </c>
      <c r="S300">
        <v>71.551496861054403</v>
      </c>
      <c r="T300">
        <v>945982.34</v>
      </c>
      <c r="U300">
        <v>0.31075555610792699</v>
      </c>
      <c r="V300">
        <v>241</v>
      </c>
      <c r="W300">
        <v>0.50704818009678099</v>
      </c>
    </row>
    <row r="301" spans="1:23" hidden="1" x14ac:dyDescent="0.25">
      <c r="A301" t="s">
        <v>87</v>
      </c>
      <c r="B301">
        <v>10</v>
      </c>
      <c r="C301">
        <v>2025</v>
      </c>
      <c r="D301" t="s">
        <v>157</v>
      </c>
      <c r="E301" t="s">
        <v>158</v>
      </c>
      <c r="F301">
        <v>500</v>
      </c>
      <c r="G301">
        <v>33075</v>
      </c>
      <c r="H301">
        <v>500</v>
      </c>
      <c r="I301">
        <v>5.7770595737315703E-3</v>
      </c>
      <c r="J301">
        <v>33075</v>
      </c>
      <c r="K301">
        <v>5.4325749985861998E-3</v>
      </c>
      <c r="L301">
        <v>500</v>
      </c>
      <c r="M301">
        <v>1.1554119147463101E-2</v>
      </c>
      <c r="N301">
        <v>66.150000000000006</v>
      </c>
      <c r="O301">
        <v>33075</v>
      </c>
      <c r="P301">
        <v>1.0865149997707799E-2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1</v>
      </c>
      <c r="W301">
        <v>2.1039343572480502E-3</v>
      </c>
    </row>
    <row r="302" spans="1:23" hidden="1" x14ac:dyDescent="0.25">
      <c r="A302" t="s">
        <v>87</v>
      </c>
      <c r="B302">
        <v>10</v>
      </c>
      <c r="C302">
        <v>2025</v>
      </c>
      <c r="D302" t="s">
        <v>100</v>
      </c>
      <c r="E302" t="s">
        <v>101</v>
      </c>
      <c r="F302">
        <v>4570</v>
      </c>
      <c r="G302">
        <v>321481.67</v>
      </c>
      <c r="H302">
        <v>33890</v>
      </c>
      <c r="I302">
        <v>0.39156909790752598</v>
      </c>
      <c r="J302">
        <v>2348534.9500000002</v>
      </c>
      <c r="K302">
        <v>0.38574730922678402</v>
      </c>
      <c r="L302">
        <v>19230</v>
      </c>
      <c r="M302">
        <v>0.44437142241143202</v>
      </c>
      <c r="N302">
        <v>69.423209048361898</v>
      </c>
      <c r="O302">
        <v>1335008.31</v>
      </c>
      <c r="P302">
        <v>0.43855073428076702</v>
      </c>
      <c r="Q302">
        <v>14660</v>
      </c>
      <c r="R302">
        <v>0.33876677340361899</v>
      </c>
      <c r="S302">
        <v>69.135514324693006</v>
      </c>
      <c r="T302">
        <v>1013526.64</v>
      </c>
      <c r="U302">
        <v>0.33294388417800502</v>
      </c>
      <c r="V302">
        <v>99</v>
      </c>
      <c r="W302">
        <v>0.208289501367557</v>
      </c>
    </row>
    <row r="303" spans="1:23" hidden="1" x14ac:dyDescent="0.25">
      <c r="A303" t="s">
        <v>87</v>
      </c>
      <c r="B303">
        <v>10</v>
      </c>
      <c r="C303">
        <v>2025</v>
      </c>
      <c r="D303" t="s">
        <v>159</v>
      </c>
      <c r="E303" t="s">
        <v>160</v>
      </c>
      <c r="F303">
        <v>546</v>
      </c>
      <c r="G303">
        <v>37926.57</v>
      </c>
      <c r="H303">
        <v>546</v>
      </c>
      <c r="I303">
        <v>6.3085490545148797E-3</v>
      </c>
      <c r="J303">
        <v>37926.57</v>
      </c>
      <c r="K303">
        <v>6.2294462876531899E-3</v>
      </c>
      <c r="L303">
        <v>546</v>
      </c>
      <c r="M303">
        <v>1.2617098109029799E-2</v>
      </c>
      <c r="N303">
        <v>69.462582417582396</v>
      </c>
      <c r="O303">
        <v>37926.57</v>
      </c>
      <c r="P303">
        <v>1.24588925759203E-2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5</v>
      </c>
      <c r="W303">
        <v>1.05196717862403E-2</v>
      </c>
    </row>
    <row r="304" spans="1:23" hidden="1" x14ac:dyDescent="0.25">
      <c r="A304" t="s">
        <v>87</v>
      </c>
      <c r="B304">
        <v>10</v>
      </c>
      <c r="C304">
        <v>2025</v>
      </c>
      <c r="D304" t="s">
        <v>102</v>
      </c>
      <c r="E304" t="s">
        <v>103</v>
      </c>
      <c r="F304">
        <v>156586</v>
      </c>
      <c r="G304">
        <v>11623423.98</v>
      </c>
      <c r="H304">
        <v>1217746</v>
      </c>
      <c r="I304">
        <v>14.069982375346701</v>
      </c>
      <c r="J304">
        <v>85753451.079999998</v>
      </c>
      <c r="K304">
        <v>14.085020540580301</v>
      </c>
      <c r="L304">
        <v>687166</v>
      </c>
      <c r="M304">
        <v>15.8791956761713</v>
      </c>
      <c r="N304">
        <v>70.853967643917201</v>
      </c>
      <c r="O304">
        <v>48688437.530000001</v>
      </c>
      <c r="P304">
        <v>15.9941701260007</v>
      </c>
      <c r="Q304">
        <v>530580</v>
      </c>
      <c r="R304">
        <v>12.260769074522001</v>
      </c>
      <c r="S304">
        <v>69.857539956274294</v>
      </c>
      <c r="T304">
        <v>37065013.549999997</v>
      </c>
      <c r="U304">
        <v>12.175870955348</v>
      </c>
      <c r="V304">
        <v>8866</v>
      </c>
      <c r="W304">
        <v>18.653482011361199</v>
      </c>
    </row>
    <row r="305" spans="1:23" hidden="1" x14ac:dyDescent="0.25">
      <c r="A305" t="s">
        <v>87</v>
      </c>
      <c r="B305">
        <v>10</v>
      </c>
      <c r="C305">
        <v>2025</v>
      </c>
      <c r="D305" t="s">
        <v>161</v>
      </c>
      <c r="E305" t="s">
        <v>162</v>
      </c>
      <c r="F305">
        <v>2003</v>
      </c>
      <c r="G305">
        <v>143067.24</v>
      </c>
      <c r="H305">
        <v>2003</v>
      </c>
      <c r="I305">
        <v>2.3142900652368702E-2</v>
      </c>
      <c r="J305">
        <v>143067.24</v>
      </c>
      <c r="K305">
        <v>2.3498821198510399E-2</v>
      </c>
      <c r="L305">
        <v>2003</v>
      </c>
      <c r="M305">
        <v>4.6285801304737403E-2</v>
      </c>
      <c r="N305">
        <v>71.426480279580602</v>
      </c>
      <c r="O305">
        <v>143067.24</v>
      </c>
      <c r="P305">
        <v>4.6997642399336598E-2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8</v>
      </c>
      <c r="W305">
        <v>1.6831474857984401E-2</v>
      </c>
    </row>
    <row r="306" spans="1:23" hidden="1" x14ac:dyDescent="0.25">
      <c r="A306" t="s">
        <v>87</v>
      </c>
      <c r="B306">
        <v>10</v>
      </c>
      <c r="C306">
        <v>2025</v>
      </c>
      <c r="D306" t="s">
        <v>104</v>
      </c>
      <c r="E306" t="s">
        <v>105</v>
      </c>
      <c r="F306">
        <v>47339</v>
      </c>
      <c r="G306">
        <v>3234144.05</v>
      </c>
      <c r="H306">
        <v>382483</v>
      </c>
      <c r="I306">
        <v>4.4192541538791499</v>
      </c>
      <c r="J306">
        <v>27169311.25</v>
      </c>
      <c r="K306">
        <v>4.4625645056857701</v>
      </c>
      <c r="L306">
        <v>214911</v>
      </c>
      <c r="M306">
        <v>4.9662146002009004</v>
      </c>
      <c r="N306">
        <v>70.734990996272899</v>
      </c>
      <c r="O306">
        <v>15201727.65</v>
      </c>
      <c r="P306">
        <v>4.9937732771444203</v>
      </c>
      <c r="Q306">
        <v>167572</v>
      </c>
      <c r="R306">
        <v>3.87229370755739</v>
      </c>
      <c r="S306">
        <v>71.4175614064402</v>
      </c>
      <c r="T306">
        <v>11967583.6</v>
      </c>
      <c r="U306">
        <v>3.9313557342794598</v>
      </c>
      <c r="V306">
        <v>4305</v>
      </c>
      <c r="W306">
        <v>9.0574374079528699</v>
      </c>
    </row>
    <row r="307" spans="1:23" hidden="1" x14ac:dyDescent="0.25">
      <c r="A307" t="s">
        <v>87</v>
      </c>
      <c r="B307">
        <v>10</v>
      </c>
      <c r="C307">
        <v>2025</v>
      </c>
      <c r="D307" t="s">
        <v>106</v>
      </c>
      <c r="E307" t="s">
        <v>107</v>
      </c>
      <c r="F307">
        <v>49325</v>
      </c>
      <c r="G307">
        <v>3541137.55</v>
      </c>
      <c r="H307">
        <v>245229</v>
      </c>
      <c r="I307">
        <v>2.8334050844132399</v>
      </c>
      <c r="J307">
        <v>17196821.129999999</v>
      </c>
      <c r="K307">
        <v>2.82458111945569</v>
      </c>
      <c r="L307">
        <v>147277</v>
      </c>
      <c r="M307">
        <v>3.40331201136186</v>
      </c>
      <c r="N307">
        <v>70.404607236703598</v>
      </c>
      <c r="O307">
        <v>10368979.34</v>
      </c>
      <c r="P307">
        <v>3.40621363120886</v>
      </c>
      <c r="Q307">
        <v>97952</v>
      </c>
      <c r="R307">
        <v>2.2634981574646198</v>
      </c>
      <c r="S307">
        <v>69.705996712675599</v>
      </c>
      <c r="T307">
        <v>6827841.79</v>
      </c>
      <c r="U307">
        <v>2.24294860775984</v>
      </c>
      <c r="V307">
        <v>1299</v>
      </c>
      <c r="W307">
        <v>2.73301073006522</v>
      </c>
    </row>
    <row r="308" spans="1:23" hidden="1" x14ac:dyDescent="0.25">
      <c r="A308" t="s">
        <v>87</v>
      </c>
      <c r="B308">
        <v>10</v>
      </c>
      <c r="C308">
        <v>2025</v>
      </c>
      <c r="D308" t="s">
        <v>173</v>
      </c>
      <c r="E308" t="s">
        <v>174</v>
      </c>
      <c r="F308">
        <v>6900</v>
      </c>
      <c r="G308">
        <v>474970</v>
      </c>
      <c r="H308">
        <v>6900</v>
      </c>
      <c r="I308">
        <v>7.9723422117495696E-2</v>
      </c>
      <c r="J308">
        <v>474970</v>
      </c>
      <c r="K308">
        <v>7.8013912232153801E-2</v>
      </c>
      <c r="L308">
        <v>6900</v>
      </c>
      <c r="M308">
        <v>0.159446844234991</v>
      </c>
      <c r="N308">
        <v>68.836231884057995</v>
      </c>
      <c r="O308">
        <v>474970</v>
      </c>
      <c r="P308">
        <v>0.15602782447199601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9</v>
      </c>
      <c r="W308">
        <v>1.8935409215232499E-2</v>
      </c>
    </row>
    <row r="309" spans="1:23" hidden="1" x14ac:dyDescent="0.25">
      <c r="A309" t="s">
        <v>87</v>
      </c>
      <c r="B309">
        <v>10</v>
      </c>
      <c r="C309">
        <v>2025</v>
      </c>
      <c r="D309" t="s">
        <v>108</v>
      </c>
      <c r="E309" t="s">
        <v>109</v>
      </c>
      <c r="F309">
        <v>2555</v>
      </c>
      <c r="G309">
        <v>171302.56</v>
      </c>
      <c r="H309">
        <v>3565</v>
      </c>
      <c r="I309">
        <v>4.11904347607061E-2</v>
      </c>
      <c r="J309">
        <v>238215.06</v>
      </c>
      <c r="K309">
        <v>3.9126868609001102E-2</v>
      </c>
      <c r="L309">
        <v>3060</v>
      </c>
      <c r="M309">
        <v>7.0711209182474394E-2</v>
      </c>
      <c r="N309">
        <v>66.914643790849695</v>
      </c>
      <c r="O309">
        <v>204758.81</v>
      </c>
      <c r="P309">
        <v>6.7263346455091397E-2</v>
      </c>
      <c r="Q309">
        <v>505</v>
      </c>
      <c r="R309">
        <v>1.16696603389378E-2</v>
      </c>
      <c r="S309">
        <v>66.25</v>
      </c>
      <c r="T309">
        <v>33456.25</v>
      </c>
      <c r="U309">
        <v>1.09903907656837E-2</v>
      </c>
      <c r="V309">
        <v>8</v>
      </c>
      <c r="W309">
        <v>1.6831474857984401E-2</v>
      </c>
    </row>
    <row r="310" spans="1:23" hidden="1" x14ac:dyDescent="0.25">
      <c r="A310" t="s">
        <v>87</v>
      </c>
      <c r="B310">
        <v>10</v>
      </c>
      <c r="C310">
        <v>2025</v>
      </c>
      <c r="D310" t="s">
        <v>110</v>
      </c>
      <c r="E310" t="s">
        <v>111</v>
      </c>
      <c r="F310">
        <v>-11127</v>
      </c>
      <c r="G310">
        <v>-749550.04</v>
      </c>
      <c r="H310">
        <v>81837</v>
      </c>
      <c r="I310">
        <v>0.94555444867094096</v>
      </c>
      <c r="J310">
        <v>5808409.8600000003</v>
      </c>
      <c r="K310">
        <v>0.95403241683983597</v>
      </c>
      <c r="L310">
        <v>35355</v>
      </c>
      <c r="M310">
        <v>0.816991764917119</v>
      </c>
      <c r="N310">
        <v>71.543767783906105</v>
      </c>
      <c r="O310">
        <v>2529429.91</v>
      </c>
      <c r="P310">
        <v>0.83091868120448897</v>
      </c>
      <c r="Q310">
        <v>46482</v>
      </c>
      <c r="R310">
        <v>1.07411713242476</v>
      </c>
      <c r="S310">
        <v>70.543004819069793</v>
      </c>
      <c r="T310">
        <v>3278979.95</v>
      </c>
      <c r="U310">
        <v>1.0771461524630499</v>
      </c>
      <c r="V310">
        <v>634</v>
      </c>
      <c r="W310">
        <v>1.33389438249527</v>
      </c>
    </row>
    <row r="311" spans="1:23" hidden="1" x14ac:dyDescent="0.25">
      <c r="A311" t="s">
        <v>87</v>
      </c>
      <c r="B311">
        <v>10</v>
      </c>
      <c r="C311">
        <v>2025</v>
      </c>
      <c r="D311" t="s">
        <v>112</v>
      </c>
      <c r="E311" t="s">
        <v>113</v>
      </c>
      <c r="F311">
        <v>964</v>
      </c>
      <c r="G311">
        <v>65205.24</v>
      </c>
      <c r="H311">
        <v>1164</v>
      </c>
      <c r="I311">
        <v>1.34489946876471E-2</v>
      </c>
      <c r="J311">
        <v>78665.240000000005</v>
      </c>
      <c r="K311">
        <v>1.29207805315732E-2</v>
      </c>
      <c r="L311">
        <v>1064</v>
      </c>
      <c r="M311">
        <v>2.4587165545801599E-2</v>
      </c>
      <c r="N311">
        <v>67.608308270676702</v>
      </c>
      <c r="O311">
        <v>71935.240000000005</v>
      </c>
      <c r="P311">
        <v>2.36307535214243E-2</v>
      </c>
      <c r="Q311">
        <v>100</v>
      </c>
      <c r="R311">
        <v>2.31082382949263E-3</v>
      </c>
      <c r="S311">
        <v>67.3</v>
      </c>
      <c r="T311">
        <v>6730</v>
      </c>
      <c r="U311">
        <v>2.2108075427775399E-3</v>
      </c>
      <c r="V311">
        <v>8</v>
      </c>
      <c r="W311">
        <v>1.6831474857984401E-2</v>
      </c>
    </row>
    <row r="312" spans="1:23" hidden="1" x14ac:dyDescent="0.25">
      <c r="A312" t="s">
        <v>87</v>
      </c>
      <c r="B312">
        <v>10</v>
      </c>
      <c r="C312">
        <v>2025</v>
      </c>
      <c r="D312" t="s">
        <v>167</v>
      </c>
      <c r="E312" t="s">
        <v>168</v>
      </c>
      <c r="F312">
        <v>-2049</v>
      </c>
      <c r="G312">
        <v>-138933.63</v>
      </c>
      <c r="H312">
        <v>3583</v>
      </c>
      <c r="I312">
        <v>4.1398408905360402E-2</v>
      </c>
      <c r="J312">
        <v>243828.97</v>
      </c>
      <c r="K312">
        <v>4.0048954387090697E-2</v>
      </c>
      <c r="L312">
        <v>767</v>
      </c>
      <c r="M312">
        <v>1.77240187722085E-2</v>
      </c>
      <c r="N312">
        <v>68.380273794002605</v>
      </c>
      <c r="O312">
        <v>52447.67</v>
      </c>
      <c r="P312">
        <v>1.7229079412857999E-2</v>
      </c>
      <c r="Q312">
        <v>2816</v>
      </c>
      <c r="R312">
        <v>6.5072799038512402E-2</v>
      </c>
      <c r="S312">
        <v>67.962109374999997</v>
      </c>
      <c r="T312">
        <v>191381.3</v>
      </c>
      <c r="U312">
        <v>6.2868829359074493E-2</v>
      </c>
      <c r="V312">
        <v>5</v>
      </c>
      <c r="W312">
        <v>1.05196717862403E-2</v>
      </c>
    </row>
    <row r="313" spans="1:23" hidden="1" x14ac:dyDescent="0.25">
      <c r="A313" t="s">
        <v>87</v>
      </c>
      <c r="B313">
        <v>10</v>
      </c>
      <c r="C313">
        <v>2025</v>
      </c>
      <c r="D313" t="s">
        <v>163</v>
      </c>
      <c r="E313" t="s">
        <v>164</v>
      </c>
      <c r="F313">
        <v>-175</v>
      </c>
      <c r="G313">
        <v>-8278.16</v>
      </c>
      <c r="H313">
        <v>1691</v>
      </c>
      <c r="I313">
        <v>1.9538015478360201E-2</v>
      </c>
      <c r="J313">
        <v>114465.8</v>
      </c>
      <c r="K313">
        <v>1.8801029275076899E-2</v>
      </c>
      <c r="L313">
        <v>758</v>
      </c>
      <c r="M313">
        <v>1.75160446275541E-2</v>
      </c>
      <c r="N313">
        <v>70.044617414247995</v>
      </c>
      <c r="O313">
        <v>53093.82</v>
      </c>
      <c r="P313">
        <v>1.7441339932011999E-2</v>
      </c>
      <c r="Q313">
        <v>933</v>
      </c>
      <c r="R313">
        <v>2.1559986329166201E-2</v>
      </c>
      <c r="S313">
        <v>65.779185423365504</v>
      </c>
      <c r="T313">
        <v>61371.98</v>
      </c>
      <c r="U313">
        <v>2.0160718618007799E-2</v>
      </c>
      <c r="V313">
        <v>8</v>
      </c>
      <c r="W313">
        <v>1.6831474857984401E-2</v>
      </c>
    </row>
    <row r="314" spans="1:23" hidden="1" x14ac:dyDescent="0.25">
      <c r="A314" t="s">
        <v>87</v>
      </c>
      <c r="B314">
        <v>10</v>
      </c>
      <c r="C314">
        <v>2025</v>
      </c>
      <c r="D314" t="s">
        <v>116</v>
      </c>
      <c r="E314" t="s">
        <v>117</v>
      </c>
      <c r="F314">
        <v>16825</v>
      </c>
      <c r="G314">
        <v>1148103.56</v>
      </c>
      <c r="H314">
        <v>43923</v>
      </c>
      <c r="I314">
        <v>0.507491575314024</v>
      </c>
      <c r="J314">
        <v>3073418.34</v>
      </c>
      <c r="K314">
        <v>0.50480954298050795</v>
      </c>
      <c r="L314">
        <v>30374</v>
      </c>
      <c r="M314">
        <v>0.70188962997009097</v>
      </c>
      <c r="N314">
        <v>69.4923602423125</v>
      </c>
      <c r="O314">
        <v>2110760.9500000002</v>
      </c>
      <c r="P314">
        <v>0.69338576964638499</v>
      </c>
      <c r="Q314">
        <v>13549</v>
      </c>
      <c r="R314">
        <v>0.31309352065795598</v>
      </c>
      <c r="S314">
        <v>71.050069377813898</v>
      </c>
      <c r="T314">
        <v>962657.39</v>
      </c>
      <c r="U314">
        <v>0.316233316333215</v>
      </c>
      <c r="V314">
        <v>334</v>
      </c>
      <c r="W314">
        <v>0.70271407532084995</v>
      </c>
    </row>
    <row r="315" spans="1:23" hidden="1" x14ac:dyDescent="0.25">
      <c r="A315" t="s">
        <v>87</v>
      </c>
      <c r="B315">
        <v>10</v>
      </c>
      <c r="C315">
        <v>2025</v>
      </c>
      <c r="D315" t="s">
        <v>118</v>
      </c>
      <c r="E315" t="s">
        <v>119</v>
      </c>
      <c r="F315">
        <v>4443</v>
      </c>
      <c r="G315">
        <v>330855.19</v>
      </c>
      <c r="H315">
        <v>38859</v>
      </c>
      <c r="I315">
        <v>0.44898151595127</v>
      </c>
      <c r="J315">
        <v>2675850.69</v>
      </c>
      <c r="K315">
        <v>0.43950898135883998</v>
      </c>
      <c r="L315">
        <v>21651</v>
      </c>
      <c r="M315">
        <v>0.50031646732344903</v>
      </c>
      <c r="N315">
        <v>69.435727680014793</v>
      </c>
      <c r="O315">
        <v>1503352.94</v>
      </c>
      <c r="P315">
        <v>0.49385200884640901</v>
      </c>
      <c r="Q315">
        <v>17208</v>
      </c>
      <c r="R315">
        <v>0.39764656457909098</v>
      </c>
      <c r="S315">
        <v>68.136782310553201</v>
      </c>
      <c r="T315">
        <v>1172497.75</v>
      </c>
      <c r="U315">
        <v>0.385165953876626</v>
      </c>
      <c r="V315">
        <v>178</v>
      </c>
      <c r="W315">
        <v>0.37450031559015401</v>
      </c>
    </row>
    <row r="316" spans="1:23" hidden="1" x14ac:dyDescent="0.25">
      <c r="A316" t="s">
        <v>87</v>
      </c>
      <c r="B316">
        <v>10</v>
      </c>
      <c r="C316">
        <v>2025</v>
      </c>
      <c r="D316" t="s">
        <v>120</v>
      </c>
      <c r="E316" t="s">
        <v>121</v>
      </c>
      <c r="F316">
        <v>-7505</v>
      </c>
      <c r="G316">
        <v>-534358.91</v>
      </c>
      <c r="H316">
        <v>9429</v>
      </c>
      <c r="I316">
        <v>0.10894378944143</v>
      </c>
      <c r="J316">
        <v>662657.91</v>
      </c>
      <c r="K316">
        <v>0.10884168690797801</v>
      </c>
      <c r="L316">
        <v>962</v>
      </c>
      <c r="M316">
        <v>2.2230125239719099E-2</v>
      </c>
      <c r="N316">
        <v>66.683471933471907</v>
      </c>
      <c r="O316">
        <v>64149.5</v>
      </c>
      <c r="P316">
        <v>2.1073134989507299E-2</v>
      </c>
      <c r="Q316">
        <v>8467</v>
      </c>
      <c r="R316">
        <v>0.19565745364314099</v>
      </c>
      <c r="S316">
        <v>70.687186724932104</v>
      </c>
      <c r="T316">
        <v>598508.41</v>
      </c>
      <c r="U316">
        <v>0.19661023881779999</v>
      </c>
      <c r="V316">
        <v>43</v>
      </c>
      <c r="W316">
        <v>9.0469177361666306E-2</v>
      </c>
    </row>
    <row r="317" spans="1:23" hidden="1" x14ac:dyDescent="0.25">
      <c r="A317" t="s">
        <v>87</v>
      </c>
      <c r="B317">
        <v>10</v>
      </c>
      <c r="C317">
        <v>2025</v>
      </c>
      <c r="D317" t="s">
        <v>122</v>
      </c>
      <c r="E317" t="s">
        <v>123</v>
      </c>
      <c r="F317">
        <v>-160774</v>
      </c>
      <c r="G317">
        <v>-10497369.91</v>
      </c>
      <c r="H317">
        <v>497338</v>
      </c>
      <c r="I317">
        <v>5.7463025085610298</v>
      </c>
      <c r="J317">
        <v>34981048.43</v>
      </c>
      <c r="K317">
        <v>5.7456438133076597</v>
      </c>
      <c r="L317">
        <v>168282</v>
      </c>
      <c r="M317">
        <v>3.88870055674679</v>
      </c>
      <c r="N317">
        <v>72.745981507231903</v>
      </c>
      <c r="O317">
        <v>12241839.26</v>
      </c>
      <c r="P317">
        <v>4.0214488226070397</v>
      </c>
      <c r="Q317">
        <v>329056</v>
      </c>
      <c r="R317">
        <v>7.6039044603752597</v>
      </c>
      <c r="S317">
        <v>69.104374848050199</v>
      </c>
      <c r="T317">
        <v>22739209.170000002</v>
      </c>
      <c r="U317">
        <v>7.4698388038383596</v>
      </c>
      <c r="V317">
        <v>2170</v>
      </c>
      <c r="W317">
        <v>4.5655375552282802</v>
      </c>
    </row>
    <row r="318" spans="1:23" hidden="1" x14ac:dyDescent="0.25">
      <c r="A318" t="s">
        <v>87</v>
      </c>
      <c r="B318">
        <v>10</v>
      </c>
      <c r="C318">
        <v>2025</v>
      </c>
      <c r="D318" t="s">
        <v>124</v>
      </c>
      <c r="E318" t="s">
        <v>125</v>
      </c>
      <c r="F318">
        <v>-28692</v>
      </c>
      <c r="G318">
        <v>-1951045.06</v>
      </c>
      <c r="H318">
        <v>39472</v>
      </c>
      <c r="I318">
        <v>0.45606419098866502</v>
      </c>
      <c r="J318">
        <v>2729786.2</v>
      </c>
      <c r="K318">
        <v>0.44836789906593</v>
      </c>
      <c r="L318">
        <v>5390</v>
      </c>
      <c r="M318">
        <v>0.124553404409653</v>
      </c>
      <c r="N318">
        <v>72.239437847866398</v>
      </c>
      <c r="O318">
        <v>389370.57</v>
      </c>
      <c r="P318">
        <v>0.127908379372426</v>
      </c>
      <c r="Q318">
        <v>34082</v>
      </c>
      <c r="R318">
        <v>0.78757497756767803</v>
      </c>
      <c r="S318">
        <v>68.670137609295196</v>
      </c>
      <c r="T318">
        <v>2340415.63</v>
      </c>
      <c r="U318">
        <v>0.76882741872785298</v>
      </c>
      <c r="V318">
        <v>198</v>
      </c>
      <c r="W318">
        <v>0.416579002735115</v>
      </c>
    </row>
    <row r="319" spans="1:23" hidden="1" x14ac:dyDescent="0.25">
      <c r="A319" t="s">
        <v>87</v>
      </c>
      <c r="B319">
        <v>10</v>
      </c>
      <c r="C319">
        <v>2025</v>
      </c>
      <c r="D319" t="s">
        <v>126</v>
      </c>
      <c r="E319" t="s">
        <v>127</v>
      </c>
      <c r="F319">
        <v>1489</v>
      </c>
      <c r="G319">
        <v>142583.45000000001</v>
      </c>
      <c r="H319">
        <v>23547</v>
      </c>
      <c r="I319">
        <v>0.27206484356531502</v>
      </c>
      <c r="J319">
        <v>1637820.49</v>
      </c>
      <c r="K319">
        <v>0.26901232490237897</v>
      </c>
      <c r="L319">
        <v>12518</v>
      </c>
      <c r="M319">
        <v>0.28926892697588702</v>
      </c>
      <c r="N319">
        <v>71.113753794535896</v>
      </c>
      <c r="O319">
        <v>890201.97</v>
      </c>
      <c r="P319">
        <v>0.29243168351640098</v>
      </c>
      <c r="Q319">
        <v>11029</v>
      </c>
      <c r="R319">
        <v>0.25486076015474202</v>
      </c>
      <c r="S319">
        <v>67.786609846767604</v>
      </c>
      <c r="T319">
        <v>747618.52</v>
      </c>
      <c r="U319">
        <v>0.24559296629066599</v>
      </c>
      <c r="V319">
        <v>319</v>
      </c>
      <c r="W319">
        <v>0.67115505996212899</v>
      </c>
    </row>
    <row r="320" spans="1:23" hidden="1" x14ac:dyDescent="0.25">
      <c r="A320" t="s">
        <v>87</v>
      </c>
      <c r="B320">
        <v>10</v>
      </c>
      <c r="C320">
        <v>2025</v>
      </c>
      <c r="D320" t="s">
        <v>128</v>
      </c>
      <c r="E320" t="s">
        <v>129</v>
      </c>
      <c r="F320">
        <v>1760</v>
      </c>
      <c r="G320">
        <v>128784</v>
      </c>
      <c r="H320">
        <v>2240</v>
      </c>
      <c r="I320">
        <v>2.58812268903174E-2</v>
      </c>
      <c r="J320">
        <v>164016</v>
      </c>
      <c r="K320">
        <v>2.6939658986186402E-2</v>
      </c>
      <c r="L320">
        <v>2000</v>
      </c>
      <c r="M320">
        <v>4.6216476589852597E-2</v>
      </c>
      <c r="N320">
        <v>73.2</v>
      </c>
      <c r="O320">
        <v>146400</v>
      </c>
      <c r="P320">
        <v>4.8092455318652097E-2</v>
      </c>
      <c r="Q320">
        <v>240</v>
      </c>
      <c r="R320">
        <v>5.5459771907823098E-3</v>
      </c>
      <c r="S320">
        <v>73.400000000000006</v>
      </c>
      <c r="T320">
        <v>17616</v>
      </c>
      <c r="U320">
        <v>5.7868626558052203E-3</v>
      </c>
      <c r="V320">
        <v>4</v>
      </c>
      <c r="W320">
        <v>8.4157374289922093E-3</v>
      </c>
    </row>
    <row r="321" spans="1:23" hidden="1" x14ac:dyDescent="0.25">
      <c r="A321" t="s">
        <v>87</v>
      </c>
      <c r="B321">
        <v>10</v>
      </c>
      <c r="C321">
        <v>2025</v>
      </c>
      <c r="D321" t="s">
        <v>175</v>
      </c>
      <c r="E321" t="s">
        <v>176</v>
      </c>
      <c r="F321">
        <v>-221</v>
      </c>
      <c r="G321">
        <v>-22488.429999999898</v>
      </c>
      <c r="H321">
        <v>33303</v>
      </c>
      <c r="I321">
        <v>0.38478682996796498</v>
      </c>
      <c r="J321">
        <v>2269957.09</v>
      </c>
      <c r="K321">
        <v>0.37284088087671902</v>
      </c>
      <c r="L321">
        <v>16541</v>
      </c>
      <c r="M321">
        <v>0.382233369636376</v>
      </c>
      <c r="N321">
        <v>67.936299498216599</v>
      </c>
      <c r="O321">
        <v>1123734.33</v>
      </c>
      <c r="P321">
        <v>0.36914715201885601</v>
      </c>
      <c r="Q321">
        <v>16762</v>
      </c>
      <c r="R321">
        <v>0.38734029029955402</v>
      </c>
      <c r="S321">
        <v>68.382219305572093</v>
      </c>
      <c r="T321">
        <v>1146222.76</v>
      </c>
      <c r="U321">
        <v>0.37653460973421798</v>
      </c>
      <c r="V321">
        <v>72</v>
      </c>
      <c r="W321">
        <v>0.15148327372185999</v>
      </c>
    </row>
    <row r="322" spans="1:23" hidden="1" x14ac:dyDescent="0.25">
      <c r="A322" t="s">
        <v>87</v>
      </c>
      <c r="B322">
        <v>10</v>
      </c>
      <c r="C322">
        <v>2025</v>
      </c>
      <c r="D322" t="s">
        <v>130</v>
      </c>
      <c r="E322" t="s">
        <v>131</v>
      </c>
      <c r="F322">
        <v>21306</v>
      </c>
      <c r="G322">
        <v>1358529.17</v>
      </c>
      <c r="H322">
        <v>305440</v>
      </c>
      <c r="I322">
        <v>3.5290901524011402</v>
      </c>
      <c r="J322">
        <v>21638067.469999999</v>
      </c>
      <c r="K322">
        <v>3.55405666984863</v>
      </c>
      <c r="L322">
        <v>163373</v>
      </c>
      <c r="M322">
        <v>3.7752622149569901</v>
      </c>
      <c r="N322">
        <v>70.380652372179</v>
      </c>
      <c r="O322">
        <v>11498298.32</v>
      </c>
      <c r="P322">
        <v>3.7771953428629299</v>
      </c>
      <c r="Q322">
        <v>142067</v>
      </c>
      <c r="R322">
        <v>3.2829180898452899</v>
      </c>
      <c r="S322">
        <v>71.373148936769297</v>
      </c>
      <c r="T322">
        <v>10139769.15</v>
      </c>
      <c r="U322">
        <v>3.3309179968563201</v>
      </c>
      <c r="V322">
        <v>1475</v>
      </c>
      <c r="W322">
        <v>3.1033031769408801</v>
      </c>
    </row>
    <row r="323" spans="1:23" hidden="1" x14ac:dyDescent="0.25">
      <c r="A323" t="s">
        <v>87</v>
      </c>
      <c r="B323">
        <v>10</v>
      </c>
      <c r="C323">
        <v>2025</v>
      </c>
      <c r="D323" t="s">
        <v>132</v>
      </c>
      <c r="E323" t="s">
        <v>133</v>
      </c>
      <c r="F323">
        <v>14602</v>
      </c>
      <c r="G323">
        <v>1088578.26</v>
      </c>
      <c r="H323">
        <v>45574</v>
      </c>
      <c r="I323">
        <v>0.52656742602648499</v>
      </c>
      <c r="J323">
        <v>3217377.68</v>
      </c>
      <c r="K323">
        <v>0.528454891772555</v>
      </c>
      <c r="L323">
        <v>30088</v>
      </c>
      <c r="M323">
        <v>0.69528067381774195</v>
      </c>
      <c r="N323">
        <v>71.556034631746897</v>
      </c>
      <c r="O323">
        <v>2152977.9700000002</v>
      </c>
      <c r="P323">
        <v>0.70725407666849305</v>
      </c>
      <c r="Q323">
        <v>15486</v>
      </c>
      <c r="R323">
        <v>0.35785417823522803</v>
      </c>
      <c r="S323">
        <v>68.7330304791424</v>
      </c>
      <c r="T323">
        <v>1064399.71</v>
      </c>
      <c r="U323">
        <v>0.34965570689423903</v>
      </c>
      <c r="V323">
        <v>496</v>
      </c>
      <c r="W323">
        <v>1.04355144119503</v>
      </c>
    </row>
    <row r="324" spans="1:23" hidden="1" x14ac:dyDescent="0.25">
      <c r="A324" t="s">
        <v>87</v>
      </c>
      <c r="B324">
        <v>10</v>
      </c>
      <c r="C324">
        <v>2025</v>
      </c>
      <c r="D324" t="s">
        <v>134</v>
      </c>
      <c r="E324" t="s">
        <v>135</v>
      </c>
      <c r="F324">
        <v>8563</v>
      </c>
      <c r="G324">
        <v>606911.49</v>
      </c>
      <c r="H324">
        <v>32323</v>
      </c>
      <c r="I324">
        <v>0.37346379320345102</v>
      </c>
      <c r="J324">
        <v>2321745.4300000002</v>
      </c>
      <c r="K324">
        <v>0.38134712550566202</v>
      </c>
      <c r="L324">
        <v>20443</v>
      </c>
      <c r="M324">
        <v>0.472401715463178</v>
      </c>
      <c r="N324">
        <v>71.629822433106696</v>
      </c>
      <c r="O324">
        <v>1464328.46</v>
      </c>
      <c r="P324">
        <v>0.48103245242063303</v>
      </c>
      <c r="Q324">
        <v>11880</v>
      </c>
      <c r="R324">
        <v>0.27452587094372399</v>
      </c>
      <c r="S324">
        <v>72.173145622895603</v>
      </c>
      <c r="T324">
        <v>857416.97</v>
      </c>
      <c r="U324">
        <v>0.28166179860051499</v>
      </c>
      <c r="V324">
        <v>187</v>
      </c>
      <c r="W324">
        <v>0.39343572480538602</v>
      </c>
    </row>
    <row r="325" spans="1:23" hidden="1" x14ac:dyDescent="0.25">
      <c r="A325" t="s">
        <v>87</v>
      </c>
      <c r="B325">
        <v>10</v>
      </c>
      <c r="C325">
        <v>2025</v>
      </c>
      <c r="D325" t="s">
        <v>177</v>
      </c>
      <c r="E325" t="s">
        <v>178</v>
      </c>
      <c r="F325">
        <v>-51</v>
      </c>
      <c r="G325">
        <v>-3687.3</v>
      </c>
      <c r="H325">
        <v>51</v>
      </c>
      <c r="I325">
        <v>5.8926007652062001E-4</v>
      </c>
      <c r="J325">
        <v>3687.3</v>
      </c>
      <c r="K325">
        <v>6.0563972161109298E-4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51</v>
      </c>
      <c r="R325">
        <v>1.17852015304124E-3</v>
      </c>
      <c r="S325">
        <v>72.3</v>
      </c>
      <c r="T325">
        <v>3687.3</v>
      </c>
      <c r="U325">
        <v>1.2112794431625E-3</v>
      </c>
      <c r="V325">
        <v>1</v>
      </c>
      <c r="W325">
        <v>2.1039343572480502E-3</v>
      </c>
    </row>
    <row r="326" spans="1:23" hidden="1" x14ac:dyDescent="0.25">
      <c r="A326" t="s">
        <v>87</v>
      </c>
      <c r="B326">
        <v>10</v>
      </c>
      <c r="C326">
        <v>2025</v>
      </c>
      <c r="D326" t="s">
        <v>136</v>
      </c>
      <c r="E326" t="s">
        <v>137</v>
      </c>
      <c r="F326">
        <v>11990</v>
      </c>
      <c r="G326">
        <v>839961.48</v>
      </c>
      <c r="H326">
        <v>56084</v>
      </c>
      <c r="I326">
        <v>0.64800121826632295</v>
      </c>
      <c r="J326">
        <v>3840967.2</v>
      </c>
      <c r="K326">
        <v>0.63087958824216595</v>
      </c>
      <c r="L326">
        <v>34037</v>
      </c>
      <c r="M326">
        <v>0.78653510684440597</v>
      </c>
      <c r="N326">
        <v>68.762356846960699</v>
      </c>
      <c r="O326">
        <v>2340464.34</v>
      </c>
      <c r="P326">
        <v>0.76884342005702599</v>
      </c>
      <c r="Q326">
        <v>22047</v>
      </c>
      <c r="R326">
        <v>0.50946732968824004</v>
      </c>
      <c r="S326">
        <v>68.059276091985296</v>
      </c>
      <c r="T326">
        <v>1500502.86</v>
      </c>
      <c r="U326">
        <v>0.49291575644090202</v>
      </c>
      <c r="V326">
        <v>168</v>
      </c>
      <c r="W326">
        <v>0.35346097201767301</v>
      </c>
    </row>
    <row r="327" spans="1:23" hidden="1" x14ac:dyDescent="0.25">
      <c r="A327" t="s">
        <v>87</v>
      </c>
      <c r="B327">
        <v>10</v>
      </c>
      <c r="C327">
        <v>2025</v>
      </c>
      <c r="D327" t="s">
        <v>138</v>
      </c>
      <c r="E327" t="s">
        <v>139</v>
      </c>
      <c r="F327">
        <v>-3035</v>
      </c>
      <c r="G327">
        <v>-409228.1</v>
      </c>
      <c r="H327">
        <v>87131</v>
      </c>
      <c r="I327">
        <v>1.0067219554376099</v>
      </c>
      <c r="J327">
        <v>6183694.3799999999</v>
      </c>
      <c r="K327">
        <v>1.01567297014924</v>
      </c>
      <c r="L327">
        <v>42048</v>
      </c>
      <c r="M327">
        <v>0.97165520382505999</v>
      </c>
      <c r="N327">
        <v>68.665171708523602</v>
      </c>
      <c r="O327">
        <v>2887233.14</v>
      </c>
      <c r="P327">
        <v>0.94845717745889102</v>
      </c>
      <c r="Q327">
        <v>45083</v>
      </c>
      <c r="R327">
        <v>1.0417887070501599</v>
      </c>
      <c r="S327">
        <v>73.119828760286595</v>
      </c>
      <c r="T327">
        <v>3296461.24</v>
      </c>
      <c r="U327">
        <v>1.08288876283296</v>
      </c>
      <c r="V327">
        <v>295</v>
      </c>
      <c r="W327">
        <v>0.62066063538817595</v>
      </c>
    </row>
    <row r="328" spans="1:23" hidden="1" x14ac:dyDescent="0.25">
      <c r="A328" t="s">
        <v>87</v>
      </c>
      <c r="B328">
        <v>10</v>
      </c>
      <c r="C328">
        <v>2025</v>
      </c>
      <c r="D328" t="s">
        <v>140</v>
      </c>
      <c r="E328" t="s">
        <v>141</v>
      </c>
      <c r="F328">
        <v>423</v>
      </c>
      <c r="G328">
        <v>26782.6</v>
      </c>
      <c r="H328">
        <v>2293</v>
      </c>
      <c r="I328">
        <v>2.6493595205132999E-2</v>
      </c>
      <c r="J328">
        <v>153055.56</v>
      </c>
      <c r="K328">
        <v>2.5139404645521099E-2</v>
      </c>
      <c r="L328">
        <v>1358</v>
      </c>
      <c r="M328">
        <v>3.13809876045099E-2</v>
      </c>
      <c r="N328">
        <v>66.214344624447705</v>
      </c>
      <c r="O328">
        <v>89919.08</v>
      </c>
      <c r="P328">
        <v>2.9538451756791699E-2</v>
      </c>
      <c r="Q328">
        <v>935</v>
      </c>
      <c r="R328">
        <v>2.1606202805756099E-2</v>
      </c>
      <c r="S328">
        <v>67.525647058823495</v>
      </c>
      <c r="T328">
        <v>63136.480000000003</v>
      </c>
      <c r="U328">
        <v>2.0740357534683999E-2</v>
      </c>
      <c r="V328">
        <v>12</v>
      </c>
      <c r="W328">
        <v>2.52472122869766E-2</v>
      </c>
    </row>
    <row r="329" spans="1:23" hidden="1" x14ac:dyDescent="0.25">
      <c r="A329" t="s">
        <v>87</v>
      </c>
      <c r="B329">
        <v>10</v>
      </c>
      <c r="C329">
        <v>2025</v>
      </c>
      <c r="D329" t="s">
        <v>142</v>
      </c>
      <c r="E329" t="s">
        <v>143</v>
      </c>
      <c r="F329">
        <v>153174</v>
      </c>
      <c r="G329">
        <v>11141092.439999999</v>
      </c>
      <c r="H329">
        <v>363904</v>
      </c>
      <c r="I329">
        <v>4.2045901742384304</v>
      </c>
      <c r="J329">
        <v>26077549.920000002</v>
      </c>
      <c r="K329">
        <v>4.2832425009758301</v>
      </c>
      <c r="L329">
        <v>258539</v>
      </c>
      <c r="M329">
        <v>5.97438082053195</v>
      </c>
      <c r="N329">
        <v>71.978777592548894</v>
      </c>
      <c r="O329">
        <v>18609321.18</v>
      </c>
      <c r="P329">
        <v>6.1131690393415097</v>
      </c>
      <c r="Q329">
        <v>105365</v>
      </c>
      <c r="R329">
        <v>2.4347995279449099</v>
      </c>
      <c r="S329">
        <v>70.879597019883207</v>
      </c>
      <c r="T329">
        <v>7468228.7400000002</v>
      </c>
      <c r="U329">
        <v>2.4533159627904899</v>
      </c>
      <c r="V329">
        <v>2911</v>
      </c>
      <c r="W329">
        <v>6.1245529139490804</v>
      </c>
    </row>
    <row r="330" spans="1:23" hidden="1" x14ac:dyDescent="0.25">
      <c r="A330" t="s">
        <v>87</v>
      </c>
      <c r="B330">
        <v>10</v>
      </c>
      <c r="C330">
        <v>2025</v>
      </c>
      <c r="D330" t="s">
        <v>144</v>
      </c>
      <c r="E330" t="s">
        <v>145</v>
      </c>
      <c r="F330">
        <v>128355</v>
      </c>
      <c r="G330">
        <v>8895173.6499999892</v>
      </c>
      <c r="H330">
        <v>1068993</v>
      </c>
      <c r="I330">
        <v>12.351272489804099</v>
      </c>
      <c r="J330">
        <v>75157102.269999996</v>
      </c>
      <c r="K330">
        <v>12.3445682466572</v>
      </c>
      <c r="L330">
        <v>598674</v>
      </c>
      <c r="M330">
        <v>13.8343014529767</v>
      </c>
      <c r="N330">
        <v>70.198702398968393</v>
      </c>
      <c r="O330">
        <v>42026137.960000001</v>
      </c>
      <c r="P330">
        <v>13.8056021998416</v>
      </c>
      <c r="Q330">
        <v>470319</v>
      </c>
      <c r="R330">
        <v>10.868243526631399</v>
      </c>
      <c r="S330">
        <v>70.443601704375098</v>
      </c>
      <c r="T330">
        <v>33130964.309999999</v>
      </c>
      <c r="U330">
        <v>10.883534293616901</v>
      </c>
      <c r="V330">
        <v>3316</v>
      </c>
      <c r="W330">
        <v>6.9766463286345504</v>
      </c>
    </row>
    <row r="331" spans="1:23" hidden="1" x14ac:dyDescent="0.25">
      <c r="A331" t="s">
        <v>87</v>
      </c>
      <c r="B331">
        <v>10</v>
      </c>
      <c r="C331">
        <v>2025</v>
      </c>
      <c r="D331" t="s">
        <v>146</v>
      </c>
      <c r="E331" t="s">
        <v>147</v>
      </c>
      <c r="F331">
        <v>-6426</v>
      </c>
      <c r="G331">
        <v>-440731.10000000102</v>
      </c>
      <c r="H331">
        <v>126848</v>
      </c>
      <c r="I331">
        <v>1.4656169056174</v>
      </c>
      <c r="J331">
        <v>8915474.5199999996</v>
      </c>
      <c r="K331">
        <v>1.4643683742368601</v>
      </c>
      <c r="L331">
        <v>60211</v>
      </c>
      <c r="M331">
        <v>1.3913701359758099</v>
      </c>
      <c r="N331">
        <v>70.375375097573496</v>
      </c>
      <c r="O331">
        <v>4237371.71</v>
      </c>
      <c r="P331">
        <v>1.39197820786677</v>
      </c>
      <c r="Q331">
        <v>66637</v>
      </c>
      <c r="R331">
        <v>1.539863675259</v>
      </c>
      <c r="S331">
        <v>70.202782388162703</v>
      </c>
      <c r="T331">
        <v>4678102.8099999996</v>
      </c>
      <c r="U331">
        <v>1.5367585405998201</v>
      </c>
      <c r="V331">
        <v>673</v>
      </c>
      <c r="W331">
        <v>1.41594782242794</v>
      </c>
    </row>
    <row r="332" spans="1:23" x14ac:dyDescent="0.25">
      <c r="A332" t="s">
        <v>87</v>
      </c>
      <c r="B332">
        <v>10</v>
      </c>
      <c r="C332">
        <v>2025</v>
      </c>
      <c r="D332" t="s">
        <v>148</v>
      </c>
      <c r="E332" t="s">
        <v>148</v>
      </c>
      <c r="F332">
        <v>0</v>
      </c>
      <c r="G332">
        <v>-2.99999993048914E-2</v>
      </c>
      <c r="H332">
        <v>8654922</v>
      </c>
      <c r="I332">
        <v>0</v>
      </c>
      <c r="J332">
        <v>608827305.80999994</v>
      </c>
      <c r="K332">
        <v>0</v>
      </c>
      <c r="L332">
        <v>4327461</v>
      </c>
      <c r="M332">
        <v>100</v>
      </c>
      <c r="N332">
        <v>70.160749074672097</v>
      </c>
      <c r="O332">
        <v>304413652.88999999</v>
      </c>
      <c r="P332">
        <v>100</v>
      </c>
      <c r="Q332">
        <v>4327461</v>
      </c>
      <c r="R332">
        <v>100</v>
      </c>
      <c r="S332">
        <v>69.584060764137107</v>
      </c>
      <c r="T332">
        <v>304413652.92000002</v>
      </c>
      <c r="U332">
        <v>100</v>
      </c>
      <c r="V332">
        <v>47530</v>
      </c>
      <c r="W332">
        <v>100</v>
      </c>
    </row>
    <row r="333" spans="1:23" hidden="1" x14ac:dyDescent="0.25">
      <c r="A333" t="s">
        <v>87</v>
      </c>
      <c r="B333">
        <v>10</v>
      </c>
      <c r="C333">
        <v>2025</v>
      </c>
      <c r="D333" t="s">
        <v>149</v>
      </c>
      <c r="E333" t="s">
        <v>150</v>
      </c>
      <c r="F333">
        <v>74636</v>
      </c>
      <c r="G333">
        <v>5336790.7300000004</v>
      </c>
      <c r="H333">
        <v>748778</v>
      </c>
      <c r="I333">
        <v>8.6514702269991606</v>
      </c>
      <c r="J333">
        <v>52403301.009999998</v>
      </c>
      <c r="K333">
        <v>8.6072520910147503</v>
      </c>
      <c r="L333">
        <v>411707</v>
      </c>
      <c r="M333">
        <v>9.5138234636892207</v>
      </c>
      <c r="N333">
        <v>70.1227957503759</v>
      </c>
      <c r="O333">
        <v>28870045.870000001</v>
      </c>
      <c r="P333">
        <v>9.4838209771203008</v>
      </c>
      <c r="Q333">
        <v>337071</v>
      </c>
      <c r="R333">
        <v>7.7891169903091004</v>
      </c>
      <c r="S333">
        <v>69.816908425821296</v>
      </c>
      <c r="T333">
        <v>23533255.140000001</v>
      </c>
      <c r="U333">
        <v>7.7306832049955903</v>
      </c>
      <c r="V333">
        <v>3994</v>
      </c>
      <c r="W333">
        <v>8.4031138228487308</v>
      </c>
    </row>
    <row r="334" spans="1:23" hidden="1" x14ac:dyDescent="0.25">
      <c r="A334" t="s">
        <v>87</v>
      </c>
      <c r="B334">
        <v>10</v>
      </c>
      <c r="C334">
        <v>2025</v>
      </c>
      <c r="D334" t="s">
        <v>151</v>
      </c>
      <c r="E334" t="s">
        <v>152</v>
      </c>
      <c r="F334">
        <v>-3936</v>
      </c>
      <c r="G334">
        <v>-281551.75999999797</v>
      </c>
      <c r="H334">
        <v>931524</v>
      </c>
      <c r="I334">
        <v>10.762939284721501</v>
      </c>
      <c r="J334">
        <v>64697487.520000003</v>
      </c>
      <c r="K334">
        <v>10.6265745479212</v>
      </c>
      <c r="L334">
        <v>463794</v>
      </c>
      <c r="M334">
        <v>10.717462271757</v>
      </c>
      <c r="N334">
        <v>69.444554867031499</v>
      </c>
      <c r="O334">
        <v>32207967.879999999</v>
      </c>
      <c r="P334">
        <v>10.5803296186713</v>
      </c>
      <c r="Q334">
        <v>467730</v>
      </c>
      <c r="R334">
        <v>10.8084162976859</v>
      </c>
      <c r="S334">
        <v>69.462124815598699</v>
      </c>
      <c r="T334">
        <v>32489519.640000001</v>
      </c>
      <c r="U334">
        <v>10.6728194771666</v>
      </c>
      <c r="V334">
        <v>4367</v>
      </c>
      <c r="W334">
        <v>9.1878813381022493</v>
      </c>
    </row>
    <row r="335" spans="1:23" hidden="1" x14ac:dyDescent="0.25">
      <c r="A335" t="s">
        <v>87</v>
      </c>
      <c r="B335">
        <v>10</v>
      </c>
      <c r="C335">
        <v>2025</v>
      </c>
      <c r="D335" t="s">
        <v>153</v>
      </c>
      <c r="E335" t="s">
        <v>154</v>
      </c>
      <c r="F335">
        <v>1356</v>
      </c>
      <c r="G335">
        <v>94869.900000000402</v>
      </c>
      <c r="H335">
        <v>30964</v>
      </c>
      <c r="I335">
        <v>0.35776174528204902</v>
      </c>
      <c r="J335">
        <v>2224337.2999999998</v>
      </c>
      <c r="K335">
        <v>0.36534782175065</v>
      </c>
      <c r="L335">
        <v>16160</v>
      </c>
      <c r="M335">
        <v>0.37342913084600898</v>
      </c>
      <c r="N335">
        <v>71.757648514851496</v>
      </c>
      <c r="O335">
        <v>1159603.6000000001</v>
      </c>
      <c r="P335">
        <v>0.38093022076740501</v>
      </c>
      <c r="Q335">
        <v>14804</v>
      </c>
      <c r="R335">
        <v>0.34209435971808899</v>
      </c>
      <c r="S335">
        <v>71.922027830316097</v>
      </c>
      <c r="T335">
        <v>1064733.7</v>
      </c>
      <c r="U335">
        <v>0.34976542273542899</v>
      </c>
      <c r="V335">
        <v>554</v>
      </c>
      <c r="W335">
        <v>1.1655796339154201</v>
      </c>
    </row>
    <row r="336" spans="1:23" hidden="1" x14ac:dyDescent="0.25">
      <c r="A336" t="s">
        <v>87</v>
      </c>
      <c r="B336">
        <v>10</v>
      </c>
      <c r="C336">
        <v>2025</v>
      </c>
      <c r="D336" t="s">
        <v>155</v>
      </c>
      <c r="E336" t="s">
        <v>156</v>
      </c>
      <c r="F336">
        <v>1353</v>
      </c>
      <c r="G336">
        <v>96992.82</v>
      </c>
      <c r="H336">
        <v>2725</v>
      </c>
      <c r="I336">
        <v>3.1484974676837099E-2</v>
      </c>
      <c r="J336">
        <v>191604.46</v>
      </c>
      <c r="K336">
        <v>3.1471068753245901E-2</v>
      </c>
      <c r="L336">
        <v>2039</v>
      </c>
      <c r="M336">
        <v>4.7117697883354702E-2</v>
      </c>
      <c r="N336">
        <v>70.769318293281003</v>
      </c>
      <c r="O336">
        <v>144298.64000000001</v>
      </c>
      <c r="P336">
        <v>4.7402157764633003E-2</v>
      </c>
      <c r="Q336">
        <v>686</v>
      </c>
      <c r="R336">
        <v>1.5852251470319399E-2</v>
      </c>
      <c r="S336">
        <v>68.958921282798798</v>
      </c>
      <c r="T336">
        <v>47305.82</v>
      </c>
      <c r="U336">
        <v>1.5539979743428901E-2</v>
      </c>
      <c r="V336">
        <v>22</v>
      </c>
      <c r="W336">
        <v>4.62865558594572E-2</v>
      </c>
    </row>
    <row r="337" spans="1:23" hidden="1" x14ac:dyDescent="0.25">
      <c r="A337" t="s">
        <v>87</v>
      </c>
      <c r="B337">
        <v>11</v>
      </c>
      <c r="C337">
        <v>2025</v>
      </c>
      <c r="D337" t="s">
        <v>88</v>
      </c>
      <c r="E337" t="s">
        <v>89</v>
      </c>
      <c r="F337">
        <v>39438</v>
      </c>
      <c r="G337">
        <v>2919954.82</v>
      </c>
      <c r="H337">
        <v>132510</v>
      </c>
      <c r="I337">
        <v>3.5438725051014499</v>
      </c>
      <c r="J337">
        <v>9563914.3000000007</v>
      </c>
      <c r="K337">
        <v>3.56439182919625</v>
      </c>
      <c r="L337">
        <v>85974</v>
      </c>
      <c r="M337">
        <v>4.5986098370476602</v>
      </c>
      <c r="N337">
        <v>72.602584037034404</v>
      </c>
      <c r="O337">
        <v>6241934.5599999996</v>
      </c>
      <c r="P337">
        <v>4.6526348616930804</v>
      </c>
      <c r="Q337">
        <v>46536</v>
      </c>
      <c r="R337">
        <v>2.4891351731552498</v>
      </c>
      <c r="S337">
        <v>71.385158586900502</v>
      </c>
      <c r="T337">
        <v>3321979.74</v>
      </c>
      <c r="U337">
        <v>2.4761487966183</v>
      </c>
      <c r="V337">
        <v>650</v>
      </c>
      <c r="W337">
        <v>3.1872119250759998</v>
      </c>
    </row>
    <row r="338" spans="1:23" hidden="1" x14ac:dyDescent="0.25">
      <c r="A338" t="s">
        <v>87</v>
      </c>
      <c r="B338">
        <v>11</v>
      </c>
      <c r="C338">
        <v>2025</v>
      </c>
      <c r="D338" t="s">
        <v>90</v>
      </c>
      <c r="E338" t="s">
        <v>91</v>
      </c>
      <c r="F338">
        <v>38013</v>
      </c>
      <c r="G338">
        <v>2870275.37</v>
      </c>
      <c r="H338">
        <v>225041</v>
      </c>
      <c r="I338">
        <v>6.0185390719231497</v>
      </c>
      <c r="J338">
        <v>16295161.99</v>
      </c>
      <c r="K338">
        <v>6.0730722202921896</v>
      </c>
      <c r="L338">
        <v>131527</v>
      </c>
      <c r="M338">
        <v>7.0351659343216202</v>
      </c>
      <c r="N338">
        <v>72.857426079816307</v>
      </c>
      <c r="O338">
        <v>9582718.6799999997</v>
      </c>
      <c r="P338">
        <v>7.1428001322021899</v>
      </c>
      <c r="Q338">
        <v>93514</v>
      </c>
      <c r="R338">
        <v>5.0019122095246802</v>
      </c>
      <c r="S338">
        <v>71.780089719186407</v>
      </c>
      <c r="T338">
        <v>6712443.3099999996</v>
      </c>
      <c r="U338">
        <v>5.0033443083024496</v>
      </c>
      <c r="V338">
        <v>1645</v>
      </c>
      <c r="W338">
        <v>8.0660978719231107</v>
      </c>
    </row>
    <row r="339" spans="1:23" hidden="1" x14ac:dyDescent="0.25">
      <c r="A339" t="s">
        <v>87</v>
      </c>
      <c r="B339">
        <v>11</v>
      </c>
      <c r="C339">
        <v>2025</v>
      </c>
      <c r="D339" t="s">
        <v>92</v>
      </c>
      <c r="E339" t="s">
        <v>93</v>
      </c>
      <c r="F339">
        <v>-6496</v>
      </c>
      <c r="G339">
        <v>-448176.8</v>
      </c>
      <c r="H339">
        <v>17430</v>
      </c>
      <c r="I339">
        <v>0.46615121699432799</v>
      </c>
      <c r="J339">
        <v>1224157.82</v>
      </c>
      <c r="K339">
        <v>0.45623350381283601</v>
      </c>
      <c r="L339">
        <v>5467</v>
      </c>
      <c r="M339">
        <v>0.29242096423499597</v>
      </c>
      <c r="N339">
        <v>70.969546369123805</v>
      </c>
      <c r="O339">
        <v>387990.51</v>
      </c>
      <c r="P339">
        <v>0.28920171390455501</v>
      </c>
      <c r="Q339">
        <v>11963</v>
      </c>
      <c r="R339">
        <v>0.639881469753659</v>
      </c>
      <c r="S339">
        <v>69.896122210147993</v>
      </c>
      <c r="T339">
        <v>836167.31</v>
      </c>
      <c r="U339">
        <v>0.62326529373356698</v>
      </c>
      <c r="V339">
        <v>49</v>
      </c>
      <c r="W339">
        <v>0.24026674512111401</v>
      </c>
    </row>
    <row r="340" spans="1:23" hidden="1" x14ac:dyDescent="0.25">
      <c r="A340" t="s">
        <v>87</v>
      </c>
      <c r="B340">
        <v>11</v>
      </c>
      <c r="C340">
        <v>2025</v>
      </c>
      <c r="D340" t="s">
        <v>94</v>
      </c>
      <c r="E340" t="s">
        <v>95</v>
      </c>
      <c r="F340">
        <v>-92086</v>
      </c>
      <c r="G340">
        <v>-7053021.1500000004</v>
      </c>
      <c r="H340">
        <v>373630</v>
      </c>
      <c r="I340">
        <v>9.9924313944687704</v>
      </c>
      <c r="J340">
        <v>26822358.25</v>
      </c>
      <c r="K340">
        <v>9.9964712759998804</v>
      </c>
      <c r="L340">
        <v>140772</v>
      </c>
      <c r="M340">
        <v>7.5296659918216298</v>
      </c>
      <c r="N340">
        <v>70.217575583212593</v>
      </c>
      <c r="O340">
        <v>9884668.5500000007</v>
      </c>
      <c r="P340">
        <v>7.3678685750289503</v>
      </c>
      <c r="Q340">
        <v>232858</v>
      </c>
      <c r="R340">
        <v>12.455196797115899</v>
      </c>
      <c r="S340">
        <v>72.738276975667603</v>
      </c>
      <c r="T340">
        <v>16937689.699999999</v>
      </c>
      <c r="U340">
        <v>12.6250739771667</v>
      </c>
      <c r="V340">
        <v>1351</v>
      </c>
      <c r="W340">
        <v>6.6244974011964297</v>
      </c>
    </row>
    <row r="341" spans="1:23" hidden="1" x14ac:dyDescent="0.25">
      <c r="A341" t="s">
        <v>87</v>
      </c>
      <c r="B341">
        <v>11</v>
      </c>
      <c r="C341">
        <v>2025</v>
      </c>
      <c r="D341" t="s">
        <v>96</v>
      </c>
      <c r="E341" t="s">
        <v>97</v>
      </c>
      <c r="F341">
        <v>11300</v>
      </c>
      <c r="G341">
        <v>809394.14</v>
      </c>
      <c r="H341">
        <v>26470</v>
      </c>
      <c r="I341">
        <v>0.70791868696728899</v>
      </c>
      <c r="J341">
        <v>1908660.08</v>
      </c>
      <c r="K341">
        <v>0.71134183980141397</v>
      </c>
      <c r="L341">
        <v>18885</v>
      </c>
      <c r="M341">
        <v>1.01012802443349</v>
      </c>
      <c r="N341">
        <v>71.963310034418896</v>
      </c>
      <c r="O341">
        <v>1359027.11</v>
      </c>
      <c r="P341">
        <v>1.01299634739714</v>
      </c>
      <c r="Q341">
        <v>7585</v>
      </c>
      <c r="R341">
        <v>0.405709349501087</v>
      </c>
      <c r="S341">
        <v>72.463147000659205</v>
      </c>
      <c r="T341">
        <v>549632.97</v>
      </c>
      <c r="U341">
        <v>0.40968733218320003</v>
      </c>
      <c r="V341">
        <v>166</v>
      </c>
      <c r="W341">
        <v>0.81396489163479402</v>
      </c>
    </row>
    <row r="342" spans="1:23" hidden="1" x14ac:dyDescent="0.25">
      <c r="A342" t="s">
        <v>87</v>
      </c>
      <c r="B342">
        <v>11</v>
      </c>
      <c r="C342">
        <v>2025</v>
      </c>
      <c r="D342" t="s">
        <v>100</v>
      </c>
      <c r="E342" t="s">
        <v>101</v>
      </c>
      <c r="F342">
        <v>9439</v>
      </c>
      <c r="G342">
        <v>689610.37</v>
      </c>
      <c r="H342">
        <v>9639</v>
      </c>
      <c r="I342">
        <v>0.25778723927758601</v>
      </c>
      <c r="J342">
        <v>704220.37</v>
      </c>
      <c r="K342">
        <v>0.26245711264702098</v>
      </c>
      <c r="L342">
        <v>9539</v>
      </c>
      <c r="M342">
        <v>0.51022564072391197</v>
      </c>
      <c r="N342">
        <v>73.059583813817</v>
      </c>
      <c r="O342">
        <v>696915.37</v>
      </c>
      <c r="P342">
        <v>0.51946919900290101</v>
      </c>
      <c r="Q342">
        <v>100</v>
      </c>
      <c r="R342">
        <v>5.3488378312602104E-3</v>
      </c>
      <c r="S342">
        <v>73.05</v>
      </c>
      <c r="T342">
        <v>7305</v>
      </c>
      <c r="U342">
        <v>5.4450262719834197E-3</v>
      </c>
      <c r="V342">
        <v>31</v>
      </c>
      <c r="W342">
        <v>0.15200549181131701</v>
      </c>
    </row>
    <row r="343" spans="1:23" hidden="1" x14ac:dyDescent="0.25">
      <c r="A343" t="s">
        <v>87</v>
      </c>
      <c r="B343">
        <v>11</v>
      </c>
      <c r="C343">
        <v>2025</v>
      </c>
      <c r="D343" t="s">
        <v>159</v>
      </c>
      <c r="E343" t="s">
        <v>160</v>
      </c>
      <c r="F343">
        <v>10</v>
      </c>
      <c r="G343">
        <v>729.8</v>
      </c>
      <c r="H343">
        <v>10</v>
      </c>
      <c r="I343">
        <v>2.6744189156301102E-4</v>
      </c>
      <c r="J343">
        <v>729.8</v>
      </c>
      <c r="K343">
        <v>2.7199042937340202E-4</v>
      </c>
      <c r="L343">
        <v>10</v>
      </c>
      <c r="M343">
        <v>5.3488378312602095E-4</v>
      </c>
      <c r="N343">
        <v>72.98</v>
      </c>
      <c r="O343">
        <v>729.8</v>
      </c>
      <c r="P343">
        <v>5.4398085872652999E-4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1</v>
      </c>
      <c r="W343">
        <v>4.9034029616553901E-3</v>
      </c>
    </row>
    <row r="344" spans="1:23" hidden="1" x14ac:dyDescent="0.25">
      <c r="A344" t="s">
        <v>87</v>
      </c>
      <c r="B344">
        <v>11</v>
      </c>
      <c r="C344">
        <v>2025</v>
      </c>
      <c r="D344" t="s">
        <v>102</v>
      </c>
      <c r="E344" t="s">
        <v>103</v>
      </c>
      <c r="F344">
        <v>32219</v>
      </c>
      <c r="G344">
        <v>2476250.29</v>
      </c>
      <c r="H344">
        <v>472605</v>
      </c>
      <c r="I344">
        <v>12.6394375162137</v>
      </c>
      <c r="J344">
        <v>34226603.630000003</v>
      </c>
      <c r="K344">
        <v>12.7559723449122</v>
      </c>
      <c r="L344">
        <v>252412</v>
      </c>
      <c r="M344">
        <v>13.5011085466405</v>
      </c>
      <c r="N344">
        <v>72.704257166854205</v>
      </c>
      <c r="O344">
        <v>18351426.960000001</v>
      </c>
      <c r="P344">
        <v>13.678850365248</v>
      </c>
      <c r="Q344">
        <v>220193</v>
      </c>
      <c r="R344">
        <v>11.777766485786801</v>
      </c>
      <c r="S344">
        <v>72.096645533690904</v>
      </c>
      <c r="T344">
        <v>15875176.67</v>
      </c>
      <c r="U344">
        <v>11.8330943245076</v>
      </c>
      <c r="V344">
        <v>3040</v>
      </c>
      <c r="W344">
        <v>14.906345003432399</v>
      </c>
    </row>
    <row r="345" spans="1:23" hidden="1" x14ac:dyDescent="0.25">
      <c r="A345" t="s">
        <v>87</v>
      </c>
      <c r="B345">
        <v>11</v>
      </c>
      <c r="C345">
        <v>2025</v>
      </c>
      <c r="D345" t="s">
        <v>161</v>
      </c>
      <c r="E345" t="s">
        <v>162</v>
      </c>
      <c r="F345">
        <v>848</v>
      </c>
      <c r="G345">
        <v>62703.17</v>
      </c>
      <c r="H345">
        <v>1048</v>
      </c>
      <c r="I345">
        <v>2.8027910235803501E-2</v>
      </c>
      <c r="J345">
        <v>77173.17</v>
      </c>
      <c r="K345">
        <v>2.8761802746514901E-2</v>
      </c>
      <c r="L345">
        <v>948</v>
      </c>
      <c r="M345">
        <v>5.0706982640346801E-2</v>
      </c>
      <c r="N345">
        <v>73.774440928269996</v>
      </c>
      <c r="O345">
        <v>69938.17</v>
      </c>
      <c r="P345">
        <v>5.2130756062430901E-2</v>
      </c>
      <c r="Q345">
        <v>100</v>
      </c>
      <c r="R345">
        <v>5.3488378312602104E-3</v>
      </c>
      <c r="S345">
        <v>72.349999999999994</v>
      </c>
      <c r="T345">
        <v>7235</v>
      </c>
      <c r="U345">
        <v>5.3928494288569603E-3</v>
      </c>
      <c r="V345">
        <v>6</v>
      </c>
      <c r="W345">
        <v>2.9420417769932299E-2</v>
      </c>
    </row>
    <row r="346" spans="1:23" hidden="1" x14ac:dyDescent="0.25">
      <c r="A346" t="s">
        <v>87</v>
      </c>
      <c r="B346">
        <v>11</v>
      </c>
      <c r="C346">
        <v>2025</v>
      </c>
      <c r="D346" t="s">
        <v>104</v>
      </c>
      <c r="E346" t="s">
        <v>105</v>
      </c>
      <c r="F346">
        <v>11456</v>
      </c>
      <c r="G346">
        <v>803955.16</v>
      </c>
      <c r="H346">
        <v>156734</v>
      </c>
      <c r="I346">
        <v>4.1917237432236902</v>
      </c>
      <c r="J346">
        <v>11325592.539999999</v>
      </c>
      <c r="K346">
        <v>4.2209547517988497</v>
      </c>
      <c r="L346">
        <v>84095</v>
      </c>
      <c r="M346">
        <v>4.4981051741982796</v>
      </c>
      <c r="N346">
        <v>72.118126523574503</v>
      </c>
      <c r="O346">
        <v>6064773.8499999996</v>
      </c>
      <c r="P346">
        <v>4.5205821963622999</v>
      </c>
      <c r="Q346">
        <v>72639</v>
      </c>
      <c r="R346">
        <v>3.8853423122491102</v>
      </c>
      <c r="S346">
        <v>72.424161813901605</v>
      </c>
      <c r="T346">
        <v>5260818.6900000004</v>
      </c>
      <c r="U346">
        <v>3.9213273072130601</v>
      </c>
      <c r="V346">
        <v>1711</v>
      </c>
      <c r="W346">
        <v>8.3897224673923692</v>
      </c>
    </row>
    <row r="347" spans="1:23" hidden="1" x14ac:dyDescent="0.25">
      <c r="A347" t="s">
        <v>87</v>
      </c>
      <c r="B347">
        <v>11</v>
      </c>
      <c r="C347">
        <v>2025</v>
      </c>
      <c r="D347" t="s">
        <v>106</v>
      </c>
      <c r="E347" t="s">
        <v>107</v>
      </c>
      <c r="F347">
        <v>687</v>
      </c>
      <c r="G347">
        <v>43504.450000000703</v>
      </c>
      <c r="H347">
        <v>96887</v>
      </c>
      <c r="I347">
        <v>2.5911642547865399</v>
      </c>
      <c r="J347">
        <v>6953296.7300000004</v>
      </c>
      <c r="K347">
        <v>2.5914362334247398</v>
      </c>
      <c r="L347">
        <v>48787</v>
      </c>
      <c r="M347">
        <v>2.60953751273692</v>
      </c>
      <c r="N347">
        <v>71.707639125176797</v>
      </c>
      <c r="O347">
        <v>3498400.59</v>
      </c>
      <c r="P347">
        <v>2.6076499823480401</v>
      </c>
      <c r="Q347">
        <v>48100</v>
      </c>
      <c r="R347">
        <v>2.5727909968361602</v>
      </c>
      <c r="S347">
        <v>71.827362577962603</v>
      </c>
      <c r="T347">
        <v>3454896.14</v>
      </c>
      <c r="U347">
        <v>2.5752224845002201</v>
      </c>
      <c r="V347">
        <v>671</v>
      </c>
      <c r="W347">
        <v>3.29018338727077</v>
      </c>
    </row>
    <row r="348" spans="1:23" hidden="1" x14ac:dyDescent="0.25">
      <c r="A348" t="s">
        <v>87</v>
      </c>
      <c r="B348">
        <v>11</v>
      </c>
      <c r="C348">
        <v>2025</v>
      </c>
      <c r="D348" t="s">
        <v>108</v>
      </c>
      <c r="E348" t="s">
        <v>109</v>
      </c>
      <c r="F348">
        <v>2130</v>
      </c>
      <c r="G348">
        <v>166365</v>
      </c>
      <c r="H348">
        <v>8130</v>
      </c>
      <c r="I348">
        <v>0.217430257840728</v>
      </c>
      <c r="J348">
        <v>590615</v>
      </c>
      <c r="K348">
        <v>0.22011733001421199</v>
      </c>
      <c r="L348">
        <v>5130</v>
      </c>
      <c r="M348">
        <v>0.274395380743649</v>
      </c>
      <c r="N348">
        <v>73.779727095516606</v>
      </c>
      <c r="O348">
        <v>378490</v>
      </c>
      <c r="P348">
        <v>0.28212019076377698</v>
      </c>
      <c r="Q348">
        <v>3000</v>
      </c>
      <c r="R348">
        <v>0.16046513493780601</v>
      </c>
      <c r="S348">
        <v>70.7083333333333</v>
      </c>
      <c r="T348">
        <v>212125</v>
      </c>
      <c r="U348">
        <v>0.15811446926002501</v>
      </c>
      <c r="V348">
        <v>36</v>
      </c>
      <c r="W348">
        <v>0.17652250661959401</v>
      </c>
    </row>
    <row r="349" spans="1:23" hidden="1" x14ac:dyDescent="0.25">
      <c r="A349" t="s">
        <v>87</v>
      </c>
      <c r="B349">
        <v>11</v>
      </c>
      <c r="C349">
        <v>2025</v>
      </c>
      <c r="D349" t="s">
        <v>110</v>
      </c>
      <c r="E349" t="s">
        <v>111</v>
      </c>
      <c r="F349">
        <v>20723</v>
      </c>
      <c r="G349">
        <v>1480123.16</v>
      </c>
      <c r="H349">
        <v>46539</v>
      </c>
      <c r="I349">
        <v>1.2446478191451</v>
      </c>
      <c r="J349">
        <v>3334852.44</v>
      </c>
      <c r="K349">
        <v>1.2428719471807901</v>
      </c>
      <c r="L349">
        <v>33631</v>
      </c>
      <c r="M349">
        <v>1.7988676510311199</v>
      </c>
      <c r="N349">
        <v>71.585376587077405</v>
      </c>
      <c r="O349">
        <v>2407487.7999999998</v>
      </c>
      <c r="P349">
        <v>1.7945016180017099</v>
      </c>
      <c r="Q349">
        <v>12908</v>
      </c>
      <c r="R349">
        <v>0.69042798725906795</v>
      </c>
      <c r="S349">
        <v>71.844177254415897</v>
      </c>
      <c r="T349">
        <v>927364.64</v>
      </c>
      <c r="U349">
        <v>0.69124227631874702</v>
      </c>
      <c r="V349">
        <v>292</v>
      </c>
      <c r="W349">
        <v>1.43179366480337</v>
      </c>
    </row>
    <row r="350" spans="1:23" hidden="1" x14ac:dyDescent="0.25">
      <c r="A350" t="s">
        <v>87</v>
      </c>
      <c r="B350">
        <v>11</v>
      </c>
      <c r="C350">
        <v>2025</v>
      </c>
      <c r="D350" t="s">
        <v>112</v>
      </c>
      <c r="E350" t="s">
        <v>113</v>
      </c>
      <c r="F350">
        <v>-15</v>
      </c>
      <c r="G350">
        <v>-3089.6</v>
      </c>
      <c r="H350">
        <v>805</v>
      </c>
      <c r="I350">
        <v>2.1529072270822399E-2</v>
      </c>
      <c r="J350">
        <v>59853.599999999999</v>
      </c>
      <c r="K350">
        <v>2.2306942125985E-2</v>
      </c>
      <c r="L350">
        <v>395</v>
      </c>
      <c r="M350">
        <v>2.1127909433477799E-2</v>
      </c>
      <c r="N350">
        <v>71.853164556962</v>
      </c>
      <c r="O350">
        <v>28382</v>
      </c>
      <c r="P350">
        <v>2.1155473735785701E-2</v>
      </c>
      <c r="Q350">
        <v>410</v>
      </c>
      <c r="R350">
        <v>2.1930235108166898E-2</v>
      </c>
      <c r="S350">
        <v>76.760000000000005</v>
      </c>
      <c r="T350">
        <v>31471.599999999999</v>
      </c>
      <c r="U350">
        <v>2.3458410516270199E-2</v>
      </c>
      <c r="V350">
        <v>8</v>
      </c>
      <c r="W350">
        <v>3.92272236932431E-2</v>
      </c>
    </row>
    <row r="351" spans="1:23" hidden="1" x14ac:dyDescent="0.25">
      <c r="A351" t="s">
        <v>87</v>
      </c>
      <c r="B351">
        <v>11</v>
      </c>
      <c r="C351">
        <v>2025</v>
      </c>
      <c r="D351" t="s">
        <v>167</v>
      </c>
      <c r="E351" t="s">
        <v>168</v>
      </c>
      <c r="F351">
        <v>-377</v>
      </c>
      <c r="G351">
        <v>-27493.68</v>
      </c>
      <c r="H351">
        <v>377</v>
      </c>
      <c r="I351">
        <v>1.0082559311925501E-2</v>
      </c>
      <c r="J351">
        <v>27493.68</v>
      </c>
      <c r="K351">
        <v>1.0246667344827201E-2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377</v>
      </c>
      <c r="R351">
        <v>2.0165118623851001E-2</v>
      </c>
      <c r="S351">
        <v>72.927533156498697</v>
      </c>
      <c r="T351">
        <v>27493.68</v>
      </c>
      <c r="U351">
        <v>2.04933346904182E-2</v>
      </c>
      <c r="V351">
        <v>3</v>
      </c>
      <c r="W351">
        <v>1.47102088849662E-2</v>
      </c>
    </row>
    <row r="352" spans="1:23" hidden="1" x14ac:dyDescent="0.25">
      <c r="A352" t="s">
        <v>87</v>
      </c>
      <c r="B352">
        <v>11</v>
      </c>
      <c r="C352">
        <v>2025</v>
      </c>
      <c r="D352" t="s">
        <v>163</v>
      </c>
      <c r="E352" t="s">
        <v>164</v>
      </c>
      <c r="F352">
        <v>1712</v>
      </c>
      <c r="G352">
        <v>123411.66</v>
      </c>
      <c r="H352">
        <v>1712</v>
      </c>
      <c r="I352">
        <v>4.5786051835587399E-2</v>
      </c>
      <c r="J352">
        <v>123411.66</v>
      </c>
      <c r="K352">
        <v>4.5994505882549101E-2</v>
      </c>
      <c r="L352">
        <v>1712</v>
      </c>
      <c r="M352">
        <v>9.1572103671174798E-2</v>
      </c>
      <c r="N352">
        <v>72.086250000000007</v>
      </c>
      <c r="O352">
        <v>123411.66</v>
      </c>
      <c r="P352">
        <v>9.1989011761669806E-2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4</v>
      </c>
      <c r="W352">
        <v>1.9613611846621599E-2</v>
      </c>
    </row>
    <row r="353" spans="1:23" hidden="1" x14ac:dyDescent="0.25">
      <c r="A353" t="s">
        <v>87</v>
      </c>
      <c r="B353">
        <v>11</v>
      </c>
      <c r="C353">
        <v>2025</v>
      </c>
      <c r="D353" t="s">
        <v>116</v>
      </c>
      <c r="E353" t="s">
        <v>117</v>
      </c>
      <c r="F353">
        <v>24980</v>
      </c>
      <c r="G353">
        <v>1794616.77</v>
      </c>
      <c r="H353">
        <v>32858</v>
      </c>
      <c r="I353">
        <v>0.87876056729773999</v>
      </c>
      <c r="J353">
        <v>2354568.75</v>
      </c>
      <c r="K353">
        <v>0.87752831639037299</v>
      </c>
      <c r="L353">
        <v>28919</v>
      </c>
      <c r="M353">
        <v>1.5468304124221399</v>
      </c>
      <c r="N353">
        <v>71.738053183028498</v>
      </c>
      <c r="O353">
        <v>2074592.76</v>
      </c>
      <c r="P353">
        <v>1.5463671568822199</v>
      </c>
      <c r="Q353">
        <v>3939</v>
      </c>
      <c r="R353">
        <v>0.21069072217334001</v>
      </c>
      <c r="S353">
        <v>71.077936024371695</v>
      </c>
      <c r="T353">
        <v>279975.99</v>
      </c>
      <c r="U353">
        <v>0.208689475848675</v>
      </c>
      <c r="V353">
        <v>222</v>
      </c>
      <c r="W353">
        <v>1.0885554574875</v>
      </c>
    </row>
    <row r="354" spans="1:23" hidden="1" x14ac:dyDescent="0.25">
      <c r="A354" t="s">
        <v>87</v>
      </c>
      <c r="B354">
        <v>11</v>
      </c>
      <c r="C354">
        <v>2025</v>
      </c>
      <c r="D354" t="s">
        <v>118</v>
      </c>
      <c r="E354" t="s">
        <v>119</v>
      </c>
      <c r="F354">
        <v>10219</v>
      </c>
      <c r="G354">
        <v>728665.65</v>
      </c>
      <c r="H354">
        <v>16403</v>
      </c>
      <c r="I354">
        <v>0.438684934730806</v>
      </c>
      <c r="J354">
        <v>1182286.73</v>
      </c>
      <c r="K354">
        <v>0.44062849456724501</v>
      </c>
      <c r="L354">
        <v>13311</v>
      </c>
      <c r="M354">
        <v>0.71198380371904701</v>
      </c>
      <c r="N354">
        <v>71.780947336789097</v>
      </c>
      <c r="O354">
        <v>955476.19</v>
      </c>
      <c r="P354">
        <v>0.71219616104268801</v>
      </c>
      <c r="Q354">
        <v>3092</v>
      </c>
      <c r="R354">
        <v>0.16538606574256601</v>
      </c>
      <c r="S354">
        <v>73.353990944372597</v>
      </c>
      <c r="T354">
        <v>226810.54</v>
      </c>
      <c r="U354">
        <v>0.16906082807156</v>
      </c>
      <c r="V354">
        <v>114</v>
      </c>
      <c r="W354">
        <v>0.55898793762871402</v>
      </c>
    </row>
    <row r="355" spans="1:23" hidden="1" x14ac:dyDescent="0.25">
      <c r="A355" t="s">
        <v>87</v>
      </c>
      <c r="B355">
        <v>11</v>
      </c>
      <c r="C355">
        <v>2025</v>
      </c>
      <c r="D355" t="s">
        <v>120</v>
      </c>
      <c r="E355" t="s">
        <v>121</v>
      </c>
      <c r="F355">
        <v>1949</v>
      </c>
      <c r="G355">
        <v>144058.54999999999</v>
      </c>
      <c r="H355">
        <v>5083</v>
      </c>
      <c r="I355">
        <v>0.13594071348147799</v>
      </c>
      <c r="J355">
        <v>371531.25</v>
      </c>
      <c r="K355">
        <v>0.138466626765054</v>
      </c>
      <c r="L355">
        <v>3516</v>
      </c>
      <c r="M355">
        <v>0.18806513814710901</v>
      </c>
      <c r="N355">
        <v>73.320506257110296</v>
      </c>
      <c r="O355">
        <v>257794.9</v>
      </c>
      <c r="P355">
        <v>0.19215605793000801</v>
      </c>
      <c r="Q355">
        <v>1567</v>
      </c>
      <c r="R355">
        <v>8.3816288815847503E-2</v>
      </c>
      <c r="S355">
        <v>72.582227185705193</v>
      </c>
      <c r="T355">
        <v>113736.35</v>
      </c>
      <c r="U355">
        <v>8.4777195596098795E-2</v>
      </c>
      <c r="V355">
        <v>25</v>
      </c>
      <c r="W355">
        <v>0.12258507404138499</v>
      </c>
    </row>
    <row r="356" spans="1:23" hidden="1" x14ac:dyDescent="0.25">
      <c r="A356" t="s">
        <v>87</v>
      </c>
      <c r="B356">
        <v>11</v>
      </c>
      <c r="C356">
        <v>2025</v>
      </c>
      <c r="D356" t="s">
        <v>122</v>
      </c>
      <c r="E356" t="s">
        <v>123</v>
      </c>
      <c r="F356">
        <v>1805</v>
      </c>
      <c r="G356">
        <v>-9763.2799999993294</v>
      </c>
      <c r="H356">
        <v>366489</v>
      </c>
      <c r="I356">
        <v>9.8014511397036195</v>
      </c>
      <c r="J356">
        <v>25960883.120000001</v>
      </c>
      <c r="K356">
        <v>9.6754066137592591</v>
      </c>
      <c r="L356">
        <v>184147</v>
      </c>
      <c r="M356">
        <v>9.8497244011307394</v>
      </c>
      <c r="N356">
        <v>70.463053538748895</v>
      </c>
      <c r="O356">
        <v>12975559.92</v>
      </c>
      <c r="P356">
        <v>9.6717679196206507</v>
      </c>
      <c r="Q356">
        <v>182342</v>
      </c>
      <c r="R356">
        <v>9.7531778782764995</v>
      </c>
      <c r="S356">
        <v>71.214109749810802</v>
      </c>
      <c r="T356">
        <v>12985323.199999999</v>
      </c>
      <c r="U356">
        <v>9.6790453078981304</v>
      </c>
      <c r="V356">
        <v>1461</v>
      </c>
      <c r="W356">
        <v>7.1638717269785204</v>
      </c>
    </row>
    <row r="357" spans="1:23" hidden="1" x14ac:dyDescent="0.25">
      <c r="A357" t="s">
        <v>87</v>
      </c>
      <c r="B357">
        <v>11</v>
      </c>
      <c r="C357">
        <v>2025</v>
      </c>
      <c r="D357" t="s">
        <v>124</v>
      </c>
      <c r="E357" t="s">
        <v>125</v>
      </c>
      <c r="F357">
        <v>23771</v>
      </c>
      <c r="G357">
        <v>1702434.7</v>
      </c>
      <c r="H357">
        <v>29105</v>
      </c>
      <c r="I357">
        <v>0.77838962539414203</v>
      </c>
      <c r="J357">
        <v>2092051.36</v>
      </c>
      <c r="K357">
        <v>0.77969025442259499</v>
      </c>
      <c r="L357">
        <v>26438</v>
      </c>
      <c r="M357">
        <v>1.4141257458285701</v>
      </c>
      <c r="N357">
        <v>71.761972539526397</v>
      </c>
      <c r="O357">
        <v>1897243.03</v>
      </c>
      <c r="P357">
        <v>1.4141735991673401</v>
      </c>
      <c r="Q357">
        <v>2667</v>
      </c>
      <c r="R357">
        <v>0.14265350495970999</v>
      </c>
      <c r="S357">
        <v>73.043993250843698</v>
      </c>
      <c r="T357">
        <v>194808.33</v>
      </c>
      <c r="U357">
        <v>0.14520690963055699</v>
      </c>
      <c r="V357">
        <v>115</v>
      </c>
      <c r="W357">
        <v>0.56389134059037005</v>
      </c>
    </row>
    <row r="358" spans="1:23" hidden="1" x14ac:dyDescent="0.25">
      <c r="A358" t="s">
        <v>87</v>
      </c>
      <c r="B358">
        <v>11</v>
      </c>
      <c r="C358">
        <v>2025</v>
      </c>
      <c r="D358" t="s">
        <v>126</v>
      </c>
      <c r="E358" t="s">
        <v>127</v>
      </c>
      <c r="F358">
        <v>6941</v>
      </c>
      <c r="G358">
        <v>507163.73</v>
      </c>
      <c r="H358">
        <v>12427</v>
      </c>
      <c r="I358">
        <v>0.33235003864535301</v>
      </c>
      <c r="J358">
        <v>901375.91</v>
      </c>
      <c r="K358">
        <v>0.33593535323066698</v>
      </c>
      <c r="L358">
        <v>9684</v>
      </c>
      <c r="M358">
        <v>0.51798145557923903</v>
      </c>
      <c r="N358">
        <v>72.725095002065203</v>
      </c>
      <c r="O358">
        <v>704269.82</v>
      </c>
      <c r="P358">
        <v>0.52495108448722805</v>
      </c>
      <c r="Q358">
        <v>2743</v>
      </c>
      <c r="R358">
        <v>0.14671862171146799</v>
      </c>
      <c r="S358">
        <v>71.857852716004402</v>
      </c>
      <c r="T358">
        <v>197106.09</v>
      </c>
      <c r="U358">
        <v>0.14691962196001801</v>
      </c>
      <c r="V358">
        <v>187</v>
      </c>
      <c r="W358">
        <v>0.91693635382955796</v>
      </c>
    </row>
    <row r="359" spans="1:23" hidden="1" x14ac:dyDescent="0.25">
      <c r="A359" t="s">
        <v>87</v>
      </c>
      <c r="B359">
        <v>11</v>
      </c>
      <c r="C359">
        <v>2025</v>
      </c>
      <c r="D359" t="s">
        <v>128</v>
      </c>
      <c r="E359" t="s">
        <v>129</v>
      </c>
      <c r="F359">
        <v>-2000</v>
      </c>
      <c r="G359">
        <v>-137400</v>
      </c>
      <c r="H359">
        <v>2000</v>
      </c>
      <c r="I359">
        <v>5.34883783126021E-2</v>
      </c>
      <c r="J359">
        <v>137400</v>
      </c>
      <c r="K359">
        <v>5.1207844609352501E-2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2000</v>
      </c>
      <c r="R359">
        <v>0.10697675662520401</v>
      </c>
      <c r="S359">
        <v>68.7</v>
      </c>
      <c r="T359">
        <v>137400</v>
      </c>
      <c r="U359">
        <v>0.10241568922252201</v>
      </c>
      <c r="V359">
        <v>2</v>
      </c>
      <c r="W359">
        <v>9.8068059233107803E-3</v>
      </c>
    </row>
    <row r="360" spans="1:23" hidden="1" x14ac:dyDescent="0.25">
      <c r="A360" t="s">
        <v>87</v>
      </c>
      <c r="B360">
        <v>11</v>
      </c>
      <c r="C360">
        <v>2025</v>
      </c>
      <c r="D360" t="s">
        <v>175</v>
      </c>
      <c r="E360" t="s">
        <v>176</v>
      </c>
      <c r="F360">
        <v>-906</v>
      </c>
      <c r="G360">
        <v>-69362.820000000007</v>
      </c>
      <c r="H360">
        <v>1094</v>
      </c>
      <c r="I360">
        <v>2.92581429369934E-2</v>
      </c>
      <c r="J360">
        <v>83457.179999999993</v>
      </c>
      <c r="K360">
        <v>3.1103801346250098E-2</v>
      </c>
      <c r="L360">
        <v>94</v>
      </c>
      <c r="M360">
        <v>5.0279075613846001E-3</v>
      </c>
      <c r="N360">
        <v>74.97</v>
      </c>
      <c r="O360">
        <v>7047.18</v>
      </c>
      <c r="P360">
        <v>5.2528515045223798E-3</v>
      </c>
      <c r="Q360">
        <v>1000</v>
      </c>
      <c r="R360">
        <v>5.34883783126021E-2</v>
      </c>
      <c r="S360">
        <v>76.41</v>
      </c>
      <c r="T360">
        <v>76410</v>
      </c>
      <c r="U360">
        <v>5.6954751189904597E-2</v>
      </c>
      <c r="V360">
        <v>4</v>
      </c>
      <c r="W360">
        <v>1.9613611846621599E-2</v>
      </c>
    </row>
    <row r="361" spans="1:23" hidden="1" x14ac:dyDescent="0.25">
      <c r="A361" t="s">
        <v>87</v>
      </c>
      <c r="B361">
        <v>11</v>
      </c>
      <c r="C361">
        <v>2025</v>
      </c>
      <c r="D361" t="s">
        <v>130</v>
      </c>
      <c r="E361" t="s">
        <v>131</v>
      </c>
      <c r="F361">
        <v>21758</v>
      </c>
      <c r="G361">
        <v>1540364.15</v>
      </c>
      <c r="H361">
        <v>103930</v>
      </c>
      <c r="I361">
        <v>2.77952357901437</v>
      </c>
      <c r="J361">
        <v>7465745.6500000004</v>
      </c>
      <c r="K361">
        <v>2.7824217113402399</v>
      </c>
      <c r="L361">
        <v>62844</v>
      </c>
      <c r="M361">
        <v>3.3614236466771699</v>
      </c>
      <c r="N361">
        <v>71.654492075615806</v>
      </c>
      <c r="O361">
        <v>4503054.9000000004</v>
      </c>
      <c r="P361">
        <v>3.35650270128078</v>
      </c>
      <c r="Q361">
        <v>41086</v>
      </c>
      <c r="R361">
        <v>2.1976235113515701</v>
      </c>
      <c r="S361">
        <v>72.109495935355099</v>
      </c>
      <c r="T361">
        <v>2962690.75</v>
      </c>
      <c r="U361">
        <v>2.2083407213569202</v>
      </c>
      <c r="V361">
        <v>513</v>
      </c>
      <c r="W361">
        <v>2.5154457193292101</v>
      </c>
    </row>
    <row r="362" spans="1:23" hidden="1" x14ac:dyDescent="0.25">
      <c r="A362" t="s">
        <v>87</v>
      </c>
      <c r="B362">
        <v>11</v>
      </c>
      <c r="C362">
        <v>2025</v>
      </c>
      <c r="D362" t="s">
        <v>132</v>
      </c>
      <c r="E362" t="s">
        <v>133</v>
      </c>
      <c r="F362">
        <v>13086</v>
      </c>
      <c r="G362">
        <v>948802.89</v>
      </c>
      <c r="H362">
        <v>38300</v>
      </c>
      <c r="I362">
        <v>1.02430244468633</v>
      </c>
      <c r="J362">
        <v>2799960.17</v>
      </c>
      <c r="K362">
        <v>1.04352201817857</v>
      </c>
      <c r="L362">
        <v>25693</v>
      </c>
      <c r="M362">
        <v>1.3742769039856899</v>
      </c>
      <c r="N362">
        <v>72.953003931031802</v>
      </c>
      <c r="O362">
        <v>1874381.53</v>
      </c>
      <c r="P362">
        <v>1.3971330148952401</v>
      </c>
      <c r="Q362">
        <v>12607</v>
      </c>
      <c r="R362">
        <v>0.67432798538697503</v>
      </c>
      <c r="S362">
        <v>73.417834536368701</v>
      </c>
      <c r="T362">
        <v>925578.64</v>
      </c>
      <c r="U362">
        <v>0.68991102143554905</v>
      </c>
      <c r="V362">
        <v>272</v>
      </c>
      <c r="W362">
        <v>1.33372560557027</v>
      </c>
    </row>
    <row r="363" spans="1:23" hidden="1" x14ac:dyDescent="0.25">
      <c r="A363" t="s">
        <v>87</v>
      </c>
      <c r="B363">
        <v>11</v>
      </c>
      <c r="C363">
        <v>2025</v>
      </c>
      <c r="D363" t="s">
        <v>134</v>
      </c>
      <c r="E363" t="s">
        <v>135</v>
      </c>
      <c r="F363">
        <v>13142</v>
      </c>
      <c r="G363">
        <v>940952.42</v>
      </c>
      <c r="H363">
        <v>30306</v>
      </c>
      <c r="I363">
        <v>0.81050939657085996</v>
      </c>
      <c r="J363">
        <v>2170143.92</v>
      </c>
      <c r="K363">
        <v>0.80879470622482597</v>
      </c>
      <c r="L363">
        <v>21724</v>
      </c>
      <c r="M363">
        <v>1.1619815304629699</v>
      </c>
      <c r="N363">
        <v>71.605052936844004</v>
      </c>
      <c r="O363">
        <v>1555548.17</v>
      </c>
      <c r="P363">
        <v>1.1594798976528899</v>
      </c>
      <c r="Q363">
        <v>8582</v>
      </c>
      <c r="R363">
        <v>0.459037262678752</v>
      </c>
      <c r="S363">
        <v>71.614512934047994</v>
      </c>
      <c r="T363">
        <v>614595.75</v>
      </c>
      <c r="U363">
        <v>0.45810951477061701</v>
      </c>
      <c r="V363">
        <v>94</v>
      </c>
      <c r="W363">
        <v>0.460919878395606</v>
      </c>
    </row>
    <row r="364" spans="1:23" hidden="1" x14ac:dyDescent="0.25">
      <c r="A364" t="s">
        <v>87</v>
      </c>
      <c r="B364">
        <v>11</v>
      </c>
      <c r="C364">
        <v>2025</v>
      </c>
      <c r="D364" t="s">
        <v>136</v>
      </c>
      <c r="E364" t="s">
        <v>137</v>
      </c>
      <c r="F364">
        <v>-6795</v>
      </c>
      <c r="G364">
        <v>-437392.16</v>
      </c>
      <c r="H364">
        <v>20803</v>
      </c>
      <c r="I364">
        <v>0.55635936701853095</v>
      </c>
      <c r="J364">
        <v>1443118.36</v>
      </c>
      <c r="K364">
        <v>0.53783828771312703</v>
      </c>
      <c r="L364">
        <v>7004</v>
      </c>
      <c r="M364">
        <v>0.37463260170146501</v>
      </c>
      <c r="N364">
        <v>71.796559109080505</v>
      </c>
      <c r="O364">
        <v>502863.1</v>
      </c>
      <c r="P364">
        <v>0.374825844011901</v>
      </c>
      <c r="Q364">
        <v>13799</v>
      </c>
      <c r="R364">
        <v>0.73808613233559694</v>
      </c>
      <c r="S364">
        <v>68.139376766432306</v>
      </c>
      <c r="T364">
        <v>940255.26</v>
      </c>
      <c r="U364">
        <v>0.700850731426503</v>
      </c>
      <c r="V364">
        <v>34</v>
      </c>
      <c r="W364">
        <v>0.166715700696283</v>
      </c>
    </row>
    <row r="365" spans="1:23" hidden="1" x14ac:dyDescent="0.25">
      <c r="A365" t="s">
        <v>87</v>
      </c>
      <c r="B365">
        <v>11</v>
      </c>
      <c r="C365">
        <v>2025</v>
      </c>
      <c r="D365" t="s">
        <v>138</v>
      </c>
      <c r="E365" t="s">
        <v>139</v>
      </c>
      <c r="F365">
        <v>-37664</v>
      </c>
      <c r="G365">
        <v>-2796686.4</v>
      </c>
      <c r="H365">
        <v>58304</v>
      </c>
      <c r="I365">
        <v>1.55929320456898</v>
      </c>
      <c r="J365">
        <v>4277799.9800000004</v>
      </c>
      <c r="K365">
        <v>1.5943007033895999</v>
      </c>
      <c r="L365">
        <v>10320</v>
      </c>
      <c r="M365">
        <v>0.55200006418605396</v>
      </c>
      <c r="N365">
        <v>71.759378875969006</v>
      </c>
      <c r="O365">
        <v>740556.79</v>
      </c>
      <c r="P365">
        <v>0.55199879221699499</v>
      </c>
      <c r="Q365">
        <v>47984</v>
      </c>
      <c r="R365">
        <v>2.5665863449519</v>
      </c>
      <c r="S365">
        <v>73.717138837945996</v>
      </c>
      <c r="T365">
        <v>3537243.19</v>
      </c>
      <c r="U365">
        <v>2.6366026146399002</v>
      </c>
      <c r="V365">
        <v>176</v>
      </c>
      <c r="W365">
        <v>0.86299892125134803</v>
      </c>
    </row>
    <row r="366" spans="1:23" hidden="1" x14ac:dyDescent="0.25">
      <c r="A366" t="s">
        <v>87</v>
      </c>
      <c r="B366">
        <v>11</v>
      </c>
      <c r="C366">
        <v>2025</v>
      </c>
      <c r="D366" t="s">
        <v>140</v>
      </c>
      <c r="E366" t="s">
        <v>141</v>
      </c>
      <c r="F366">
        <v>730</v>
      </c>
      <c r="G366">
        <v>53107.6</v>
      </c>
      <c r="H366">
        <v>730</v>
      </c>
      <c r="I366">
        <v>1.9523258084099802E-2</v>
      </c>
      <c r="J366">
        <v>53107.6</v>
      </c>
      <c r="K366">
        <v>1.9792763670856198E-2</v>
      </c>
      <c r="L366">
        <v>730</v>
      </c>
      <c r="M366">
        <v>3.9046516168199603E-2</v>
      </c>
      <c r="N366">
        <v>72.750136986301399</v>
      </c>
      <c r="O366">
        <v>53107.6</v>
      </c>
      <c r="P366">
        <v>3.9585527340237202E-2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5</v>
      </c>
      <c r="W366">
        <v>2.45170148082769E-2</v>
      </c>
    </row>
    <row r="367" spans="1:23" hidden="1" x14ac:dyDescent="0.25">
      <c r="A367" t="s">
        <v>87</v>
      </c>
      <c r="B367">
        <v>11</v>
      </c>
      <c r="C367">
        <v>2025</v>
      </c>
      <c r="D367" t="s">
        <v>142</v>
      </c>
      <c r="E367" t="s">
        <v>143</v>
      </c>
      <c r="F367">
        <v>-18590</v>
      </c>
      <c r="G367">
        <v>-1051811.27</v>
      </c>
      <c r="H367">
        <v>138058</v>
      </c>
      <c r="I367">
        <v>3.6922492665406099</v>
      </c>
      <c r="J367">
        <v>9648901.0099999998</v>
      </c>
      <c r="K367">
        <v>3.5960656737343801</v>
      </c>
      <c r="L367">
        <v>59734</v>
      </c>
      <c r="M367">
        <v>3.1950747901249801</v>
      </c>
      <c r="N367">
        <v>71.961443566478096</v>
      </c>
      <c r="O367">
        <v>4298544.87</v>
      </c>
      <c r="P367">
        <v>3.2040643048192901</v>
      </c>
      <c r="Q367">
        <v>78324</v>
      </c>
      <c r="R367">
        <v>4.18942374295625</v>
      </c>
      <c r="S367">
        <v>68.310557938818206</v>
      </c>
      <c r="T367">
        <v>5350356.1399999997</v>
      </c>
      <c r="U367">
        <v>3.9880670426786899</v>
      </c>
      <c r="V367">
        <v>1347</v>
      </c>
      <c r="W367">
        <v>6.6048837893498096</v>
      </c>
    </row>
    <row r="368" spans="1:23" hidden="1" x14ac:dyDescent="0.25">
      <c r="A368" t="s">
        <v>87</v>
      </c>
      <c r="B368">
        <v>11</v>
      </c>
      <c r="C368">
        <v>2025</v>
      </c>
      <c r="D368" t="s">
        <v>144</v>
      </c>
      <c r="E368" t="s">
        <v>145</v>
      </c>
      <c r="F368">
        <v>-198023</v>
      </c>
      <c r="G368">
        <v>-14286860.08</v>
      </c>
      <c r="H368">
        <v>462237</v>
      </c>
      <c r="I368">
        <v>12.3621537630411</v>
      </c>
      <c r="J368">
        <v>32938589.16</v>
      </c>
      <c r="K368">
        <v>12.2759399953172</v>
      </c>
      <c r="L368">
        <v>132107</v>
      </c>
      <c r="M368">
        <v>7.0661891937429298</v>
      </c>
      <c r="N368">
        <v>70.593265610452093</v>
      </c>
      <c r="O368">
        <v>9325864.5399999991</v>
      </c>
      <c r="P368">
        <v>6.9513453012284199</v>
      </c>
      <c r="Q368">
        <v>330130</v>
      </c>
      <c r="R368">
        <v>17.658118332339299</v>
      </c>
      <c r="S368">
        <v>71.525534244085605</v>
      </c>
      <c r="T368">
        <v>23612724.620000001</v>
      </c>
      <c r="U368">
        <v>17.600534689802799</v>
      </c>
      <c r="V368">
        <v>1511</v>
      </c>
      <c r="W368">
        <v>7.4090418750612903</v>
      </c>
    </row>
    <row r="369" spans="1:23" hidden="1" x14ac:dyDescent="0.25">
      <c r="A369" t="s">
        <v>87</v>
      </c>
      <c r="B369">
        <v>11</v>
      </c>
      <c r="C369">
        <v>2025</v>
      </c>
      <c r="D369" t="s">
        <v>146</v>
      </c>
      <c r="E369" t="s">
        <v>147</v>
      </c>
      <c r="F369">
        <v>14054</v>
      </c>
      <c r="G369">
        <v>1011090.83</v>
      </c>
      <c r="H369">
        <v>42078</v>
      </c>
      <c r="I369">
        <v>1.1253419913188401</v>
      </c>
      <c r="J369">
        <v>2996395.63</v>
      </c>
      <c r="K369">
        <v>1.11673189089653</v>
      </c>
      <c r="L369">
        <v>28066</v>
      </c>
      <c r="M369">
        <v>1.5012048257214901</v>
      </c>
      <c r="N369">
        <v>71.393972422147797</v>
      </c>
      <c r="O369">
        <v>2003743.23</v>
      </c>
      <c r="P369">
        <v>1.4935570881376701</v>
      </c>
      <c r="Q369">
        <v>14012</v>
      </c>
      <c r="R369">
        <v>0.74947915691618106</v>
      </c>
      <c r="S369">
        <v>70.843020268341405</v>
      </c>
      <c r="T369">
        <v>992652.4</v>
      </c>
      <c r="U369">
        <v>0.739906693627296</v>
      </c>
      <c r="V369">
        <v>208</v>
      </c>
      <c r="W369">
        <v>1.01990781602432</v>
      </c>
    </row>
    <row r="370" spans="1:23" x14ac:dyDescent="0.25">
      <c r="A370" t="s">
        <v>87</v>
      </c>
      <c r="B370">
        <v>11</v>
      </c>
      <c r="C370">
        <v>2025</v>
      </c>
      <c r="D370" t="s">
        <v>148</v>
      </c>
      <c r="E370" t="s">
        <v>148</v>
      </c>
      <c r="F370">
        <v>0</v>
      </c>
      <c r="G370">
        <v>1.00000039863062E-2</v>
      </c>
      <c r="H370">
        <v>3739130</v>
      </c>
      <c r="I370">
        <v>0</v>
      </c>
      <c r="J370">
        <v>268318264.61000001</v>
      </c>
      <c r="K370">
        <v>0</v>
      </c>
      <c r="L370">
        <v>1869565</v>
      </c>
      <c r="M370">
        <v>100</v>
      </c>
      <c r="N370">
        <v>71.942045300093397</v>
      </c>
      <c r="O370">
        <v>134159132.31</v>
      </c>
      <c r="P370">
        <v>100</v>
      </c>
      <c r="Q370">
        <v>1869565</v>
      </c>
      <c r="R370">
        <v>100</v>
      </c>
      <c r="S370">
        <v>71.844177254415897</v>
      </c>
      <c r="T370">
        <v>134159132.3</v>
      </c>
      <c r="U370">
        <v>100</v>
      </c>
      <c r="V370">
        <v>20394</v>
      </c>
      <c r="W370">
        <v>100</v>
      </c>
    </row>
    <row r="371" spans="1:23" hidden="1" x14ac:dyDescent="0.25">
      <c r="A371" t="s">
        <v>87</v>
      </c>
      <c r="B371">
        <v>11</v>
      </c>
      <c r="C371">
        <v>2025</v>
      </c>
      <c r="D371" t="s">
        <v>149</v>
      </c>
      <c r="E371" t="s">
        <v>150</v>
      </c>
      <c r="F371">
        <v>52421</v>
      </c>
      <c r="G371">
        <v>3838318.58</v>
      </c>
      <c r="H371">
        <v>334883</v>
      </c>
      <c r="I371">
        <v>8.9561742972295697</v>
      </c>
      <c r="J371">
        <v>23995484.5</v>
      </c>
      <c r="K371">
        <v>8.9429187889528805</v>
      </c>
      <c r="L371">
        <v>193652</v>
      </c>
      <c r="M371">
        <v>10.358131436992</v>
      </c>
      <c r="N371">
        <v>71.865519282010993</v>
      </c>
      <c r="O371">
        <v>13916901.539999999</v>
      </c>
      <c r="P371">
        <v>10.3734284057848</v>
      </c>
      <c r="Q371">
        <v>141231</v>
      </c>
      <c r="R371">
        <v>7.55421715746711</v>
      </c>
      <c r="S371">
        <v>71.362398906755601</v>
      </c>
      <c r="T371">
        <v>10078582.960000001</v>
      </c>
      <c r="U371">
        <v>7.5124091720142996</v>
      </c>
      <c r="V371">
        <v>1746</v>
      </c>
      <c r="W371">
        <v>8.5613415710503098</v>
      </c>
    </row>
    <row r="372" spans="1:23" hidden="1" x14ac:dyDescent="0.25">
      <c r="A372" t="s">
        <v>87</v>
      </c>
      <c r="B372">
        <v>11</v>
      </c>
      <c r="C372">
        <v>2025</v>
      </c>
      <c r="D372" t="s">
        <v>151</v>
      </c>
      <c r="E372" t="s">
        <v>152</v>
      </c>
      <c r="F372">
        <v>-810</v>
      </c>
      <c r="G372">
        <v>-120135.660000002</v>
      </c>
      <c r="H372">
        <v>456968</v>
      </c>
      <c r="I372">
        <v>12.2212386303766</v>
      </c>
      <c r="J372">
        <v>32937075.16</v>
      </c>
      <c r="K372">
        <v>12.275375740028</v>
      </c>
      <c r="L372">
        <v>228079</v>
      </c>
      <c r="M372">
        <v>12.199575837159999</v>
      </c>
      <c r="N372">
        <v>71.942045300093397</v>
      </c>
      <c r="O372">
        <v>16408469.75</v>
      </c>
      <c r="P372">
        <v>12.230602171818701</v>
      </c>
      <c r="Q372">
        <v>228889</v>
      </c>
      <c r="R372">
        <v>12.242901423593199</v>
      </c>
      <c r="S372">
        <v>72.212318678486099</v>
      </c>
      <c r="T372">
        <v>16528605.41</v>
      </c>
      <c r="U372">
        <v>12.3201493082406</v>
      </c>
      <c r="V372">
        <v>2470</v>
      </c>
      <c r="W372">
        <v>12.111405315288801</v>
      </c>
    </row>
    <row r="373" spans="1:23" hidden="1" x14ac:dyDescent="0.25">
      <c r="A373" t="s">
        <v>87</v>
      </c>
      <c r="B373">
        <v>11</v>
      </c>
      <c r="C373">
        <v>2025</v>
      </c>
      <c r="D373" t="s">
        <v>153</v>
      </c>
      <c r="E373" t="s">
        <v>154</v>
      </c>
      <c r="F373">
        <v>113</v>
      </c>
      <c r="G373">
        <v>6330.50000000003</v>
      </c>
      <c r="H373">
        <v>6689</v>
      </c>
      <c r="I373">
        <v>0.17889188126649799</v>
      </c>
      <c r="J373">
        <v>491284.96</v>
      </c>
      <c r="K373">
        <v>0.183097844909694</v>
      </c>
      <c r="L373">
        <v>3401</v>
      </c>
      <c r="M373">
        <v>0.18191397464115999</v>
      </c>
      <c r="N373">
        <v>73.157227286092294</v>
      </c>
      <c r="O373">
        <v>248807.73</v>
      </c>
      <c r="P373">
        <v>0.185457169941352</v>
      </c>
      <c r="Q373">
        <v>3288</v>
      </c>
      <c r="R373">
        <v>0.17586978789183599</v>
      </c>
      <c r="S373">
        <v>73.746116180048702</v>
      </c>
      <c r="T373">
        <v>242477.23</v>
      </c>
      <c r="U373">
        <v>0.18073851987785999</v>
      </c>
      <c r="V373">
        <v>198</v>
      </c>
      <c r="W373">
        <v>0.970873786407767</v>
      </c>
    </row>
    <row r="374" spans="1:23" hidden="1" x14ac:dyDescent="0.25">
      <c r="A374" t="s">
        <v>87</v>
      </c>
      <c r="B374">
        <v>11</v>
      </c>
      <c r="C374">
        <v>2025</v>
      </c>
      <c r="D374" t="s">
        <v>155</v>
      </c>
      <c r="E374" t="s">
        <v>156</v>
      </c>
      <c r="F374">
        <v>10818</v>
      </c>
      <c r="G374">
        <v>779009.15</v>
      </c>
      <c r="H374">
        <v>10818</v>
      </c>
      <c r="I374">
        <v>0.28931863829286503</v>
      </c>
      <c r="J374">
        <v>779009.15</v>
      </c>
      <c r="K374">
        <v>0.29033027294369501</v>
      </c>
      <c r="L374">
        <v>10818</v>
      </c>
      <c r="M374">
        <v>0.57863727658573005</v>
      </c>
      <c r="N374">
        <v>72.010459419485997</v>
      </c>
      <c r="O374">
        <v>779009.15</v>
      </c>
      <c r="P374">
        <v>0.58066054586575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26</v>
      </c>
      <c r="W374">
        <v>0.12748847700304</v>
      </c>
    </row>
    <row r="375" spans="1:23" hidden="1" x14ac:dyDescent="0.25">
      <c r="A375" t="s">
        <v>87</v>
      </c>
      <c r="B375">
        <v>12</v>
      </c>
      <c r="C375">
        <v>2025</v>
      </c>
      <c r="D375" t="s">
        <v>88</v>
      </c>
      <c r="E375" t="s">
        <v>89</v>
      </c>
      <c r="F375">
        <v>69647</v>
      </c>
      <c r="G375">
        <v>5406234.1699999999</v>
      </c>
      <c r="H375">
        <v>317173</v>
      </c>
      <c r="I375">
        <v>3.17218171867674</v>
      </c>
      <c r="J375">
        <v>29292559.289999999</v>
      </c>
      <c r="K375">
        <v>3.17390808059942</v>
      </c>
      <c r="L375">
        <v>193410</v>
      </c>
      <c r="M375">
        <v>3.8687509101296</v>
      </c>
      <c r="N375">
        <v>89.702687193009695</v>
      </c>
      <c r="O375">
        <v>17349396.73</v>
      </c>
      <c r="P375">
        <v>3.75968449375361</v>
      </c>
      <c r="Q375">
        <v>123763</v>
      </c>
      <c r="R375">
        <v>2.47561252722388</v>
      </c>
      <c r="S375">
        <v>96.500267123453696</v>
      </c>
      <c r="T375">
        <v>11943162.560000001</v>
      </c>
      <c r="U375">
        <v>2.5881316673944599</v>
      </c>
      <c r="V375">
        <v>1453</v>
      </c>
      <c r="W375">
        <v>2.82388152524585</v>
      </c>
    </row>
    <row r="376" spans="1:23" hidden="1" x14ac:dyDescent="0.25">
      <c r="A376" t="s">
        <v>87</v>
      </c>
      <c r="B376">
        <v>12</v>
      </c>
      <c r="C376">
        <v>2025</v>
      </c>
      <c r="D376" t="s">
        <v>90</v>
      </c>
      <c r="E376" t="s">
        <v>91</v>
      </c>
      <c r="F376">
        <v>32762</v>
      </c>
      <c r="G376">
        <v>2502794.69</v>
      </c>
      <c r="H376">
        <v>510070</v>
      </c>
      <c r="I376">
        <v>5.1014264431254999</v>
      </c>
      <c r="J376">
        <v>47072174.57</v>
      </c>
      <c r="K376">
        <v>5.1003653781154403</v>
      </c>
      <c r="L376">
        <v>271416</v>
      </c>
      <c r="M376">
        <v>5.4290931028578502</v>
      </c>
      <c r="N376">
        <v>91.326541655613497</v>
      </c>
      <c r="O376">
        <v>24787484.629999999</v>
      </c>
      <c r="P376">
        <v>5.3715482476356398</v>
      </c>
      <c r="Q376">
        <v>238654</v>
      </c>
      <c r="R376">
        <v>4.7737597833931504</v>
      </c>
      <c r="S376">
        <v>93.376561633159298</v>
      </c>
      <c r="T376">
        <v>22284689.940000001</v>
      </c>
      <c r="U376">
        <v>4.8291825085717299</v>
      </c>
      <c r="V376">
        <v>4241</v>
      </c>
      <c r="W376">
        <v>8.2423135227581898</v>
      </c>
    </row>
    <row r="377" spans="1:23" hidden="1" x14ac:dyDescent="0.25">
      <c r="A377" t="s">
        <v>87</v>
      </c>
      <c r="B377">
        <v>12</v>
      </c>
      <c r="C377">
        <v>2025</v>
      </c>
      <c r="D377" t="s">
        <v>92</v>
      </c>
      <c r="E377" t="s">
        <v>93</v>
      </c>
      <c r="F377">
        <v>22183</v>
      </c>
      <c r="G377">
        <v>2062166.37</v>
      </c>
      <c r="H377">
        <v>29367</v>
      </c>
      <c r="I377">
        <v>0.293711824563818</v>
      </c>
      <c r="J377">
        <v>2752893.65</v>
      </c>
      <c r="K377">
        <v>0.298281598212849</v>
      </c>
      <c r="L377">
        <v>25775</v>
      </c>
      <c r="M377">
        <v>0.51557341765467402</v>
      </c>
      <c r="N377">
        <v>93.405625994180397</v>
      </c>
      <c r="O377">
        <v>2407530.0099999998</v>
      </c>
      <c r="P377">
        <v>0.52172149773898602</v>
      </c>
      <c r="Q377">
        <v>3592</v>
      </c>
      <c r="R377">
        <v>7.1850231472961698E-2</v>
      </c>
      <c r="S377">
        <v>96.148006681514502</v>
      </c>
      <c r="T377">
        <v>345363.64</v>
      </c>
      <c r="U377">
        <v>7.4841698667343595E-2</v>
      </c>
      <c r="V377">
        <v>82</v>
      </c>
      <c r="W377">
        <v>0.159365646985657</v>
      </c>
    </row>
    <row r="378" spans="1:23" hidden="1" x14ac:dyDescent="0.25">
      <c r="A378" t="s">
        <v>87</v>
      </c>
      <c r="B378">
        <v>12</v>
      </c>
      <c r="C378">
        <v>2025</v>
      </c>
      <c r="D378" t="s">
        <v>94</v>
      </c>
      <c r="E378" t="s">
        <v>95</v>
      </c>
      <c r="F378">
        <v>-449997</v>
      </c>
      <c r="G378">
        <v>-40509464.060000002</v>
      </c>
      <c r="H378">
        <v>883611</v>
      </c>
      <c r="I378">
        <v>8.8373684412660403</v>
      </c>
      <c r="J378">
        <v>83677176.760000005</v>
      </c>
      <c r="K378">
        <v>9.0665914456636791</v>
      </c>
      <c r="L378">
        <v>216807</v>
      </c>
      <c r="M378">
        <v>4.3367575542757297</v>
      </c>
      <c r="N378">
        <v>99.553318619786296</v>
      </c>
      <c r="O378">
        <v>21583856.350000001</v>
      </c>
      <c r="P378">
        <v>4.6773090325487301</v>
      </c>
      <c r="Q378">
        <v>666804</v>
      </c>
      <c r="R378">
        <v>13.337979328256299</v>
      </c>
      <c r="S378">
        <v>93.120797730667505</v>
      </c>
      <c r="T378">
        <v>62093320.409999996</v>
      </c>
      <c r="U378">
        <v>13.4558738591591</v>
      </c>
      <c r="V378">
        <v>3857</v>
      </c>
      <c r="W378">
        <v>7.49601585882536</v>
      </c>
    </row>
    <row r="379" spans="1:23" hidden="1" x14ac:dyDescent="0.25">
      <c r="A379" t="s">
        <v>87</v>
      </c>
      <c r="B379">
        <v>12</v>
      </c>
      <c r="C379">
        <v>2025</v>
      </c>
      <c r="D379" t="s">
        <v>96</v>
      </c>
      <c r="E379" t="s">
        <v>97</v>
      </c>
      <c r="F379">
        <v>26803</v>
      </c>
      <c r="G379">
        <v>2390029.23</v>
      </c>
      <c r="H379">
        <v>46027</v>
      </c>
      <c r="I379">
        <v>0.46033555178257402</v>
      </c>
      <c r="J379">
        <v>4352742.6100000003</v>
      </c>
      <c r="K379">
        <v>0.47162847076201703</v>
      </c>
      <c r="L379">
        <v>36415</v>
      </c>
      <c r="M379">
        <v>0.72840372469039605</v>
      </c>
      <c r="N379">
        <v>92.582340244404804</v>
      </c>
      <c r="O379">
        <v>3371385.92</v>
      </c>
      <c r="P379">
        <v>0.73059297468052398</v>
      </c>
      <c r="Q379">
        <v>9612</v>
      </c>
      <c r="R379">
        <v>0.19226737887475201</v>
      </c>
      <c r="S379">
        <v>102.097033915938</v>
      </c>
      <c r="T379">
        <v>981356.69</v>
      </c>
      <c r="U379">
        <v>0.212663966821064</v>
      </c>
      <c r="V379">
        <v>287</v>
      </c>
      <c r="W379">
        <v>0.55777976444980004</v>
      </c>
    </row>
    <row r="380" spans="1:23" hidden="1" x14ac:dyDescent="0.25">
      <c r="A380" t="s">
        <v>87</v>
      </c>
      <c r="B380">
        <v>12</v>
      </c>
      <c r="C380">
        <v>2025</v>
      </c>
      <c r="D380" t="s">
        <v>98</v>
      </c>
      <c r="E380" t="s">
        <v>99</v>
      </c>
      <c r="F380">
        <v>3000</v>
      </c>
      <c r="G380">
        <v>244440</v>
      </c>
      <c r="H380">
        <v>3000</v>
      </c>
      <c r="I380">
        <v>3.00042726084194E-2</v>
      </c>
      <c r="J380">
        <v>244440</v>
      </c>
      <c r="K380">
        <v>2.6485568691383601E-2</v>
      </c>
      <c r="L380">
        <v>3000</v>
      </c>
      <c r="M380">
        <v>6.0008545216838897E-2</v>
      </c>
      <c r="N380">
        <v>81.48</v>
      </c>
      <c r="O380">
        <v>244440</v>
      </c>
      <c r="P380">
        <v>5.2971137380471503E-2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12</v>
      </c>
      <c r="W380">
        <v>2.3321801997901001E-2</v>
      </c>
    </row>
    <row r="381" spans="1:23" hidden="1" x14ac:dyDescent="0.25">
      <c r="A381" t="s">
        <v>87</v>
      </c>
      <c r="B381">
        <v>12</v>
      </c>
      <c r="C381">
        <v>2025</v>
      </c>
      <c r="D381" t="s">
        <v>157</v>
      </c>
      <c r="E381" t="s">
        <v>158</v>
      </c>
      <c r="F381">
        <v>-205</v>
      </c>
      <c r="G381">
        <v>-20705</v>
      </c>
      <c r="H381">
        <v>205</v>
      </c>
      <c r="I381">
        <v>2.0502919615753299E-3</v>
      </c>
      <c r="J381">
        <v>20705</v>
      </c>
      <c r="K381">
        <v>2.2434286522463498E-3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205</v>
      </c>
      <c r="R381">
        <v>4.1005839231506597E-3</v>
      </c>
      <c r="S381">
        <v>101</v>
      </c>
      <c r="T381">
        <v>20705</v>
      </c>
      <c r="U381">
        <v>4.4868573046871699E-3</v>
      </c>
      <c r="V381">
        <v>3</v>
      </c>
      <c r="W381">
        <v>5.8304504994752598E-3</v>
      </c>
    </row>
    <row r="382" spans="1:23" hidden="1" x14ac:dyDescent="0.25">
      <c r="A382" t="s">
        <v>87</v>
      </c>
      <c r="B382">
        <v>12</v>
      </c>
      <c r="C382">
        <v>2025</v>
      </c>
      <c r="D382" t="s">
        <v>100</v>
      </c>
      <c r="E382" t="s">
        <v>101</v>
      </c>
      <c r="F382">
        <v>-3761</v>
      </c>
      <c r="G382">
        <v>-384097.61999999703</v>
      </c>
      <c r="H382">
        <v>732529</v>
      </c>
      <c r="I382">
        <v>7.3263332698576296</v>
      </c>
      <c r="J382">
        <v>64086311.68</v>
      </c>
      <c r="K382">
        <v>6.9438815667569198</v>
      </c>
      <c r="L382">
        <v>364384</v>
      </c>
      <c r="M382">
        <v>7.2887179134308697</v>
      </c>
      <c r="N382">
        <v>87.4108276708088</v>
      </c>
      <c r="O382">
        <v>31851107.030000001</v>
      </c>
      <c r="P382">
        <v>6.9022638120038904</v>
      </c>
      <c r="Q382">
        <v>368145</v>
      </c>
      <c r="R382">
        <v>7.3639486262843796</v>
      </c>
      <c r="S382">
        <v>87.561163807738794</v>
      </c>
      <c r="T382">
        <v>32235204.649999999</v>
      </c>
      <c r="U382">
        <v>6.9854993215135597</v>
      </c>
      <c r="V382">
        <v>52</v>
      </c>
      <c r="W382">
        <v>0.101061141990905</v>
      </c>
    </row>
    <row r="383" spans="1:23" hidden="1" x14ac:dyDescent="0.25">
      <c r="A383" t="s">
        <v>87</v>
      </c>
      <c r="B383">
        <v>12</v>
      </c>
      <c r="C383">
        <v>2025</v>
      </c>
      <c r="D383" t="s">
        <v>159</v>
      </c>
      <c r="E383" t="s">
        <v>160</v>
      </c>
      <c r="F383">
        <v>170</v>
      </c>
      <c r="G383">
        <v>17209.099999999999</v>
      </c>
      <c r="H383">
        <v>170</v>
      </c>
      <c r="I383">
        <v>1.7002421144770999E-3</v>
      </c>
      <c r="J383">
        <v>17209.099999999999</v>
      </c>
      <c r="K383">
        <v>1.86464081233387E-3</v>
      </c>
      <c r="L383">
        <v>170</v>
      </c>
      <c r="M383">
        <v>3.4004842289541998E-3</v>
      </c>
      <c r="N383">
        <v>101.23</v>
      </c>
      <c r="O383">
        <v>17209.099999999999</v>
      </c>
      <c r="P383">
        <v>3.7292816245061001E-3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4</v>
      </c>
      <c r="W383">
        <v>7.7739339993003502E-3</v>
      </c>
    </row>
    <row r="384" spans="1:23" hidden="1" x14ac:dyDescent="0.25">
      <c r="A384" t="s">
        <v>87</v>
      </c>
      <c r="B384">
        <v>12</v>
      </c>
      <c r="C384">
        <v>2025</v>
      </c>
      <c r="D384" t="s">
        <v>102</v>
      </c>
      <c r="E384" t="s">
        <v>103</v>
      </c>
      <c r="F384">
        <v>278915</v>
      </c>
      <c r="G384">
        <v>25313536.920000002</v>
      </c>
      <c r="H384">
        <v>1221593</v>
      </c>
      <c r="I384">
        <v>12.217669796179001</v>
      </c>
      <c r="J384">
        <v>114757748.88</v>
      </c>
      <c r="K384">
        <v>12.434234334928</v>
      </c>
      <c r="L384">
        <v>750254</v>
      </c>
      <c r="M384">
        <v>15.0072170277047</v>
      </c>
      <c r="N384">
        <v>93.3492429230634</v>
      </c>
      <c r="O384">
        <v>70035642.900000006</v>
      </c>
      <c r="P384">
        <v>15.177007288437</v>
      </c>
      <c r="Q384">
        <v>471339</v>
      </c>
      <c r="R384">
        <v>9.4281225646532096</v>
      </c>
      <c r="S384">
        <v>94.883101080114301</v>
      </c>
      <c r="T384">
        <v>44722105.979999997</v>
      </c>
      <c r="U384">
        <v>9.6914613811812007</v>
      </c>
      <c r="V384">
        <v>9079</v>
      </c>
      <c r="W384">
        <v>17.644886694912</v>
      </c>
    </row>
    <row r="385" spans="1:23" hidden="1" x14ac:dyDescent="0.25">
      <c r="A385" t="s">
        <v>87</v>
      </c>
      <c r="B385">
        <v>12</v>
      </c>
      <c r="C385">
        <v>2025</v>
      </c>
      <c r="D385" t="s">
        <v>161</v>
      </c>
      <c r="E385" t="s">
        <v>162</v>
      </c>
      <c r="F385">
        <v>1443</v>
      </c>
      <c r="G385">
        <v>136364.14000000001</v>
      </c>
      <c r="H385">
        <v>1443</v>
      </c>
      <c r="I385">
        <v>1.4432055124649699E-2</v>
      </c>
      <c r="J385">
        <v>136364.14000000001</v>
      </c>
      <c r="K385">
        <v>1.4775330539238501E-2</v>
      </c>
      <c r="L385">
        <v>1443</v>
      </c>
      <c r="M385">
        <v>2.88641102492995E-2</v>
      </c>
      <c r="N385">
        <v>94.500443520443497</v>
      </c>
      <c r="O385">
        <v>136364.14000000001</v>
      </c>
      <c r="P385">
        <v>2.95506610771962E-2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10</v>
      </c>
      <c r="W385">
        <v>1.94348349982509E-2</v>
      </c>
    </row>
    <row r="386" spans="1:23" hidden="1" x14ac:dyDescent="0.25">
      <c r="A386" t="s">
        <v>87</v>
      </c>
      <c r="B386">
        <v>12</v>
      </c>
      <c r="C386">
        <v>2025</v>
      </c>
      <c r="D386" t="s">
        <v>104</v>
      </c>
      <c r="E386" t="s">
        <v>105</v>
      </c>
      <c r="F386">
        <v>87992</v>
      </c>
      <c r="G386">
        <v>8525781.9400000107</v>
      </c>
      <c r="H386">
        <v>557170</v>
      </c>
      <c r="I386">
        <v>5.5724935230776902</v>
      </c>
      <c r="J386">
        <v>51964960.280000001</v>
      </c>
      <c r="K386">
        <v>5.63050861168779</v>
      </c>
      <c r="L386">
        <v>322581</v>
      </c>
      <c r="M386">
        <v>6.4525388415310303</v>
      </c>
      <c r="N386">
        <v>93.760547304398003</v>
      </c>
      <c r="O386">
        <v>30245371.109999999</v>
      </c>
      <c r="P386">
        <v>6.5542943388608803</v>
      </c>
      <c r="Q386">
        <v>234589</v>
      </c>
      <c r="R386">
        <v>4.6924482046243403</v>
      </c>
      <c r="S386">
        <v>92.5857101995405</v>
      </c>
      <c r="T386">
        <v>21719589.170000002</v>
      </c>
      <c r="U386">
        <v>4.7067228844346198</v>
      </c>
      <c r="V386">
        <v>4953</v>
      </c>
      <c r="W386">
        <v>9.6260737746336495</v>
      </c>
    </row>
    <row r="387" spans="1:23" hidden="1" x14ac:dyDescent="0.25">
      <c r="A387" t="s">
        <v>87</v>
      </c>
      <c r="B387">
        <v>12</v>
      </c>
      <c r="C387">
        <v>2025</v>
      </c>
      <c r="D387" t="s">
        <v>106</v>
      </c>
      <c r="E387" t="s">
        <v>107</v>
      </c>
      <c r="F387">
        <v>-81725</v>
      </c>
      <c r="G387">
        <v>-7990235.7000000002</v>
      </c>
      <c r="H387">
        <v>400977</v>
      </c>
      <c r="I387">
        <v>4.0103410725687301</v>
      </c>
      <c r="J387">
        <v>36343140.460000001</v>
      </c>
      <c r="K387">
        <v>3.9378528191537101</v>
      </c>
      <c r="L387">
        <v>159626</v>
      </c>
      <c r="M387">
        <v>3.1929746795943701</v>
      </c>
      <c r="N387">
        <v>88.810421735807395</v>
      </c>
      <c r="O387">
        <v>14176452.380000001</v>
      </c>
      <c r="P387">
        <v>3.0720946104921101</v>
      </c>
      <c r="Q387">
        <v>241351</v>
      </c>
      <c r="R387">
        <v>4.8277074655430896</v>
      </c>
      <c r="S387">
        <v>91.844194057617301</v>
      </c>
      <c r="T387">
        <v>22166688.079999998</v>
      </c>
      <c r="U387">
        <v>4.8036110278903603</v>
      </c>
      <c r="V387">
        <v>1445</v>
      </c>
      <c r="W387">
        <v>2.8083336572472501</v>
      </c>
    </row>
    <row r="388" spans="1:23" hidden="1" x14ac:dyDescent="0.25">
      <c r="A388" t="s">
        <v>87</v>
      </c>
      <c r="B388">
        <v>12</v>
      </c>
      <c r="C388">
        <v>2025</v>
      </c>
      <c r="D388" t="s">
        <v>108</v>
      </c>
      <c r="E388" t="s">
        <v>109</v>
      </c>
      <c r="F388">
        <v>-4739</v>
      </c>
      <c r="G388">
        <v>-468328.09</v>
      </c>
      <c r="H388">
        <v>10545</v>
      </c>
      <c r="I388">
        <v>0.105465018218594</v>
      </c>
      <c r="J388">
        <v>947036.93</v>
      </c>
      <c r="K388">
        <v>0.102613367954476</v>
      </c>
      <c r="L388">
        <v>2903</v>
      </c>
      <c r="M388">
        <v>5.8068268921494401E-2</v>
      </c>
      <c r="N388">
        <v>82.4507130554599</v>
      </c>
      <c r="O388">
        <v>239354.42</v>
      </c>
      <c r="P388">
        <v>5.1869071610387299E-2</v>
      </c>
      <c r="Q388">
        <v>7642</v>
      </c>
      <c r="R388">
        <v>0.152861767515694</v>
      </c>
      <c r="S388">
        <v>92.604358806595101</v>
      </c>
      <c r="T388">
        <v>707682.51</v>
      </c>
      <c r="U388">
        <v>0.15335766430296299</v>
      </c>
      <c r="V388">
        <v>43</v>
      </c>
      <c r="W388">
        <v>8.3569790492478702E-2</v>
      </c>
    </row>
    <row r="389" spans="1:23" hidden="1" x14ac:dyDescent="0.25">
      <c r="A389" t="s">
        <v>87</v>
      </c>
      <c r="B389">
        <v>12</v>
      </c>
      <c r="C389">
        <v>2025</v>
      </c>
      <c r="D389" t="s">
        <v>110</v>
      </c>
      <c r="E389" t="s">
        <v>111</v>
      </c>
      <c r="F389">
        <v>51333</v>
      </c>
      <c r="G389">
        <v>4509404.5999999996</v>
      </c>
      <c r="H389">
        <v>115627</v>
      </c>
      <c r="I389">
        <v>1.1564346762979001</v>
      </c>
      <c r="J389">
        <v>10731365.279999999</v>
      </c>
      <c r="K389">
        <v>1.1627651459489801</v>
      </c>
      <c r="L389">
        <v>83480</v>
      </c>
      <c r="M389">
        <v>1.6698377849005701</v>
      </c>
      <c r="N389">
        <v>91.283959511260207</v>
      </c>
      <c r="O389">
        <v>7620384.9400000004</v>
      </c>
      <c r="P389">
        <v>1.65136826030443</v>
      </c>
      <c r="Q389">
        <v>32147</v>
      </c>
      <c r="R389">
        <v>0.64303156769523995</v>
      </c>
      <c r="S389">
        <v>96.7735819827667</v>
      </c>
      <c r="T389">
        <v>3110980.34</v>
      </c>
      <c r="U389">
        <v>0.67416203155118004</v>
      </c>
      <c r="V389">
        <v>873</v>
      </c>
      <c r="W389">
        <v>1.6966610953473</v>
      </c>
    </row>
    <row r="390" spans="1:23" hidden="1" x14ac:dyDescent="0.25">
      <c r="A390" t="s">
        <v>87</v>
      </c>
      <c r="B390">
        <v>12</v>
      </c>
      <c r="C390">
        <v>2025</v>
      </c>
      <c r="D390" t="s">
        <v>112</v>
      </c>
      <c r="E390" t="s">
        <v>113</v>
      </c>
      <c r="F390">
        <v>925</v>
      </c>
      <c r="G390">
        <v>90987.35</v>
      </c>
      <c r="H390">
        <v>1055</v>
      </c>
      <c r="I390">
        <v>1.05515025339608E-2</v>
      </c>
      <c r="J390">
        <v>101484.85</v>
      </c>
      <c r="K390">
        <v>1.09960888799287E-2</v>
      </c>
      <c r="L390">
        <v>990</v>
      </c>
      <c r="M390">
        <v>1.9802819921556799E-2</v>
      </c>
      <c r="N390">
        <v>97.208181818181799</v>
      </c>
      <c r="O390">
        <v>96236.1</v>
      </c>
      <c r="P390">
        <v>2.0854752389382999E-2</v>
      </c>
      <c r="Q390">
        <v>65</v>
      </c>
      <c r="R390">
        <v>1.3001851463648401E-3</v>
      </c>
      <c r="S390">
        <v>80.75</v>
      </c>
      <c r="T390">
        <v>5248.75</v>
      </c>
      <c r="U390">
        <v>1.13742536961974E-3</v>
      </c>
      <c r="V390">
        <v>8</v>
      </c>
      <c r="W390">
        <v>1.55478679986007E-2</v>
      </c>
    </row>
    <row r="391" spans="1:23" hidden="1" x14ac:dyDescent="0.25">
      <c r="A391" t="s">
        <v>87</v>
      </c>
      <c r="B391">
        <v>12</v>
      </c>
      <c r="C391">
        <v>2025</v>
      </c>
      <c r="D391" t="s">
        <v>167</v>
      </c>
      <c r="E391" t="s">
        <v>168</v>
      </c>
      <c r="F391">
        <v>450</v>
      </c>
      <c r="G391">
        <v>45940.5</v>
      </c>
      <c r="H391">
        <v>450</v>
      </c>
      <c r="I391">
        <v>4.5006408912629204E-3</v>
      </c>
      <c r="J391">
        <v>45940.5</v>
      </c>
      <c r="K391">
        <v>4.9777461482020504E-3</v>
      </c>
      <c r="L391">
        <v>450</v>
      </c>
      <c r="M391">
        <v>9.0012817825258305E-3</v>
      </c>
      <c r="N391">
        <v>102.09</v>
      </c>
      <c r="O391">
        <v>45940.5</v>
      </c>
      <c r="P391">
        <v>9.9554922959726299E-3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2</v>
      </c>
      <c r="W391">
        <v>3.8869669996501699E-3</v>
      </c>
    </row>
    <row r="392" spans="1:23" hidden="1" x14ac:dyDescent="0.25">
      <c r="A392" t="s">
        <v>87</v>
      </c>
      <c r="B392">
        <v>12</v>
      </c>
      <c r="C392">
        <v>2025</v>
      </c>
      <c r="D392" t="s">
        <v>163</v>
      </c>
      <c r="E392" t="s">
        <v>164</v>
      </c>
      <c r="F392">
        <v>140</v>
      </c>
      <c r="G392">
        <v>14564.26</v>
      </c>
      <c r="H392">
        <v>140</v>
      </c>
      <c r="I392">
        <v>1.40019938839291E-3</v>
      </c>
      <c r="J392">
        <v>14564.26</v>
      </c>
      <c r="K392">
        <v>1.57806704577471E-3</v>
      </c>
      <c r="L392">
        <v>140</v>
      </c>
      <c r="M392">
        <v>2.8003987767858101E-3</v>
      </c>
      <c r="N392">
        <v>104.030428571429</v>
      </c>
      <c r="O392">
        <v>14564.26</v>
      </c>
      <c r="P392">
        <v>3.1561340914126402E-3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2</v>
      </c>
      <c r="W392">
        <v>3.8869669996501699E-3</v>
      </c>
    </row>
    <row r="393" spans="1:23" hidden="1" x14ac:dyDescent="0.25">
      <c r="A393" t="s">
        <v>87</v>
      </c>
      <c r="B393">
        <v>12</v>
      </c>
      <c r="C393">
        <v>2025</v>
      </c>
      <c r="D393" t="s">
        <v>116</v>
      </c>
      <c r="E393" t="s">
        <v>117</v>
      </c>
      <c r="F393">
        <v>15062</v>
      </c>
      <c r="G393">
        <v>1348560.01</v>
      </c>
      <c r="H393">
        <v>26548</v>
      </c>
      <c r="I393">
        <v>0.265517809736106</v>
      </c>
      <c r="J393">
        <v>2378939.11</v>
      </c>
      <c r="K393">
        <v>0.25776286700427098</v>
      </c>
      <c r="L393">
        <v>20805</v>
      </c>
      <c r="M393">
        <v>0.41615926107877799</v>
      </c>
      <c r="N393">
        <v>89.581810141792801</v>
      </c>
      <c r="O393">
        <v>1863749.56</v>
      </c>
      <c r="P393">
        <v>0.40388207325132203</v>
      </c>
      <c r="Q393">
        <v>5743</v>
      </c>
      <c r="R393">
        <v>0.114876358393435</v>
      </c>
      <c r="S393">
        <v>89.707391607173903</v>
      </c>
      <c r="T393">
        <v>515189.55</v>
      </c>
      <c r="U393">
        <v>0.11164366074455399</v>
      </c>
      <c r="V393">
        <v>201</v>
      </c>
      <c r="W393">
        <v>0.39064018346484197</v>
      </c>
    </row>
    <row r="394" spans="1:23" hidden="1" x14ac:dyDescent="0.25">
      <c r="A394" t="s">
        <v>87</v>
      </c>
      <c r="B394">
        <v>12</v>
      </c>
      <c r="C394">
        <v>2025</v>
      </c>
      <c r="D394" t="s">
        <v>118</v>
      </c>
      <c r="E394" t="s">
        <v>119</v>
      </c>
      <c r="F394">
        <v>-11572</v>
      </c>
      <c r="G394">
        <v>-1357794.24</v>
      </c>
      <c r="H394">
        <v>46846</v>
      </c>
      <c r="I394">
        <v>0.46852671820467201</v>
      </c>
      <c r="J394">
        <v>4448493.3600000003</v>
      </c>
      <c r="K394">
        <v>0.48200325830242202</v>
      </c>
      <c r="L394">
        <v>17637</v>
      </c>
      <c r="M394">
        <v>0.35279023732979597</v>
      </c>
      <c r="N394">
        <v>87.619751658445296</v>
      </c>
      <c r="O394">
        <v>1545349.56</v>
      </c>
      <c r="P394">
        <v>0.33488350451485499</v>
      </c>
      <c r="Q394">
        <v>29209</v>
      </c>
      <c r="R394">
        <v>0.58426319907954904</v>
      </c>
      <c r="S394">
        <v>99.392098325858498</v>
      </c>
      <c r="T394">
        <v>2903143.8</v>
      </c>
      <c r="U394">
        <v>0.62912301210274202</v>
      </c>
      <c r="V394">
        <v>212</v>
      </c>
      <c r="W394">
        <v>0.412018501962918</v>
      </c>
    </row>
    <row r="395" spans="1:23" hidden="1" x14ac:dyDescent="0.25">
      <c r="A395" t="s">
        <v>87</v>
      </c>
      <c r="B395">
        <v>12</v>
      </c>
      <c r="C395">
        <v>2025</v>
      </c>
      <c r="D395" t="s">
        <v>120</v>
      </c>
      <c r="E395" t="s">
        <v>121</v>
      </c>
      <c r="F395">
        <v>-2282</v>
      </c>
      <c r="G395">
        <v>-186872.25</v>
      </c>
      <c r="H395">
        <v>4138</v>
      </c>
      <c r="I395">
        <v>4.1385893351213197E-2</v>
      </c>
      <c r="J395">
        <v>354930.83</v>
      </c>
      <c r="K395">
        <v>3.8457473730383003E-2</v>
      </c>
      <c r="L395">
        <v>928</v>
      </c>
      <c r="M395">
        <v>1.85626433204088E-2</v>
      </c>
      <c r="N395">
        <v>90.548803879310398</v>
      </c>
      <c r="O395">
        <v>84029.29</v>
      </c>
      <c r="P395">
        <v>1.8209487254841599E-2</v>
      </c>
      <c r="Q395">
        <v>3210</v>
      </c>
      <c r="R395">
        <v>6.4209143382017594E-2</v>
      </c>
      <c r="S395">
        <v>84.393003115264804</v>
      </c>
      <c r="T395">
        <v>270901.53999999998</v>
      </c>
      <c r="U395">
        <v>5.87054602076795E-2</v>
      </c>
      <c r="V395">
        <v>11</v>
      </c>
      <c r="W395">
        <v>2.1378318498076001E-2</v>
      </c>
    </row>
    <row r="396" spans="1:23" hidden="1" x14ac:dyDescent="0.25">
      <c r="A396" t="s">
        <v>87</v>
      </c>
      <c r="B396">
        <v>12</v>
      </c>
      <c r="C396">
        <v>2025</v>
      </c>
      <c r="D396" t="s">
        <v>122</v>
      </c>
      <c r="E396" t="s">
        <v>123</v>
      </c>
      <c r="F396">
        <v>-249826</v>
      </c>
      <c r="G396">
        <v>-21340082.420000002</v>
      </c>
      <c r="H396">
        <v>1202096</v>
      </c>
      <c r="I396">
        <v>12.022672028496901</v>
      </c>
      <c r="J396">
        <v>110607782.62</v>
      </c>
      <c r="K396">
        <v>11.984577092062001</v>
      </c>
      <c r="L396">
        <v>476135</v>
      </c>
      <c r="M396">
        <v>9.5240562256065306</v>
      </c>
      <c r="N396">
        <v>93.7420061537169</v>
      </c>
      <c r="O396">
        <v>44633850.100000001</v>
      </c>
      <c r="P396">
        <v>9.6723359739259998</v>
      </c>
      <c r="Q396">
        <v>725961</v>
      </c>
      <c r="R396">
        <v>14.5212878313872</v>
      </c>
      <c r="S396">
        <v>90.878067168897502</v>
      </c>
      <c r="T396">
        <v>65973932.520000003</v>
      </c>
      <c r="U396">
        <v>14.2968182103985</v>
      </c>
      <c r="V396">
        <v>4935</v>
      </c>
      <c r="W396">
        <v>9.5910910716368001</v>
      </c>
    </row>
    <row r="397" spans="1:23" hidden="1" x14ac:dyDescent="0.25">
      <c r="A397" t="s">
        <v>87</v>
      </c>
      <c r="B397">
        <v>12</v>
      </c>
      <c r="C397">
        <v>2025</v>
      </c>
      <c r="D397" t="s">
        <v>124</v>
      </c>
      <c r="E397" t="s">
        <v>125</v>
      </c>
      <c r="F397">
        <v>-29590</v>
      </c>
      <c r="G397">
        <v>-2974194.13</v>
      </c>
      <c r="H397">
        <v>39934</v>
      </c>
      <c r="I397">
        <v>0.39939687411487401</v>
      </c>
      <c r="J397">
        <v>3953130.79</v>
      </c>
      <c r="K397">
        <v>0.42832972134089597</v>
      </c>
      <c r="L397">
        <v>5172</v>
      </c>
      <c r="M397">
        <v>0.10345473195383</v>
      </c>
      <c r="N397">
        <v>94.6381148491879</v>
      </c>
      <c r="O397">
        <v>489468.33</v>
      </c>
      <c r="P397">
        <v>0.106069768253232</v>
      </c>
      <c r="Q397">
        <v>34762</v>
      </c>
      <c r="R397">
        <v>0.69533901627591799</v>
      </c>
      <c r="S397">
        <v>99.639332029227305</v>
      </c>
      <c r="T397">
        <v>3463662.46</v>
      </c>
      <c r="U397">
        <v>0.75058967445649505</v>
      </c>
      <c r="V397">
        <v>220</v>
      </c>
      <c r="W397">
        <v>0.42756636996151898</v>
      </c>
    </row>
    <row r="398" spans="1:23" hidden="1" x14ac:dyDescent="0.25">
      <c r="A398" t="s">
        <v>87</v>
      </c>
      <c r="B398">
        <v>12</v>
      </c>
      <c r="C398">
        <v>2025</v>
      </c>
      <c r="D398" t="s">
        <v>126</v>
      </c>
      <c r="E398" t="s">
        <v>127</v>
      </c>
      <c r="F398">
        <v>6186</v>
      </c>
      <c r="G398">
        <v>620637.41</v>
      </c>
      <c r="H398">
        <v>20638</v>
      </c>
      <c r="I398">
        <v>0.20640939269752001</v>
      </c>
      <c r="J398">
        <v>2052553.69</v>
      </c>
      <c r="K398">
        <v>0.222398346216855</v>
      </c>
      <c r="L398">
        <v>13412</v>
      </c>
      <c r="M398">
        <v>0.268278202816081</v>
      </c>
      <c r="N398">
        <v>99.656691768565494</v>
      </c>
      <c r="O398">
        <v>1336595.55</v>
      </c>
      <c r="P398">
        <v>0.28964566560782501</v>
      </c>
      <c r="Q398">
        <v>7226</v>
      </c>
      <c r="R398">
        <v>0.14454058257895899</v>
      </c>
      <c r="S398">
        <v>99.080838638250796</v>
      </c>
      <c r="T398">
        <v>715958.14</v>
      </c>
      <c r="U398">
        <v>0.15515102682005499</v>
      </c>
      <c r="V398">
        <v>277</v>
      </c>
      <c r="W398">
        <v>0.53834492945154899</v>
      </c>
    </row>
    <row r="399" spans="1:23" hidden="1" x14ac:dyDescent="0.25">
      <c r="A399" t="s">
        <v>87</v>
      </c>
      <c r="B399">
        <v>12</v>
      </c>
      <c r="C399">
        <v>2025</v>
      </c>
      <c r="D399" t="s">
        <v>128</v>
      </c>
      <c r="E399" t="s">
        <v>129</v>
      </c>
      <c r="F399">
        <v>-4650</v>
      </c>
      <c r="G399">
        <v>-375316.95</v>
      </c>
      <c r="H399">
        <v>4650</v>
      </c>
      <c r="I399">
        <v>4.6506622543050102E-2</v>
      </c>
      <c r="J399">
        <v>375316.95</v>
      </c>
      <c r="K399">
        <v>4.0666351089288198E-2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4650</v>
      </c>
      <c r="R399">
        <v>9.3013245086100302E-2</v>
      </c>
      <c r="S399">
        <v>80.713322580645197</v>
      </c>
      <c r="T399">
        <v>375316.95</v>
      </c>
      <c r="U399">
        <v>8.1332702182101396E-2</v>
      </c>
      <c r="V399">
        <v>23</v>
      </c>
      <c r="W399">
        <v>4.4700120495976998E-2</v>
      </c>
    </row>
    <row r="400" spans="1:23" hidden="1" x14ac:dyDescent="0.25">
      <c r="A400" t="s">
        <v>87</v>
      </c>
      <c r="B400">
        <v>12</v>
      </c>
      <c r="C400">
        <v>2025</v>
      </c>
      <c r="D400" t="s">
        <v>175</v>
      </c>
      <c r="E400" t="s">
        <v>176</v>
      </c>
      <c r="F400">
        <v>-119</v>
      </c>
      <c r="G400">
        <v>13645.93</v>
      </c>
      <c r="H400">
        <v>10183</v>
      </c>
      <c r="I400">
        <v>0.101844502657178</v>
      </c>
      <c r="J400">
        <v>976148.41</v>
      </c>
      <c r="K400">
        <v>0.10576765572754</v>
      </c>
      <c r="L400">
        <v>5032</v>
      </c>
      <c r="M400">
        <v>0.100654333177044</v>
      </c>
      <c r="N400">
        <v>98.349994038155799</v>
      </c>
      <c r="O400">
        <v>494897.17</v>
      </c>
      <c r="P400">
        <v>0.107246219854674</v>
      </c>
      <c r="Q400">
        <v>5151</v>
      </c>
      <c r="R400">
        <v>0.103034672137312</v>
      </c>
      <c r="S400">
        <v>93.428701223063499</v>
      </c>
      <c r="T400">
        <v>481251.24</v>
      </c>
      <c r="U400">
        <v>0.10428909160027799</v>
      </c>
      <c r="V400">
        <v>36</v>
      </c>
      <c r="W400">
        <v>6.99654059937031E-2</v>
      </c>
    </row>
    <row r="401" spans="1:23" hidden="1" x14ac:dyDescent="0.25">
      <c r="A401" t="s">
        <v>87</v>
      </c>
      <c r="B401">
        <v>12</v>
      </c>
      <c r="C401">
        <v>2025</v>
      </c>
      <c r="D401" t="s">
        <v>130</v>
      </c>
      <c r="E401" t="s">
        <v>131</v>
      </c>
      <c r="F401">
        <v>114313</v>
      </c>
      <c r="G401">
        <v>10722632.109999999</v>
      </c>
      <c r="H401">
        <v>250307</v>
      </c>
      <c r="I401">
        <v>2.5034264879318799</v>
      </c>
      <c r="J401">
        <v>23813532.969999999</v>
      </c>
      <c r="K401">
        <v>2.58024449051491</v>
      </c>
      <c r="L401">
        <v>182310</v>
      </c>
      <c r="M401">
        <v>3.6467192928272998</v>
      </c>
      <c r="N401">
        <v>94.718241127749394</v>
      </c>
      <c r="O401">
        <v>17268082.539999999</v>
      </c>
      <c r="P401">
        <v>3.7420633796582399</v>
      </c>
      <c r="Q401">
        <v>67997</v>
      </c>
      <c r="R401">
        <v>1.3601336830364601</v>
      </c>
      <c r="S401">
        <v>96.260870773710593</v>
      </c>
      <c r="T401">
        <v>6545450.4299999997</v>
      </c>
      <c r="U401">
        <v>1.41842560127087</v>
      </c>
      <c r="V401">
        <v>1324</v>
      </c>
      <c r="W401">
        <v>2.57317215376841</v>
      </c>
    </row>
    <row r="402" spans="1:23" hidden="1" x14ac:dyDescent="0.25">
      <c r="A402" t="s">
        <v>87</v>
      </c>
      <c r="B402">
        <v>12</v>
      </c>
      <c r="C402">
        <v>2025</v>
      </c>
      <c r="D402" t="s">
        <v>132</v>
      </c>
      <c r="E402" t="s">
        <v>133</v>
      </c>
      <c r="F402">
        <v>27410</v>
      </c>
      <c r="G402">
        <v>2327382.1800000002</v>
      </c>
      <c r="H402">
        <v>98818</v>
      </c>
      <c r="I402">
        <v>0.98832073687293098</v>
      </c>
      <c r="J402">
        <v>8858564.2200000007</v>
      </c>
      <c r="K402">
        <v>0.95984336097137701</v>
      </c>
      <c r="L402">
        <v>63114</v>
      </c>
      <c r="M402">
        <v>1.26245977427186</v>
      </c>
      <c r="N402">
        <v>88.616997813480396</v>
      </c>
      <c r="O402">
        <v>5592973.2000000002</v>
      </c>
      <c r="P402">
        <v>1.2120199302180299</v>
      </c>
      <c r="Q402">
        <v>35704</v>
      </c>
      <c r="R402">
        <v>0.71418169947400501</v>
      </c>
      <c r="S402">
        <v>91.462889872283199</v>
      </c>
      <c r="T402">
        <v>3265591.02</v>
      </c>
      <c r="U402">
        <v>0.70766679170286495</v>
      </c>
      <c r="V402">
        <v>634</v>
      </c>
      <c r="W402">
        <v>1.2321685388890999</v>
      </c>
    </row>
    <row r="403" spans="1:23" hidden="1" x14ac:dyDescent="0.25">
      <c r="A403" t="s">
        <v>87</v>
      </c>
      <c r="B403">
        <v>12</v>
      </c>
      <c r="C403">
        <v>2025</v>
      </c>
      <c r="D403" t="s">
        <v>134</v>
      </c>
      <c r="E403" t="s">
        <v>135</v>
      </c>
      <c r="F403">
        <v>35083</v>
      </c>
      <c r="G403">
        <v>3254904.47</v>
      </c>
      <c r="H403">
        <v>43449</v>
      </c>
      <c r="I403">
        <v>0.43455188018773899</v>
      </c>
      <c r="J403">
        <v>3978378.43</v>
      </c>
      <c r="K403">
        <v>0.43106535423041997</v>
      </c>
      <c r="L403">
        <v>39266</v>
      </c>
      <c r="M403">
        <v>0.78543184549479805</v>
      </c>
      <c r="N403">
        <v>92.106184739978602</v>
      </c>
      <c r="O403">
        <v>3616641.45</v>
      </c>
      <c r="P403">
        <v>0.78374084071288497</v>
      </c>
      <c r="Q403">
        <v>4183</v>
      </c>
      <c r="R403">
        <v>8.3671914880679002E-2</v>
      </c>
      <c r="S403">
        <v>86.477881902940496</v>
      </c>
      <c r="T403">
        <v>361736.98</v>
      </c>
      <c r="U403">
        <v>7.8389867717386E-2</v>
      </c>
      <c r="V403">
        <v>168</v>
      </c>
      <c r="W403">
        <v>0.32650522797061499</v>
      </c>
    </row>
    <row r="404" spans="1:23" hidden="1" x14ac:dyDescent="0.25">
      <c r="A404" t="s">
        <v>87</v>
      </c>
      <c r="B404">
        <v>12</v>
      </c>
      <c r="C404">
        <v>2025</v>
      </c>
      <c r="D404" t="s">
        <v>177</v>
      </c>
      <c r="E404" t="s">
        <v>178</v>
      </c>
      <c r="F404">
        <v>-1995</v>
      </c>
      <c r="G404">
        <v>-194126.75</v>
      </c>
      <c r="H404">
        <v>2239</v>
      </c>
      <c r="I404">
        <v>2.2393188790083701E-2</v>
      </c>
      <c r="J404">
        <v>213915.15</v>
      </c>
      <c r="K404">
        <v>2.31781394184775E-2</v>
      </c>
      <c r="L404">
        <v>122</v>
      </c>
      <c r="M404">
        <v>2.4403475054847802E-3</v>
      </c>
      <c r="N404">
        <v>81.099999999999994</v>
      </c>
      <c r="O404">
        <v>9894.2000000000007</v>
      </c>
      <c r="P404">
        <v>2.1441131871619201E-3</v>
      </c>
      <c r="Q404">
        <v>2117</v>
      </c>
      <c r="R404">
        <v>4.23460300746826E-2</v>
      </c>
      <c r="S404">
        <v>96.372673594709497</v>
      </c>
      <c r="T404">
        <v>204020.95</v>
      </c>
      <c r="U404">
        <v>4.42121656516163E-2</v>
      </c>
      <c r="V404">
        <v>88</v>
      </c>
      <c r="W404">
        <v>0.17102654798460801</v>
      </c>
    </row>
    <row r="405" spans="1:23" hidden="1" x14ac:dyDescent="0.25">
      <c r="A405" t="s">
        <v>87</v>
      </c>
      <c r="B405">
        <v>12</v>
      </c>
      <c r="C405">
        <v>2025</v>
      </c>
      <c r="D405" t="s">
        <v>136</v>
      </c>
      <c r="E405" t="s">
        <v>137</v>
      </c>
      <c r="F405">
        <v>-6270</v>
      </c>
      <c r="G405">
        <v>-671040.19999999995</v>
      </c>
      <c r="H405">
        <v>48174</v>
      </c>
      <c r="I405">
        <v>0.48180860954599902</v>
      </c>
      <c r="J405">
        <v>4338124.1399999997</v>
      </c>
      <c r="K405">
        <v>0.47004452995303397</v>
      </c>
      <c r="L405">
        <v>20952</v>
      </c>
      <c r="M405">
        <v>0.41909967979440299</v>
      </c>
      <c r="N405">
        <v>87.511548778159593</v>
      </c>
      <c r="O405">
        <v>1833541.97</v>
      </c>
      <c r="P405">
        <v>0.39733596623191902</v>
      </c>
      <c r="Q405">
        <v>27222</v>
      </c>
      <c r="R405">
        <v>0.54451753929759605</v>
      </c>
      <c r="S405">
        <v>92.005810373962206</v>
      </c>
      <c r="T405">
        <v>2504582.17</v>
      </c>
      <c r="U405">
        <v>0.54275309368045099</v>
      </c>
      <c r="V405">
        <v>234</v>
      </c>
      <c r="W405">
        <v>0.45477513895907001</v>
      </c>
    </row>
    <row r="406" spans="1:23" hidden="1" x14ac:dyDescent="0.25">
      <c r="A406" t="s">
        <v>87</v>
      </c>
      <c r="B406">
        <v>12</v>
      </c>
      <c r="C406">
        <v>2025</v>
      </c>
      <c r="D406" t="s">
        <v>171</v>
      </c>
      <c r="E406" t="s">
        <v>172</v>
      </c>
      <c r="F406">
        <v>-75</v>
      </c>
      <c r="G406">
        <v>-6131.58</v>
      </c>
      <c r="H406">
        <v>75</v>
      </c>
      <c r="I406">
        <v>7.5010681521048598E-4</v>
      </c>
      <c r="J406">
        <v>6131.58</v>
      </c>
      <c r="K406">
        <v>6.6436910193386504E-4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75</v>
      </c>
      <c r="R406">
        <v>1.50021363042097E-3</v>
      </c>
      <c r="S406">
        <v>81.754400000000004</v>
      </c>
      <c r="T406">
        <v>6131.58</v>
      </c>
      <c r="U406">
        <v>1.3287382039253201E-3</v>
      </c>
      <c r="V406">
        <v>2</v>
      </c>
      <c r="W406">
        <v>3.8869669996501699E-3</v>
      </c>
    </row>
    <row r="407" spans="1:23" hidden="1" x14ac:dyDescent="0.25">
      <c r="A407" t="s">
        <v>87</v>
      </c>
      <c r="B407">
        <v>12</v>
      </c>
      <c r="C407">
        <v>2025</v>
      </c>
      <c r="D407" t="s">
        <v>138</v>
      </c>
      <c r="E407" t="s">
        <v>139</v>
      </c>
      <c r="F407">
        <v>15000</v>
      </c>
      <c r="G407">
        <v>1273570.1399999999</v>
      </c>
      <c r="H407">
        <v>23644</v>
      </c>
      <c r="I407">
        <v>0.236473673851156</v>
      </c>
      <c r="J407">
        <v>2095890.32</v>
      </c>
      <c r="K407">
        <v>0.22709395778091199</v>
      </c>
      <c r="L407">
        <v>19322</v>
      </c>
      <c r="M407">
        <v>0.38649503689325398</v>
      </c>
      <c r="N407">
        <v>87.192331539178099</v>
      </c>
      <c r="O407">
        <v>1684730.23</v>
      </c>
      <c r="P407">
        <v>0.36508785985257403</v>
      </c>
      <c r="Q407">
        <v>4322</v>
      </c>
      <c r="R407">
        <v>8.6452310809059199E-2</v>
      </c>
      <c r="S407">
        <v>95.131904211013406</v>
      </c>
      <c r="T407">
        <v>411160.09</v>
      </c>
      <c r="U407">
        <v>8.9100055697287295E-2</v>
      </c>
      <c r="V407">
        <v>111</v>
      </c>
      <c r="W407">
        <v>0.215726668480585</v>
      </c>
    </row>
    <row r="408" spans="1:23" hidden="1" x14ac:dyDescent="0.25">
      <c r="A408" t="s">
        <v>87</v>
      </c>
      <c r="B408">
        <v>12</v>
      </c>
      <c r="C408">
        <v>2025</v>
      </c>
      <c r="D408" t="s">
        <v>140</v>
      </c>
      <c r="E408" t="s">
        <v>141</v>
      </c>
      <c r="F408">
        <v>2002</v>
      </c>
      <c r="G408">
        <v>153553.48000000001</v>
      </c>
      <c r="H408">
        <v>7766</v>
      </c>
      <c r="I408">
        <v>7.7671060358995098E-2</v>
      </c>
      <c r="J408">
        <v>730780.5</v>
      </c>
      <c r="K408">
        <v>7.9181546109776096E-2</v>
      </c>
      <c r="L408">
        <v>4884</v>
      </c>
      <c r="M408">
        <v>9.7693911613013704E-2</v>
      </c>
      <c r="N408">
        <v>90.533781736281696</v>
      </c>
      <c r="O408">
        <v>442166.99</v>
      </c>
      <c r="P408">
        <v>9.5819376421205804E-2</v>
      </c>
      <c r="Q408">
        <v>2882</v>
      </c>
      <c r="R408">
        <v>5.7648209104976499E-2</v>
      </c>
      <c r="S408">
        <v>100.14348022206801</v>
      </c>
      <c r="T408">
        <v>288613.51</v>
      </c>
      <c r="U408">
        <v>6.2543715796904306E-2</v>
      </c>
      <c r="V408">
        <v>28</v>
      </c>
      <c r="W408">
        <v>5.4417537995102398E-2</v>
      </c>
    </row>
    <row r="409" spans="1:23" hidden="1" x14ac:dyDescent="0.25">
      <c r="A409" t="s">
        <v>87</v>
      </c>
      <c r="B409">
        <v>12</v>
      </c>
      <c r="C409">
        <v>2025</v>
      </c>
      <c r="D409" t="s">
        <v>142</v>
      </c>
      <c r="E409" t="s">
        <v>143</v>
      </c>
      <c r="F409">
        <v>75468</v>
      </c>
      <c r="G409">
        <v>6754113.8600000003</v>
      </c>
      <c r="H409">
        <v>568146</v>
      </c>
      <c r="I409">
        <v>5.68226915512769</v>
      </c>
      <c r="J409">
        <v>51169408.140000001</v>
      </c>
      <c r="K409">
        <v>5.5443089273008299</v>
      </c>
      <c r="L409">
        <v>321807</v>
      </c>
      <c r="M409">
        <v>6.4370566368650897</v>
      </c>
      <c r="N409">
        <v>89.997299623687496</v>
      </c>
      <c r="O409">
        <v>28961761</v>
      </c>
      <c r="P409">
        <v>6.27613083256169</v>
      </c>
      <c r="Q409">
        <v>246339</v>
      </c>
      <c r="R409">
        <v>4.9274816733902904</v>
      </c>
      <c r="S409">
        <v>90.150756234295002</v>
      </c>
      <c r="T409">
        <v>22207647.140000001</v>
      </c>
      <c r="U409">
        <v>4.8124870219765299</v>
      </c>
      <c r="V409">
        <v>2821</v>
      </c>
      <c r="W409">
        <v>5.4825669530065699</v>
      </c>
    </row>
    <row r="410" spans="1:23" hidden="1" x14ac:dyDescent="0.25">
      <c r="A410" t="s">
        <v>87</v>
      </c>
      <c r="B410">
        <v>12</v>
      </c>
      <c r="C410">
        <v>2025</v>
      </c>
      <c r="D410" t="s">
        <v>144</v>
      </c>
      <c r="E410" t="s">
        <v>145</v>
      </c>
      <c r="F410">
        <v>-95959</v>
      </c>
      <c r="G410">
        <v>-7865852.6199999899</v>
      </c>
      <c r="H410">
        <v>834657</v>
      </c>
      <c r="I410">
        <v>8.3477587208418491</v>
      </c>
      <c r="J410">
        <v>73723597.579999998</v>
      </c>
      <c r="K410">
        <v>7.9881009977132003</v>
      </c>
      <c r="L410">
        <v>369349</v>
      </c>
      <c r="M410">
        <v>7.3880320557647403</v>
      </c>
      <c r="N410">
        <v>89.153815172100096</v>
      </c>
      <c r="O410">
        <v>32928872.48</v>
      </c>
      <c r="P410">
        <v>7.1358199473167501</v>
      </c>
      <c r="Q410">
        <v>465308</v>
      </c>
      <c r="R410">
        <v>9.3074853859189606</v>
      </c>
      <c r="S410">
        <v>87.672520352110894</v>
      </c>
      <c r="T410">
        <v>40794725.100000001</v>
      </c>
      <c r="U410">
        <v>8.84038204818353</v>
      </c>
      <c r="V410">
        <v>2697</v>
      </c>
      <c r="W410">
        <v>5.2415749990282601</v>
      </c>
    </row>
    <row r="411" spans="1:23" hidden="1" x14ac:dyDescent="0.25">
      <c r="A411" t="s">
        <v>87</v>
      </c>
      <c r="B411">
        <v>12</v>
      </c>
      <c r="C411">
        <v>2025</v>
      </c>
      <c r="D411" t="s">
        <v>165</v>
      </c>
      <c r="E411" t="s">
        <v>166</v>
      </c>
      <c r="F411">
        <v>-5000</v>
      </c>
      <c r="G411">
        <v>-452396.25</v>
      </c>
      <c r="H411">
        <v>5000</v>
      </c>
      <c r="I411">
        <v>5.0007121014032402E-2</v>
      </c>
      <c r="J411">
        <v>452396.25</v>
      </c>
      <c r="K411">
        <v>4.9018049235392602E-2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5000</v>
      </c>
      <c r="R411">
        <v>0.100014242028065</v>
      </c>
      <c r="S411">
        <v>90.479249999999993</v>
      </c>
      <c r="T411">
        <v>452396.25</v>
      </c>
      <c r="U411">
        <v>9.8036098475034195E-2</v>
      </c>
      <c r="V411">
        <v>36</v>
      </c>
      <c r="W411">
        <v>6.99654059937031E-2</v>
      </c>
    </row>
    <row r="412" spans="1:23" hidden="1" x14ac:dyDescent="0.25">
      <c r="A412" t="s">
        <v>87</v>
      </c>
      <c r="B412">
        <v>12</v>
      </c>
      <c r="C412">
        <v>2025</v>
      </c>
      <c r="D412" t="s">
        <v>146</v>
      </c>
      <c r="E412" t="s">
        <v>147</v>
      </c>
      <c r="F412">
        <v>11809</v>
      </c>
      <c r="G412">
        <v>1034985.51</v>
      </c>
      <c r="H412">
        <v>108685</v>
      </c>
      <c r="I412">
        <v>1.0870047894820201</v>
      </c>
      <c r="J412">
        <v>10133159.890000001</v>
      </c>
      <c r="K412">
        <v>1.0979483813098001</v>
      </c>
      <c r="L412">
        <v>60247</v>
      </c>
      <c r="M412">
        <v>1.20511160789296</v>
      </c>
      <c r="N412">
        <v>92.686319650770997</v>
      </c>
      <c r="O412">
        <v>5584072.7000000002</v>
      </c>
      <c r="P412">
        <v>1.2100911558429099</v>
      </c>
      <c r="Q412">
        <v>48438</v>
      </c>
      <c r="R412">
        <v>0.96889797107108</v>
      </c>
      <c r="S412">
        <v>93.915669309219993</v>
      </c>
      <c r="T412">
        <v>4549087.1900000004</v>
      </c>
      <c r="U412">
        <v>0.98580560676698004</v>
      </c>
      <c r="V412">
        <v>659</v>
      </c>
      <c r="W412">
        <v>1.28075562638473</v>
      </c>
    </row>
    <row r="413" spans="1:23" x14ac:dyDescent="0.25">
      <c r="A413" t="s">
        <v>87</v>
      </c>
      <c r="B413">
        <v>12</v>
      </c>
      <c r="C413">
        <v>2025</v>
      </c>
      <c r="D413" t="s">
        <v>148</v>
      </c>
      <c r="E413" t="s">
        <v>148</v>
      </c>
      <c r="F413">
        <v>0</v>
      </c>
      <c r="G413">
        <v>4.0000005335969001E-2</v>
      </c>
      <c r="H413">
        <v>9998576</v>
      </c>
      <c r="I413">
        <v>0</v>
      </c>
      <c r="J413">
        <v>922917694.72000003</v>
      </c>
      <c r="K413">
        <v>0</v>
      </c>
      <c r="L413">
        <v>4999288</v>
      </c>
      <c r="M413">
        <v>100</v>
      </c>
      <c r="N413">
        <v>90.938362478692198</v>
      </c>
      <c r="O413">
        <v>461458847.38</v>
      </c>
      <c r="P413">
        <v>100</v>
      </c>
      <c r="Q413">
        <v>4999288</v>
      </c>
      <c r="R413">
        <v>100</v>
      </c>
      <c r="S413">
        <v>92.295760286751303</v>
      </c>
      <c r="T413">
        <v>461458847.33999997</v>
      </c>
      <c r="U413">
        <v>100</v>
      </c>
      <c r="V413">
        <v>51454</v>
      </c>
      <c r="W413">
        <v>100</v>
      </c>
    </row>
    <row r="414" spans="1:23" hidden="1" x14ac:dyDescent="0.25">
      <c r="A414" t="s">
        <v>87</v>
      </c>
      <c r="B414">
        <v>12</v>
      </c>
      <c r="C414">
        <v>2025</v>
      </c>
      <c r="D414" t="s">
        <v>149</v>
      </c>
      <c r="E414" t="s">
        <v>150</v>
      </c>
      <c r="F414">
        <v>51796</v>
      </c>
      <c r="G414">
        <v>4385098.6199999899</v>
      </c>
      <c r="H414">
        <v>634784</v>
      </c>
      <c r="I414">
        <v>6.34874406115431</v>
      </c>
      <c r="J414">
        <v>57814082.280000001</v>
      </c>
      <c r="K414">
        <v>6.2642728176904203</v>
      </c>
      <c r="L414">
        <v>343290</v>
      </c>
      <c r="M414">
        <v>6.8667778291628698</v>
      </c>
      <c r="N414">
        <v>90.592765446124304</v>
      </c>
      <c r="O414">
        <v>31099590.449999999</v>
      </c>
      <c r="P414">
        <v>6.7394071273251104</v>
      </c>
      <c r="Q414">
        <v>291494</v>
      </c>
      <c r="R414">
        <v>5.8307102931457404</v>
      </c>
      <c r="S414">
        <v>91.646798321749401</v>
      </c>
      <c r="T414">
        <v>26714491.829999998</v>
      </c>
      <c r="U414">
        <v>5.7891385080145499</v>
      </c>
      <c r="V414">
        <v>3705</v>
      </c>
      <c r="W414">
        <v>7.2006063668519502</v>
      </c>
    </row>
    <row r="415" spans="1:23" hidden="1" x14ac:dyDescent="0.25">
      <c r="A415" t="s">
        <v>87</v>
      </c>
      <c r="B415">
        <v>12</v>
      </c>
      <c r="C415">
        <v>2025</v>
      </c>
      <c r="D415" t="s">
        <v>151</v>
      </c>
      <c r="E415" t="s">
        <v>152</v>
      </c>
      <c r="F415">
        <v>13093</v>
      </c>
      <c r="G415">
        <v>1194256.1399999999</v>
      </c>
      <c r="H415">
        <v>1137643</v>
      </c>
      <c r="I415">
        <v>11.378050234353401</v>
      </c>
      <c r="J415">
        <v>109094278.08</v>
      </c>
      <c r="K415">
        <v>11.8205858121615</v>
      </c>
      <c r="L415">
        <v>575368</v>
      </c>
      <c r="M415">
        <v>11.5089988814407</v>
      </c>
      <c r="N415">
        <v>95.8417345246868</v>
      </c>
      <c r="O415">
        <v>55144267.109999999</v>
      </c>
      <c r="P415">
        <v>11.949985881317399</v>
      </c>
      <c r="Q415">
        <v>562275</v>
      </c>
      <c r="R415">
        <v>11.247101587266</v>
      </c>
      <c r="S415">
        <v>95.949510417500306</v>
      </c>
      <c r="T415">
        <v>53950010.969999999</v>
      </c>
      <c r="U415">
        <v>11.6911857429943</v>
      </c>
      <c r="V415">
        <v>6023</v>
      </c>
      <c r="W415">
        <v>11.7056011194465</v>
      </c>
    </row>
    <row r="416" spans="1:23" hidden="1" x14ac:dyDescent="0.25">
      <c r="A416" t="s">
        <v>87</v>
      </c>
      <c r="B416">
        <v>12</v>
      </c>
      <c r="C416">
        <v>2025</v>
      </c>
      <c r="D416" t="s">
        <v>153</v>
      </c>
      <c r="E416" t="s">
        <v>154</v>
      </c>
      <c r="F416">
        <v>4662</v>
      </c>
      <c r="G416">
        <v>431151.12</v>
      </c>
      <c r="H416">
        <v>44760</v>
      </c>
      <c r="I416">
        <v>0.44766374731761799</v>
      </c>
      <c r="J416">
        <v>4436064.96</v>
      </c>
      <c r="K416">
        <v>0.48065661601014598</v>
      </c>
      <c r="L416">
        <v>24711</v>
      </c>
      <c r="M416">
        <v>0.494290386951102</v>
      </c>
      <c r="N416">
        <v>98.482782566468401</v>
      </c>
      <c r="O416">
        <v>2433608.04</v>
      </c>
      <c r="P416">
        <v>0.52737271239183403</v>
      </c>
      <c r="Q416">
        <v>20049</v>
      </c>
      <c r="R416">
        <v>0.40103710768413398</v>
      </c>
      <c r="S416">
        <v>99.878144545862597</v>
      </c>
      <c r="T416">
        <v>2002456.92</v>
      </c>
      <c r="U416">
        <v>0.43394051962440799</v>
      </c>
      <c r="V416">
        <v>584</v>
      </c>
      <c r="W416">
        <v>1.1349943638978499</v>
      </c>
    </row>
    <row r="417" spans="1:23" hidden="1" x14ac:dyDescent="0.25">
      <c r="A417" t="s">
        <v>87</v>
      </c>
      <c r="B417">
        <v>12</v>
      </c>
      <c r="C417">
        <v>2025</v>
      </c>
      <c r="D417" t="s">
        <v>155</v>
      </c>
      <c r="E417" t="s">
        <v>156</v>
      </c>
      <c r="F417">
        <v>118</v>
      </c>
      <c r="G417">
        <v>22693.65</v>
      </c>
      <c r="H417">
        <v>4244</v>
      </c>
      <c r="I417">
        <v>4.2446044316710702E-2</v>
      </c>
      <c r="J417">
        <v>353276.23</v>
      </c>
      <c r="K417">
        <v>3.8278194471846001E-2</v>
      </c>
      <c r="L417">
        <v>2181</v>
      </c>
      <c r="M417">
        <v>4.3626212372641901E-2</v>
      </c>
      <c r="N417">
        <v>86.192086198991305</v>
      </c>
      <c r="O417">
        <v>187984.94</v>
      </c>
      <c r="P417">
        <v>4.07370973744055E-2</v>
      </c>
      <c r="Q417">
        <v>2063</v>
      </c>
      <c r="R417">
        <v>4.1265876260779502E-2</v>
      </c>
      <c r="S417">
        <v>80.121808046534198</v>
      </c>
      <c r="T417">
        <v>165291.29</v>
      </c>
      <c r="U417">
        <v>3.5819291569073403E-2</v>
      </c>
      <c r="V417">
        <v>19</v>
      </c>
      <c r="W417">
        <v>3.6926186496676602E-2</v>
      </c>
    </row>
    <row r="418" spans="1:23" hidden="1" x14ac:dyDescent="0.25">
      <c r="A418" t="s">
        <v>87</v>
      </c>
      <c r="B418">
        <v>1</v>
      </c>
      <c r="C418">
        <v>2026</v>
      </c>
      <c r="D418" t="s">
        <v>88</v>
      </c>
      <c r="E418" t="s">
        <v>89</v>
      </c>
      <c r="F418">
        <v>23475</v>
      </c>
      <c r="G418">
        <v>2698691.66</v>
      </c>
      <c r="H418">
        <v>372915</v>
      </c>
      <c r="I418">
        <v>3.5970789305694302</v>
      </c>
      <c r="J418">
        <v>44622903.740000002</v>
      </c>
      <c r="K418">
        <v>3.6115700602440199</v>
      </c>
      <c r="L418">
        <v>198195</v>
      </c>
      <c r="M418">
        <v>3.8235150564831502</v>
      </c>
      <c r="N418">
        <v>119.381405686319</v>
      </c>
      <c r="O418">
        <v>23660797.699999999</v>
      </c>
      <c r="P418">
        <v>3.8299895979021201</v>
      </c>
      <c r="Q418">
        <v>174720</v>
      </c>
      <c r="R418">
        <v>3.3706428046557</v>
      </c>
      <c r="S418">
        <v>119.975423763736</v>
      </c>
      <c r="T418">
        <v>20962106.039999999</v>
      </c>
      <c r="U418">
        <v>3.3931505225929901</v>
      </c>
      <c r="V418">
        <v>2059</v>
      </c>
      <c r="W418">
        <v>2.80181798388853</v>
      </c>
    </row>
    <row r="419" spans="1:23" hidden="1" x14ac:dyDescent="0.25">
      <c r="A419" t="s">
        <v>87</v>
      </c>
      <c r="B419">
        <v>1</v>
      </c>
      <c r="C419">
        <v>2026</v>
      </c>
      <c r="D419" t="s">
        <v>90</v>
      </c>
      <c r="E419" t="s">
        <v>91</v>
      </c>
      <c r="F419">
        <v>-35282</v>
      </c>
      <c r="G419">
        <v>-4755433.5299999705</v>
      </c>
      <c r="H419">
        <v>627272</v>
      </c>
      <c r="I419">
        <v>6.0505662012419599</v>
      </c>
      <c r="J419">
        <v>74956455.189999998</v>
      </c>
      <c r="K419">
        <v>6.0666264787148201</v>
      </c>
      <c r="L419">
        <v>295995</v>
      </c>
      <c r="M419">
        <v>5.7102416263968898</v>
      </c>
      <c r="N419">
        <v>118.584809979898</v>
      </c>
      <c r="O419">
        <v>35100510.829999998</v>
      </c>
      <c r="P419">
        <v>5.6817438306380801</v>
      </c>
      <c r="Q419">
        <v>331277</v>
      </c>
      <c r="R419">
        <v>6.3908907760870299</v>
      </c>
      <c r="S419">
        <v>120.31002562809999</v>
      </c>
      <c r="T419">
        <v>39855944.359999999</v>
      </c>
      <c r="U419">
        <v>6.4515091267790901</v>
      </c>
      <c r="V419">
        <v>6103</v>
      </c>
      <c r="W419">
        <v>8.3047572392771603</v>
      </c>
    </row>
    <row r="420" spans="1:23" hidden="1" x14ac:dyDescent="0.25">
      <c r="A420" t="s">
        <v>87</v>
      </c>
      <c r="B420">
        <v>1</v>
      </c>
      <c r="C420">
        <v>2026</v>
      </c>
      <c r="D420" t="s">
        <v>92</v>
      </c>
      <c r="E420" t="s">
        <v>93</v>
      </c>
      <c r="F420">
        <v>-22000</v>
      </c>
      <c r="G420">
        <v>-2565935.86</v>
      </c>
      <c r="H420">
        <v>44320</v>
      </c>
      <c r="I420">
        <v>0.42750368905202801</v>
      </c>
      <c r="J420">
        <v>5228879.92</v>
      </c>
      <c r="K420">
        <v>0.423201194564017</v>
      </c>
      <c r="L420">
        <v>11160</v>
      </c>
      <c r="M420">
        <v>0.21529517914353</v>
      </c>
      <c r="N420">
        <v>119.307529569892</v>
      </c>
      <c r="O420">
        <v>1331472.03</v>
      </c>
      <c r="P420">
        <v>0.21552629329980799</v>
      </c>
      <c r="Q420">
        <v>33160</v>
      </c>
      <c r="R420">
        <v>0.639712198960526</v>
      </c>
      <c r="S420">
        <v>117.533410434258</v>
      </c>
      <c r="T420">
        <v>3897407.89</v>
      </c>
      <c r="U420">
        <v>0.63087609582150295</v>
      </c>
      <c r="V420">
        <v>147</v>
      </c>
      <c r="W420">
        <v>0.200032658393207</v>
      </c>
    </row>
    <row r="421" spans="1:23" hidden="1" x14ac:dyDescent="0.25">
      <c r="A421" t="s">
        <v>87</v>
      </c>
      <c r="B421">
        <v>1</v>
      </c>
      <c r="C421">
        <v>2026</v>
      </c>
      <c r="D421" t="s">
        <v>94</v>
      </c>
      <c r="E421" t="s">
        <v>95</v>
      </c>
      <c r="F421">
        <v>-340650</v>
      </c>
      <c r="G421">
        <v>-40244746.82</v>
      </c>
      <c r="H421">
        <v>640520</v>
      </c>
      <c r="I421">
        <v>6.1783543075723104</v>
      </c>
      <c r="J421">
        <v>76555577.379999995</v>
      </c>
      <c r="K421">
        <v>6.1960519831088501</v>
      </c>
      <c r="L421">
        <v>149935</v>
      </c>
      <c r="M421">
        <v>2.8924984484664198</v>
      </c>
      <c r="N421">
        <v>121.088573581885</v>
      </c>
      <c r="O421">
        <v>18155415.280000001</v>
      </c>
      <c r="P421">
        <v>2.9388295589033802</v>
      </c>
      <c r="Q421">
        <v>490585</v>
      </c>
      <c r="R421">
        <v>9.4642101666782104</v>
      </c>
      <c r="S421">
        <v>119.041882854143</v>
      </c>
      <c r="T421">
        <v>58400162.100000001</v>
      </c>
      <c r="U421">
        <v>9.4532744072088608</v>
      </c>
      <c r="V421">
        <v>3957</v>
      </c>
      <c r="W421">
        <v>5.38455258001306</v>
      </c>
    </row>
    <row r="422" spans="1:23" hidden="1" x14ac:dyDescent="0.25">
      <c r="A422" t="s">
        <v>87</v>
      </c>
      <c r="B422">
        <v>1</v>
      </c>
      <c r="C422">
        <v>2026</v>
      </c>
      <c r="D422" t="s">
        <v>96</v>
      </c>
      <c r="E422" t="s">
        <v>97</v>
      </c>
      <c r="F422">
        <v>12061</v>
      </c>
      <c r="G422">
        <v>1319008.3899999999</v>
      </c>
      <c r="H422">
        <v>51381</v>
      </c>
      <c r="I422">
        <v>0.49561297489129602</v>
      </c>
      <c r="J422">
        <v>6178307.3499999996</v>
      </c>
      <c r="K422">
        <v>0.50004343012406505</v>
      </c>
      <c r="L422">
        <v>31721</v>
      </c>
      <c r="M422">
        <v>0.61195146752795004</v>
      </c>
      <c r="N422">
        <v>118.17590460578199</v>
      </c>
      <c r="O422">
        <v>3748657.87</v>
      </c>
      <c r="P422">
        <v>0.60679782779233604</v>
      </c>
      <c r="Q422">
        <v>19660</v>
      </c>
      <c r="R422">
        <v>0.379274482254642</v>
      </c>
      <c r="S422">
        <v>123.583391658189</v>
      </c>
      <c r="T422">
        <v>2429649.48</v>
      </c>
      <c r="U422">
        <v>0.39328903245924901</v>
      </c>
      <c r="V422">
        <v>392</v>
      </c>
      <c r="W422">
        <v>0.53342042238188503</v>
      </c>
    </row>
    <row r="423" spans="1:23" hidden="1" x14ac:dyDescent="0.25">
      <c r="A423" t="s">
        <v>87</v>
      </c>
      <c r="B423">
        <v>1</v>
      </c>
      <c r="C423">
        <v>2026</v>
      </c>
      <c r="D423" t="s">
        <v>157</v>
      </c>
      <c r="E423" t="s">
        <v>158</v>
      </c>
      <c r="F423">
        <v>590</v>
      </c>
      <c r="G423">
        <v>64419.7</v>
      </c>
      <c r="H423">
        <v>590</v>
      </c>
      <c r="I423">
        <v>5.6910464020915302E-3</v>
      </c>
      <c r="J423">
        <v>64419.7</v>
      </c>
      <c r="K423">
        <v>5.2138305737676202E-3</v>
      </c>
      <c r="L423">
        <v>590</v>
      </c>
      <c r="M423">
        <v>1.13820928041831E-2</v>
      </c>
      <c r="N423">
        <v>109.18593220339</v>
      </c>
      <c r="O423">
        <v>64419.7</v>
      </c>
      <c r="P423">
        <v>1.0427661147704E-2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3</v>
      </c>
      <c r="W423">
        <v>4.0822991508817803E-3</v>
      </c>
    </row>
    <row r="424" spans="1:23" hidden="1" x14ac:dyDescent="0.25">
      <c r="A424" t="s">
        <v>87</v>
      </c>
      <c r="B424">
        <v>1</v>
      </c>
      <c r="C424">
        <v>2026</v>
      </c>
      <c r="D424" t="s">
        <v>100</v>
      </c>
      <c r="E424" t="s">
        <v>101</v>
      </c>
      <c r="F424">
        <v>5571</v>
      </c>
      <c r="G424">
        <v>585618.68000000005</v>
      </c>
      <c r="H424">
        <v>46433</v>
      </c>
      <c r="I424">
        <v>0.44788535184460299</v>
      </c>
      <c r="J424">
        <v>5513260.7199999997</v>
      </c>
      <c r="K424">
        <v>0.44621765241204298</v>
      </c>
      <c r="L424">
        <v>26002</v>
      </c>
      <c r="M424">
        <v>0.50162233405824996</v>
      </c>
      <c r="N424">
        <v>117.27712099069301</v>
      </c>
      <c r="O424">
        <v>3049439.7</v>
      </c>
      <c r="P424">
        <v>0.493614901683123</v>
      </c>
      <c r="Q424">
        <v>20431</v>
      </c>
      <c r="R424">
        <v>0.39414836963095601</v>
      </c>
      <c r="S424">
        <v>120.592287210611</v>
      </c>
      <c r="T424">
        <v>2463821.02</v>
      </c>
      <c r="U424">
        <v>0.398820403142498</v>
      </c>
      <c r="V424">
        <v>62</v>
      </c>
      <c r="W424">
        <v>8.4367515784890004E-2</v>
      </c>
    </row>
    <row r="425" spans="1:23" hidden="1" x14ac:dyDescent="0.25">
      <c r="A425" t="s">
        <v>87</v>
      </c>
      <c r="B425">
        <v>1</v>
      </c>
      <c r="C425">
        <v>2026</v>
      </c>
      <c r="D425" t="s">
        <v>102</v>
      </c>
      <c r="E425" t="s">
        <v>103</v>
      </c>
      <c r="F425">
        <v>147481</v>
      </c>
      <c r="G425">
        <v>18366505.9799999</v>
      </c>
      <c r="H425">
        <v>1657187</v>
      </c>
      <c r="I425">
        <v>15.984962904987899</v>
      </c>
      <c r="J425">
        <v>196945248.46000001</v>
      </c>
      <c r="K425">
        <v>15.939831414598499</v>
      </c>
      <c r="L425">
        <v>902334</v>
      </c>
      <c r="M425">
        <v>17.407541234524899</v>
      </c>
      <c r="N425">
        <v>119.308235331928</v>
      </c>
      <c r="O425">
        <v>107655877.22</v>
      </c>
      <c r="P425">
        <v>17.426330892708101</v>
      </c>
      <c r="Q425">
        <v>754853</v>
      </c>
      <c r="R425">
        <v>14.5623845754508</v>
      </c>
      <c r="S425">
        <v>118.287098600655</v>
      </c>
      <c r="T425">
        <v>89289371.239999995</v>
      </c>
      <c r="U425">
        <v>14.4533319365369</v>
      </c>
      <c r="V425">
        <v>13256</v>
      </c>
      <c r="W425">
        <v>18.038319181362901</v>
      </c>
    </row>
    <row r="426" spans="1:23" hidden="1" x14ac:dyDescent="0.25">
      <c r="A426" t="s">
        <v>87</v>
      </c>
      <c r="B426">
        <v>1</v>
      </c>
      <c r="C426">
        <v>2026</v>
      </c>
      <c r="D426" t="s">
        <v>161</v>
      </c>
      <c r="E426" t="s">
        <v>162</v>
      </c>
      <c r="F426">
        <v>12</v>
      </c>
      <c r="G426">
        <v>-6587.52</v>
      </c>
      <c r="H426">
        <v>736</v>
      </c>
      <c r="I426">
        <v>7.0993392405751896E-3</v>
      </c>
      <c r="J426">
        <v>86301.88</v>
      </c>
      <c r="K426">
        <v>6.9848723374623702E-3</v>
      </c>
      <c r="L426">
        <v>374</v>
      </c>
      <c r="M426">
        <v>7.2150893368889196E-3</v>
      </c>
      <c r="N426">
        <v>106.57</v>
      </c>
      <c r="O426">
        <v>39857.18</v>
      </c>
      <c r="P426">
        <v>6.4517091408846398E-3</v>
      </c>
      <c r="Q426">
        <v>362</v>
      </c>
      <c r="R426">
        <v>6.9835891442614701E-3</v>
      </c>
      <c r="S426">
        <v>128.300276243094</v>
      </c>
      <c r="T426">
        <v>46444.7</v>
      </c>
      <c r="U426">
        <v>7.5180355340228296E-3</v>
      </c>
      <c r="V426">
        <v>3</v>
      </c>
      <c r="W426">
        <v>4.0822991508817803E-3</v>
      </c>
    </row>
    <row r="427" spans="1:23" hidden="1" x14ac:dyDescent="0.25">
      <c r="A427" t="s">
        <v>87</v>
      </c>
      <c r="B427">
        <v>1</v>
      </c>
      <c r="C427">
        <v>2026</v>
      </c>
      <c r="D427" t="s">
        <v>104</v>
      </c>
      <c r="E427" t="s">
        <v>105</v>
      </c>
      <c r="F427">
        <v>73845</v>
      </c>
      <c r="G427">
        <v>9426781.99000003</v>
      </c>
      <c r="H427">
        <v>587923</v>
      </c>
      <c r="I427">
        <v>5.6710119895878899</v>
      </c>
      <c r="J427">
        <v>70854156.790000007</v>
      </c>
      <c r="K427">
        <v>5.7346055469092097</v>
      </c>
      <c r="L427">
        <v>330884</v>
      </c>
      <c r="M427">
        <v>6.3833091447784804</v>
      </c>
      <c r="N427">
        <v>121.31281473265599</v>
      </c>
      <c r="O427">
        <v>40140469.390000001</v>
      </c>
      <c r="P427">
        <v>6.4975653892940599</v>
      </c>
      <c r="Q427">
        <v>257039</v>
      </c>
      <c r="R427">
        <v>4.9587148343973002</v>
      </c>
      <c r="S427">
        <v>119.490378502873</v>
      </c>
      <c r="T427">
        <v>30713687.399999999</v>
      </c>
      <c r="U427">
        <v>4.9716457045490499</v>
      </c>
      <c r="V427">
        <v>7486</v>
      </c>
      <c r="W427">
        <v>10.1866971478337</v>
      </c>
    </row>
    <row r="428" spans="1:23" hidden="1" x14ac:dyDescent="0.25">
      <c r="A428" t="s">
        <v>87</v>
      </c>
      <c r="B428">
        <v>1</v>
      </c>
      <c r="C428">
        <v>2026</v>
      </c>
      <c r="D428" t="s">
        <v>106</v>
      </c>
      <c r="E428" t="s">
        <v>107</v>
      </c>
      <c r="F428">
        <v>-5443</v>
      </c>
      <c r="G428">
        <v>-951817.02999999595</v>
      </c>
      <c r="H428">
        <v>250837</v>
      </c>
      <c r="I428">
        <v>2.4195339090871699</v>
      </c>
      <c r="J428">
        <v>29919937.850000001</v>
      </c>
      <c r="K428">
        <v>2.42158045951094</v>
      </c>
      <c r="L428">
        <v>122697</v>
      </c>
      <c r="M428">
        <v>2.36703159456754</v>
      </c>
      <c r="N428">
        <v>118.04738836320401</v>
      </c>
      <c r="O428">
        <v>14484060.41</v>
      </c>
      <c r="P428">
        <v>2.3445448208910502</v>
      </c>
      <c r="Q428">
        <v>128140</v>
      </c>
      <c r="R428">
        <v>2.4720362236068101</v>
      </c>
      <c r="S428">
        <v>120.461038239426</v>
      </c>
      <c r="T428">
        <v>15435877.439999999</v>
      </c>
      <c r="U428">
        <v>2.4986160981283398</v>
      </c>
      <c r="V428">
        <v>1444</v>
      </c>
      <c r="W428">
        <v>1.9649466579577599</v>
      </c>
    </row>
    <row r="429" spans="1:23" hidden="1" x14ac:dyDescent="0.25">
      <c r="A429" t="s">
        <v>87</v>
      </c>
      <c r="B429">
        <v>1</v>
      </c>
      <c r="C429">
        <v>2026</v>
      </c>
      <c r="D429" t="s">
        <v>173</v>
      </c>
      <c r="E429" t="s">
        <v>174</v>
      </c>
      <c r="F429">
        <v>-2000</v>
      </c>
      <c r="G429">
        <v>-212128.61</v>
      </c>
      <c r="H429">
        <v>2000</v>
      </c>
      <c r="I429">
        <v>1.92916827189543E-2</v>
      </c>
      <c r="J429">
        <v>212128.61</v>
      </c>
      <c r="K429">
        <v>1.7168702002474799E-2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2000</v>
      </c>
      <c r="R429">
        <v>3.8583365437908697E-2</v>
      </c>
      <c r="S429">
        <v>106.064305</v>
      </c>
      <c r="T429">
        <v>212128.61</v>
      </c>
      <c r="U429">
        <v>3.4337404004393897E-2</v>
      </c>
      <c r="V429">
        <v>109</v>
      </c>
      <c r="W429">
        <v>0.148323535815371</v>
      </c>
    </row>
    <row r="430" spans="1:23" hidden="1" x14ac:dyDescent="0.25">
      <c r="A430" t="s">
        <v>87</v>
      </c>
      <c r="B430">
        <v>1</v>
      </c>
      <c r="C430">
        <v>2026</v>
      </c>
      <c r="D430" t="s">
        <v>108</v>
      </c>
      <c r="E430" t="s">
        <v>109</v>
      </c>
      <c r="F430">
        <v>2075</v>
      </c>
      <c r="G430">
        <v>200877.09</v>
      </c>
      <c r="H430">
        <v>4875</v>
      </c>
      <c r="I430">
        <v>4.7023476627451197E-2</v>
      </c>
      <c r="J430">
        <v>538905.68999999994</v>
      </c>
      <c r="K430">
        <v>4.3616517352600803E-2</v>
      </c>
      <c r="L430">
        <v>3475</v>
      </c>
      <c r="M430">
        <v>6.7038597448366294E-2</v>
      </c>
      <c r="N430">
        <v>106.443565467626</v>
      </c>
      <c r="O430">
        <v>369891.39</v>
      </c>
      <c r="P430">
        <v>5.9874573715388998E-2</v>
      </c>
      <c r="Q430">
        <v>1400</v>
      </c>
      <c r="R430">
        <v>2.70083558065361E-2</v>
      </c>
      <c r="S430">
        <v>120.72450000000001</v>
      </c>
      <c r="T430">
        <v>169014.3</v>
      </c>
      <c r="U430">
        <v>2.7358460990338999E-2</v>
      </c>
      <c r="V430">
        <v>22</v>
      </c>
      <c r="W430">
        <v>2.9936860439799699E-2</v>
      </c>
    </row>
    <row r="431" spans="1:23" hidden="1" x14ac:dyDescent="0.25">
      <c r="A431" t="s">
        <v>87</v>
      </c>
      <c r="B431">
        <v>1</v>
      </c>
      <c r="C431">
        <v>2026</v>
      </c>
      <c r="D431" t="s">
        <v>110</v>
      </c>
      <c r="E431" t="s">
        <v>111</v>
      </c>
      <c r="F431">
        <v>7402</v>
      </c>
      <c r="G431">
        <v>980120.74</v>
      </c>
      <c r="H431">
        <v>61552</v>
      </c>
      <c r="I431">
        <v>0.59372082735853804</v>
      </c>
      <c r="J431">
        <v>7291569.3399999999</v>
      </c>
      <c r="K431">
        <v>0.59014567214126501</v>
      </c>
      <c r="L431">
        <v>34477</v>
      </c>
      <c r="M431">
        <v>0.66511934510138804</v>
      </c>
      <c r="N431">
        <v>119.95953940308</v>
      </c>
      <c r="O431">
        <v>4135845.04</v>
      </c>
      <c r="P431">
        <v>0.66947208131258695</v>
      </c>
      <c r="Q431">
        <v>27075</v>
      </c>
      <c r="R431">
        <v>0.52232230961568804</v>
      </c>
      <c r="S431">
        <v>116.554914127424</v>
      </c>
      <c r="T431">
        <v>3155724.3</v>
      </c>
      <c r="U431">
        <v>0.51081926297251001</v>
      </c>
      <c r="V431">
        <v>972</v>
      </c>
      <c r="W431">
        <v>1.3226649248857001</v>
      </c>
    </row>
    <row r="432" spans="1:23" hidden="1" x14ac:dyDescent="0.25">
      <c r="A432" t="s">
        <v>87</v>
      </c>
      <c r="B432">
        <v>1</v>
      </c>
      <c r="C432">
        <v>2026</v>
      </c>
      <c r="D432" t="s">
        <v>112</v>
      </c>
      <c r="E432" t="s">
        <v>113</v>
      </c>
      <c r="F432">
        <v>510</v>
      </c>
      <c r="G432">
        <v>53563.3</v>
      </c>
      <c r="H432">
        <v>510</v>
      </c>
      <c r="I432">
        <v>4.9193790933333504E-3</v>
      </c>
      <c r="J432">
        <v>53563.3</v>
      </c>
      <c r="K432">
        <v>4.33516410619558E-3</v>
      </c>
      <c r="L432">
        <v>510</v>
      </c>
      <c r="M432">
        <v>9.8387581866667094E-3</v>
      </c>
      <c r="N432">
        <v>105.02607843137299</v>
      </c>
      <c r="O432">
        <v>53563.3</v>
      </c>
      <c r="P432">
        <v>8.6703282125315095E-3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3</v>
      </c>
      <c r="W432">
        <v>4.0822991508817803E-3</v>
      </c>
    </row>
    <row r="433" spans="1:23" hidden="1" x14ac:dyDescent="0.25">
      <c r="A433" t="s">
        <v>87</v>
      </c>
      <c r="B433">
        <v>1</v>
      </c>
      <c r="C433">
        <v>2026</v>
      </c>
      <c r="D433" t="s">
        <v>167</v>
      </c>
      <c r="E433" t="s">
        <v>168</v>
      </c>
      <c r="F433">
        <v>1172</v>
      </c>
      <c r="G433">
        <v>135446</v>
      </c>
      <c r="H433">
        <v>1730</v>
      </c>
      <c r="I433">
        <v>1.6687305551895501E-2</v>
      </c>
      <c r="J433">
        <v>207540.44</v>
      </c>
      <c r="K433">
        <v>1.67973568856295E-2</v>
      </c>
      <c r="L433">
        <v>1451</v>
      </c>
      <c r="M433">
        <v>2.7992231625202701E-2</v>
      </c>
      <c r="N433">
        <v>118.189676085458</v>
      </c>
      <c r="O433">
        <v>171493.22</v>
      </c>
      <c r="P433">
        <v>2.77597254766579E-2</v>
      </c>
      <c r="Q433">
        <v>279</v>
      </c>
      <c r="R433">
        <v>5.3823794785882598E-3</v>
      </c>
      <c r="S433">
        <v>129.20150537634399</v>
      </c>
      <c r="T433">
        <v>36047.22</v>
      </c>
      <c r="U433">
        <v>5.8349882949559097E-3</v>
      </c>
      <c r="V433">
        <v>23</v>
      </c>
      <c r="W433">
        <v>3.1297626823427002E-2</v>
      </c>
    </row>
    <row r="434" spans="1:23" hidden="1" x14ac:dyDescent="0.25">
      <c r="A434" t="s">
        <v>87</v>
      </c>
      <c r="B434">
        <v>1</v>
      </c>
      <c r="C434">
        <v>2026</v>
      </c>
      <c r="D434" t="s">
        <v>169</v>
      </c>
      <c r="E434" t="s">
        <v>170</v>
      </c>
      <c r="F434">
        <v>-4615</v>
      </c>
      <c r="G434">
        <v>-599489.74</v>
      </c>
      <c r="H434">
        <v>4615</v>
      </c>
      <c r="I434">
        <v>4.4515557873987102E-2</v>
      </c>
      <c r="J434">
        <v>599489.74</v>
      </c>
      <c r="K434">
        <v>4.8519908274518603E-2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4615</v>
      </c>
      <c r="R434">
        <v>8.9031115747974204E-2</v>
      </c>
      <c r="S434">
        <v>129.90026868905699</v>
      </c>
      <c r="T434">
        <v>599489.74</v>
      </c>
      <c r="U434">
        <v>9.7039816547466407E-2</v>
      </c>
      <c r="V434">
        <v>15</v>
      </c>
      <c r="W434">
        <v>2.0411495754408902E-2</v>
      </c>
    </row>
    <row r="435" spans="1:23" hidden="1" x14ac:dyDescent="0.25">
      <c r="A435" t="s">
        <v>87</v>
      </c>
      <c r="B435">
        <v>1</v>
      </c>
      <c r="C435">
        <v>2026</v>
      </c>
      <c r="D435" t="s">
        <v>163</v>
      </c>
      <c r="E435" t="s">
        <v>164</v>
      </c>
      <c r="F435">
        <v>460</v>
      </c>
      <c r="G435">
        <v>72032.600000000006</v>
      </c>
      <c r="H435">
        <v>2450</v>
      </c>
      <c r="I435">
        <v>2.3632311330719101E-2</v>
      </c>
      <c r="J435">
        <v>280055.8</v>
      </c>
      <c r="K435">
        <v>2.26664124856364E-2</v>
      </c>
      <c r="L435">
        <v>1455</v>
      </c>
      <c r="M435">
        <v>2.8069398356078499E-2</v>
      </c>
      <c r="N435">
        <v>120.99257731958799</v>
      </c>
      <c r="O435">
        <v>176044.2</v>
      </c>
      <c r="P435">
        <v>2.8496395739480901E-2</v>
      </c>
      <c r="Q435">
        <v>995</v>
      </c>
      <c r="R435">
        <v>1.9195224305359599E-2</v>
      </c>
      <c r="S435">
        <v>104.534271356784</v>
      </c>
      <c r="T435">
        <v>104011.6</v>
      </c>
      <c r="U435">
        <v>1.6836429231980601E-2</v>
      </c>
      <c r="V435">
        <v>28</v>
      </c>
      <c r="W435">
        <v>3.8101458741563198E-2</v>
      </c>
    </row>
    <row r="436" spans="1:23" hidden="1" x14ac:dyDescent="0.25">
      <c r="A436" t="s">
        <v>87</v>
      </c>
      <c r="B436">
        <v>1</v>
      </c>
      <c r="C436">
        <v>2026</v>
      </c>
      <c r="D436" t="s">
        <v>116</v>
      </c>
      <c r="E436" t="s">
        <v>117</v>
      </c>
      <c r="F436">
        <v>-3239</v>
      </c>
      <c r="G436">
        <v>-334747.81</v>
      </c>
      <c r="H436">
        <v>21717</v>
      </c>
      <c r="I436">
        <v>0.209478736803766</v>
      </c>
      <c r="J436">
        <v>2422972.37</v>
      </c>
      <c r="K436">
        <v>0.19610410203866499</v>
      </c>
      <c r="L436">
        <v>9239</v>
      </c>
      <c r="M436">
        <v>0.17823585664041899</v>
      </c>
      <c r="N436">
        <v>113.011395172638</v>
      </c>
      <c r="O436">
        <v>1044112.28</v>
      </c>
      <c r="P436">
        <v>0.16901117291755</v>
      </c>
      <c r="Q436">
        <v>12478</v>
      </c>
      <c r="R436">
        <v>0.240721616967112</v>
      </c>
      <c r="S436">
        <v>110.503292995672</v>
      </c>
      <c r="T436">
        <v>1378860.09</v>
      </c>
      <c r="U436">
        <v>0.22319703115890299</v>
      </c>
      <c r="V436">
        <v>159</v>
      </c>
      <c r="W436">
        <v>0.21636185499673399</v>
      </c>
    </row>
    <row r="437" spans="1:23" hidden="1" x14ac:dyDescent="0.25">
      <c r="A437" t="s">
        <v>87</v>
      </c>
      <c r="B437">
        <v>1</v>
      </c>
      <c r="C437">
        <v>2026</v>
      </c>
      <c r="D437" t="s">
        <v>118</v>
      </c>
      <c r="E437" t="s">
        <v>119</v>
      </c>
      <c r="F437">
        <v>-4259</v>
      </c>
      <c r="G437">
        <v>-418593.07</v>
      </c>
      <c r="H437">
        <v>33567</v>
      </c>
      <c r="I437">
        <v>0.32378195691356998</v>
      </c>
      <c r="J437">
        <v>3863127.93</v>
      </c>
      <c r="K437">
        <v>0.31266358756420198</v>
      </c>
      <c r="L437">
        <v>14654</v>
      </c>
      <c r="M437">
        <v>0.28270031856355698</v>
      </c>
      <c r="N437">
        <v>117.528826941449</v>
      </c>
      <c r="O437">
        <v>1722267.43</v>
      </c>
      <c r="P437">
        <v>0.278784613491946</v>
      </c>
      <c r="Q437">
        <v>18913</v>
      </c>
      <c r="R437">
        <v>0.36486359526358297</v>
      </c>
      <c r="S437">
        <v>113.195183207318</v>
      </c>
      <c r="T437">
        <v>2140860.5</v>
      </c>
      <c r="U437">
        <v>0.34654256163536201</v>
      </c>
      <c r="V437">
        <v>218</v>
      </c>
      <c r="W437">
        <v>0.296647071630742</v>
      </c>
    </row>
    <row r="438" spans="1:23" hidden="1" x14ac:dyDescent="0.25">
      <c r="A438" t="s">
        <v>87</v>
      </c>
      <c r="B438">
        <v>1</v>
      </c>
      <c r="C438">
        <v>2026</v>
      </c>
      <c r="D438" t="s">
        <v>120</v>
      </c>
      <c r="E438" t="s">
        <v>121</v>
      </c>
      <c r="F438">
        <v>-24</v>
      </c>
      <c r="G438">
        <v>-8055.95999999999</v>
      </c>
      <c r="H438">
        <v>1584</v>
      </c>
      <c r="I438">
        <v>1.52790127134118E-2</v>
      </c>
      <c r="J438">
        <v>166821.6</v>
      </c>
      <c r="K438">
        <v>1.350176356681E-2</v>
      </c>
      <c r="L438">
        <v>780</v>
      </c>
      <c r="M438">
        <v>1.5047512520784401E-2</v>
      </c>
      <c r="N438">
        <v>101.772846153846</v>
      </c>
      <c r="O438">
        <v>79382.820000000007</v>
      </c>
      <c r="P438">
        <v>1.2849751673931801E-2</v>
      </c>
      <c r="Q438">
        <v>804</v>
      </c>
      <c r="R438">
        <v>1.55105129060393E-2</v>
      </c>
      <c r="S438">
        <v>108.754701492537</v>
      </c>
      <c r="T438">
        <v>87438.78</v>
      </c>
      <c r="U438">
        <v>1.4153775459667201E-2</v>
      </c>
      <c r="V438">
        <v>18</v>
      </c>
      <c r="W438">
        <v>2.4493794905290699E-2</v>
      </c>
    </row>
    <row r="439" spans="1:23" hidden="1" x14ac:dyDescent="0.25">
      <c r="A439" t="s">
        <v>87</v>
      </c>
      <c r="B439">
        <v>1</v>
      </c>
      <c r="C439">
        <v>2026</v>
      </c>
      <c r="D439" t="s">
        <v>122</v>
      </c>
      <c r="E439" t="s">
        <v>123</v>
      </c>
      <c r="F439">
        <v>-129986</v>
      </c>
      <c r="G439">
        <v>-15576834.609999999</v>
      </c>
      <c r="H439">
        <v>1379772</v>
      </c>
      <c r="I439">
        <v>13.3090618242485</v>
      </c>
      <c r="J439">
        <v>162898445.38999999</v>
      </c>
      <c r="K439">
        <v>13.184241699256599</v>
      </c>
      <c r="L439">
        <v>624893</v>
      </c>
      <c r="M439">
        <v>12.0552374892955</v>
      </c>
      <c r="N439">
        <v>117.877469246735</v>
      </c>
      <c r="O439">
        <v>73660805.390000001</v>
      </c>
      <c r="P439">
        <v>11.923525233335299</v>
      </c>
      <c r="Q439">
        <v>754879</v>
      </c>
      <c r="R439">
        <v>14.562886159201501</v>
      </c>
      <c r="S439">
        <v>118.214495303221</v>
      </c>
      <c r="T439">
        <v>89237640</v>
      </c>
      <c r="U439">
        <v>14.444958165137001</v>
      </c>
      <c r="V439">
        <v>5824</v>
      </c>
      <c r="W439">
        <v>7.9251034182451496</v>
      </c>
    </row>
    <row r="440" spans="1:23" hidden="1" x14ac:dyDescent="0.25">
      <c r="A440" t="s">
        <v>87</v>
      </c>
      <c r="B440">
        <v>1</v>
      </c>
      <c r="C440">
        <v>2026</v>
      </c>
      <c r="D440" t="s">
        <v>124</v>
      </c>
      <c r="E440" t="s">
        <v>125</v>
      </c>
      <c r="F440">
        <v>1188</v>
      </c>
      <c r="G440">
        <v>129602.8</v>
      </c>
      <c r="H440">
        <v>10682</v>
      </c>
      <c r="I440">
        <v>0.103036877401935</v>
      </c>
      <c r="J440">
        <v>1212162.44</v>
      </c>
      <c r="K440">
        <v>9.8106783950325196E-2</v>
      </c>
      <c r="L440">
        <v>5935</v>
      </c>
      <c r="M440">
        <v>0.11449613693699399</v>
      </c>
      <c r="N440">
        <v>113.03835214827301</v>
      </c>
      <c r="O440">
        <v>670882.62</v>
      </c>
      <c r="P440">
        <v>0.10859623114115501</v>
      </c>
      <c r="Q440">
        <v>4747</v>
      </c>
      <c r="R440">
        <v>9.1577617866876196E-2</v>
      </c>
      <c r="S440">
        <v>114.025662523699</v>
      </c>
      <c r="T440">
        <v>541279.81999999995</v>
      </c>
      <c r="U440">
        <v>8.7617336759834505E-2</v>
      </c>
      <c r="V440">
        <v>40</v>
      </c>
      <c r="W440">
        <v>5.4430655345090402E-2</v>
      </c>
    </row>
    <row r="441" spans="1:23" hidden="1" x14ac:dyDescent="0.25">
      <c r="A441" t="s">
        <v>87</v>
      </c>
      <c r="B441">
        <v>1</v>
      </c>
      <c r="C441">
        <v>2026</v>
      </c>
      <c r="D441" t="s">
        <v>126</v>
      </c>
      <c r="E441" t="s">
        <v>127</v>
      </c>
      <c r="F441">
        <v>-5175</v>
      </c>
      <c r="G441">
        <v>-477255.64000000199</v>
      </c>
      <c r="H441">
        <v>74327</v>
      </c>
      <c r="I441">
        <v>0.71694645072585905</v>
      </c>
      <c r="J441">
        <v>9156712.2799999993</v>
      </c>
      <c r="K441">
        <v>0.74110165742245704</v>
      </c>
      <c r="L441">
        <v>34576</v>
      </c>
      <c r="M441">
        <v>0.667029221690565</v>
      </c>
      <c r="N441">
        <v>125.51273484497899</v>
      </c>
      <c r="O441">
        <v>4339728.32</v>
      </c>
      <c r="P441">
        <v>0.70247480807974805</v>
      </c>
      <c r="Q441">
        <v>39751</v>
      </c>
      <c r="R441">
        <v>0.76686367976115399</v>
      </c>
      <c r="S441">
        <v>121.17893788835499</v>
      </c>
      <c r="T441">
        <v>4816983.96</v>
      </c>
      <c r="U441">
        <v>0.77972850676391603</v>
      </c>
      <c r="V441">
        <v>917</v>
      </c>
      <c r="W441">
        <v>1.2478227737862</v>
      </c>
    </row>
    <row r="442" spans="1:23" hidden="1" x14ac:dyDescent="0.25">
      <c r="A442" t="s">
        <v>87</v>
      </c>
      <c r="B442">
        <v>1</v>
      </c>
      <c r="C442">
        <v>2026</v>
      </c>
      <c r="D442" t="s">
        <v>128</v>
      </c>
      <c r="E442" t="s">
        <v>129</v>
      </c>
      <c r="F442">
        <v>-15</v>
      </c>
      <c r="G442">
        <v>-2049.75</v>
      </c>
      <c r="H442">
        <v>55</v>
      </c>
      <c r="I442">
        <v>5.30521274771244E-4</v>
      </c>
      <c r="J442">
        <v>7249.75</v>
      </c>
      <c r="K442">
        <v>5.8676100947647699E-4</v>
      </c>
      <c r="L442">
        <v>20</v>
      </c>
      <c r="M442">
        <v>3.8583365437908703E-4</v>
      </c>
      <c r="N442">
        <v>130</v>
      </c>
      <c r="O442">
        <v>2600</v>
      </c>
      <c r="P442">
        <v>4.20863788313676E-4</v>
      </c>
      <c r="Q442">
        <v>35</v>
      </c>
      <c r="R442">
        <v>6.7520889516340201E-4</v>
      </c>
      <c r="S442">
        <v>132.85</v>
      </c>
      <c r="T442">
        <v>4649.75</v>
      </c>
      <c r="U442">
        <v>7.5265823063390804E-4</v>
      </c>
      <c r="V442">
        <v>7</v>
      </c>
      <c r="W442">
        <v>9.5253646853908098E-3</v>
      </c>
    </row>
    <row r="443" spans="1:23" hidden="1" x14ac:dyDescent="0.25">
      <c r="A443" t="s">
        <v>87</v>
      </c>
      <c r="B443">
        <v>1</v>
      </c>
      <c r="C443">
        <v>2026</v>
      </c>
      <c r="D443" t="s">
        <v>175</v>
      </c>
      <c r="E443" t="s">
        <v>176</v>
      </c>
      <c r="F443">
        <v>-21139</v>
      </c>
      <c r="G443">
        <v>-2609469.2200000002</v>
      </c>
      <c r="H443">
        <v>66465</v>
      </c>
      <c r="I443">
        <v>0.64111084595765</v>
      </c>
      <c r="J443">
        <v>8455568.8000000007</v>
      </c>
      <c r="K443">
        <v>0.68435436874179201</v>
      </c>
      <c r="L443">
        <v>22663</v>
      </c>
      <c r="M443">
        <v>0.43720740545966202</v>
      </c>
      <c r="N443">
        <v>128.978943211402</v>
      </c>
      <c r="O443">
        <v>2923049.79</v>
      </c>
      <c r="P443">
        <v>0.47315608001880599</v>
      </c>
      <c r="Q443">
        <v>43802</v>
      </c>
      <c r="R443">
        <v>0.84501428645563703</v>
      </c>
      <c r="S443">
        <v>126.30745194283401</v>
      </c>
      <c r="T443">
        <v>5532519.0099999998</v>
      </c>
      <c r="U443">
        <v>0.89555265745794099</v>
      </c>
      <c r="V443">
        <v>422</v>
      </c>
      <c r="W443">
        <v>0.57424341389070299</v>
      </c>
    </row>
    <row r="444" spans="1:23" hidden="1" x14ac:dyDescent="0.25">
      <c r="A444" t="s">
        <v>87</v>
      </c>
      <c r="B444">
        <v>1</v>
      </c>
      <c r="C444">
        <v>2026</v>
      </c>
      <c r="D444" t="s">
        <v>130</v>
      </c>
      <c r="E444" t="s">
        <v>131</v>
      </c>
      <c r="F444">
        <v>82030</v>
      </c>
      <c r="G444">
        <v>9738509.3900000006</v>
      </c>
      <c r="H444">
        <v>425184</v>
      </c>
      <c r="I444">
        <v>4.1012574125879402</v>
      </c>
      <c r="J444">
        <v>51037199.07</v>
      </c>
      <c r="K444">
        <v>4.1307132586868702</v>
      </c>
      <c r="L444">
        <v>253607</v>
      </c>
      <c r="M444">
        <v>4.89250577930585</v>
      </c>
      <c r="N444">
        <v>119.822616213275</v>
      </c>
      <c r="O444">
        <v>30387854.23</v>
      </c>
      <c r="P444">
        <v>4.9189028653698301</v>
      </c>
      <c r="Q444">
        <v>171577</v>
      </c>
      <c r="R444">
        <v>3.31000904587003</v>
      </c>
      <c r="S444">
        <v>120.3503082581</v>
      </c>
      <c r="T444">
        <v>20649344.84</v>
      </c>
      <c r="U444">
        <v>3.3425236520294299</v>
      </c>
      <c r="V444">
        <v>1921</v>
      </c>
      <c r="W444">
        <v>2.61403222294796</v>
      </c>
    </row>
    <row r="445" spans="1:23" hidden="1" x14ac:dyDescent="0.25">
      <c r="A445" t="s">
        <v>87</v>
      </c>
      <c r="B445">
        <v>1</v>
      </c>
      <c r="C445">
        <v>2026</v>
      </c>
      <c r="D445" t="s">
        <v>132</v>
      </c>
      <c r="E445" t="s">
        <v>133</v>
      </c>
      <c r="F445">
        <v>-8349</v>
      </c>
      <c r="G445">
        <v>-953187.52</v>
      </c>
      <c r="H445">
        <v>66273</v>
      </c>
      <c r="I445">
        <v>0.63925884441662995</v>
      </c>
      <c r="J445">
        <v>7876651.0800000001</v>
      </c>
      <c r="K445">
        <v>0.63749946398079704</v>
      </c>
      <c r="L445">
        <v>28962</v>
      </c>
      <c r="M445">
        <v>0.55872571490635503</v>
      </c>
      <c r="N445">
        <v>119.526682549548</v>
      </c>
      <c r="O445">
        <v>3461731.78</v>
      </c>
      <c r="P445">
        <v>0.56035290425255602</v>
      </c>
      <c r="Q445">
        <v>37311</v>
      </c>
      <c r="R445">
        <v>0.71979197392690497</v>
      </c>
      <c r="S445">
        <v>118.327552196403</v>
      </c>
      <c r="T445">
        <v>4414919.3</v>
      </c>
      <c r="U445">
        <v>0.71464602370654196</v>
      </c>
      <c r="V445">
        <v>811</v>
      </c>
      <c r="W445">
        <v>1.1035815371217099</v>
      </c>
    </row>
    <row r="446" spans="1:23" hidden="1" x14ac:dyDescent="0.25">
      <c r="A446" t="s">
        <v>87</v>
      </c>
      <c r="B446">
        <v>1</v>
      </c>
      <c r="C446">
        <v>2026</v>
      </c>
      <c r="D446" t="s">
        <v>134</v>
      </c>
      <c r="E446" t="s">
        <v>135</v>
      </c>
      <c r="F446">
        <v>10652</v>
      </c>
      <c r="G446">
        <v>1201984.18</v>
      </c>
      <c r="H446">
        <v>44670</v>
      </c>
      <c r="I446">
        <v>0.43087973352784498</v>
      </c>
      <c r="J446">
        <v>5442226.1399999997</v>
      </c>
      <c r="K446">
        <v>0.44046844425058401</v>
      </c>
      <c r="L446">
        <v>27661</v>
      </c>
      <c r="M446">
        <v>0.53362723568899595</v>
      </c>
      <c r="N446">
        <v>120.10068905679501</v>
      </c>
      <c r="O446">
        <v>3322105.16</v>
      </c>
      <c r="P446">
        <v>0.53775144723615798</v>
      </c>
      <c r="Q446">
        <v>17009</v>
      </c>
      <c r="R446">
        <v>0.328132231366694</v>
      </c>
      <c r="S446">
        <v>124.64700923040699</v>
      </c>
      <c r="T446">
        <v>2120120.98</v>
      </c>
      <c r="U446">
        <v>0.34318544126815997</v>
      </c>
      <c r="V446">
        <v>325</v>
      </c>
      <c r="W446">
        <v>0.44224907467885899</v>
      </c>
    </row>
    <row r="447" spans="1:23" hidden="1" x14ac:dyDescent="0.25">
      <c r="A447" t="s">
        <v>87</v>
      </c>
      <c r="B447">
        <v>1</v>
      </c>
      <c r="C447">
        <v>2026</v>
      </c>
      <c r="D447" t="s">
        <v>136</v>
      </c>
      <c r="E447" t="s">
        <v>137</v>
      </c>
      <c r="F447">
        <v>5641</v>
      </c>
      <c r="G447">
        <v>729772.64</v>
      </c>
      <c r="H447">
        <v>18829</v>
      </c>
      <c r="I447">
        <v>0.181621546957596</v>
      </c>
      <c r="J447">
        <v>2289180.04</v>
      </c>
      <c r="K447">
        <v>0.185275573798242</v>
      </c>
      <c r="L447">
        <v>12235</v>
      </c>
      <c r="M447">
        <v>0.23603373806640601</v>
      </c>
      <c r="N447">
        <v>123.37362811606</v>
      </c>
      <c r="O447">
        <v>1509476.34</v>
      </c>
      <c r="P447">
        <v>0.24433997339317801</v>
      </c>
      <c r="Q447">
        <v>6594</v>
      </c>
      <c r="R447">
        <v>0.12720935584878501</v>
      </c>
      <c r="S447">
        <v>118.24441916894099</v>
      </c>
      <c r="T447">
        <v>779703.7</v>
      </c>
      <c r="U447">
        <v>0.12621117420521799</v>
      </c>
      <c r="V447">
        <v>175</v>
      </c>
      <c r="W447">
        <v>0.23813411713477001</v>
      </c>
    </row>
    <row r="448" spans="1:23" hidden="1" x14ac:dyDescent="0.25">
      <c r="A448" t="s">
        <v>87</v>
      </c>
      <c r="B448">
        <v>1</v>
      </c>
      <c r="C448">
        <v>2026</v>
      </c>
      <c r="D448" t="s">
        <v>171</v>
      </c>
      <c r="E448" t="s">
        <v>172</v>
      </c>
      <c r="F448">
        <v>-2446</v>
      </c>
      <c r="G448">
        <v>-309453.05</v>
      </c>
      <c r="H448">
        <v>2446</v>
      </c>
      <c r="I448">
        <v>2.35937279652811E-2</v>
      </c>
      <c r="J448">
        <v>309453.05</v>
      </c>
      <c r="K448">
        <v>2.5045689024252499E-2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2446</v>
      </c>
      <c r="R448">
        <v>4.7187455930562297E-2</v>
      </c>
      <c r="S448">
        <v>126.513920686836</v>
      </c>
      <c r="T448">
        <v>309453.05</v>
      </c>
      <c r="U448">
        <v>5.0091378047694299E-2</v>
      </c>
      <c r="V448">
        <v>20</v>
      </c>
      <c r="W448">
        <v>2.7215327672545201E-2</v>
      </c>
    </row>
    <row r="449" spans="1:23" hidden="1" x14ac:dyDescent="0.25">
      <c r="A449" t="s">
        <v>87</v>
      </c>
      <c r="B449">
        <v>1</v>
      </c>
      <c r="C449">
        <v>2026</v>
      </c>
      <c r="D449" t="s">
        <v>138</v>
      </c>
      <c r="E449" t="s">
        <v>139</v>
      </c>
      <c r="F449">
        <v>-3346</v>
      </c>
      <c r="G449">
        <v>-536128.68999999994</v>
      </c>
      <c r="H449">
        <v>23032</v>
      </c>
      <c r="I449">
        <v>0.22216301819147799</v>
      </c>
      <c r="J449">
        <v>2821431.61</v>
      </c>
      <c r="K449">
        <v>0.22835353766025601</v>
      </c>
      <c r="L449">
        <v>9843</v>
      </c>
      <c r="M449">
        <v>0.18988803300266699</v>
      </c>
      <c r="N449">
        <v>116.087723255105</v>
      </c>
      <c r="O449">
        <v>1142651.46</v>
      </c>
      <c r="P449">
        <v>0.18496177776067399</v>
      </c>
      <c r="Q449">
        <v>13189</v>
      </c>
      <c r="R449">
        <v>0.25443800338028899</v>
      </c>
      <c r="S449">
        <v>127.286386382592</v>
      </c>
      <c r="T449">
        <v>1678780.15</v>
      </c>
      <c r="U449">
        <v>0.27174529755843402</v>
      </c>
      <c r="V449">
        <v>142</v>
      </c>
      <c r="W449">
        <v>0.193228826475071</v>
      </c>
    </row>
    <row r="450" spans="1:23" hidden="1" x14ac:dyDescent="0.25">
      <c r="A450" t="s">
        <v>87</v>
      </c>
      <c r="B450">
        <v>1</v>
      </c>
      <c r="C450">
        <v>2026</v>
      </c>
      <c r="D450" t="s">
        <v>140</v>
      </c>
      <c r="E450" t="s">
        <v>141</v>
      </c>
      <c r="F450">
        <v>21</v>
      </c>
      <c r="G450">
        <v>-21103.66</v>
      </c>
      <c r="H450">
        <v>4261</v>
      </c>
      <c r="I450">
        <v>4.11009300327322E-2</v>
      </c>
      <c r="J450">
        <v>528661.86</v>
      </c>
      <c r="K450">
        <v>4.27874294486447E-2</v>
      </c>
      <c r="L450">
        <v>2141</v>
      </c>
      <c r="M450">
        <v>4.1303492701281197E-2</v>
      </c>
      <c r="N450">
        <v>118.532975245213</v>
      </c>
      <c r="O450">
        <v>253779.1</v>
      </c>
      <c r="P450">
        <v>4.1079397469551998E-2</v>
      </c>
      <c r="Q450">
        <v>2120</v>
      </c>
      <c r="R450">
        <v>4.0898367364183202E-2</v>
      </c>
      <c r="S450">
        <v>129.66167924528301</v>
      </c>
      <c r="T450">
        <v>274882.76</v>
      </c>
      <c r="U450">
        <v>4.4495461427682202E-2</v>
      </c>
      <c r="V450">
        <v>19</v>
      </c>
      <c r="W450">
        <v>2.5854561288917902E-2</v>
      </c>
    </row>
    <row r="451" spans="1:23" hidden="1" x14ac:dyDescent="0.25">
      <c r="A451" t="s">
        <v>87</v>
      </c>
      <c r="B451">
        <v>1</v>
      </c>
      <c r="C451">
        <v>2026</v>
      </c>
      <c r="D451" t="s">
        <v>142</v>
      </c>
      <c r="E451" t="s">
        <v>143</v>
      </c>
      <c r="F451">
        <v>53022</v>
      </c>
      <c r="G451">
        <v>5973358.1299999999</v>
      </c>
      <c r="H451">
        <v>226546</v>
      </c>
      <c r="I451">
        <v>2.18522677662411</v>
      </c>
      <c r="J451">
        <v>27222149.09</v>
      </c>
      <c r="K451">
        <v>2.2032339984368501</v>
      </c>
      <c r="L451">
        <v>139784</v>
      </c>
      <c r="M451">
        <v>2.6966685771863101</v>
      </c>
      <c r="N451">
        <v>118.738579594231</v>
      </c>
      <c r="O451">
        <v>16597753.609999999</v>
      </c>
      <c r="P451">
        <v>2.6866897930006099</v>
      </c>
      <c r="Q451">
        <v>86762</v>
      </c>
      <c r="R451">
        <v>1.6737849760619199</v>
      </c>
      <c r="S451">
        <v>122.454478688827</v>
      </c>
      <c r="T451">
        <v>10624395.48</v>
      </c>
      <c r="U451">
        <v>1.7197782038887399</v>
      </c>
      <c r="V451">
        <v>3761</v>
      </c>
      <c r="W451">
        <v>5.11784236882212</v>
      </c>
    </row>
    <row r="452" spans="1:23" hidden="1" x14ac:dyDescent="0.25">
      <c r="A452" t="s">
        <v>87</v>
      </c>
      <c r="B452">
        <v>1</v>
      </c>
      <c r="C452">
        <v>2026</v>
      </c>
      <c r="D452" t="s">
        <v>144</v>
      </c>
      <c r="E452" t="s">
        <v>145</v>
      </c>
      <c r="F452">
        <v>130942</v>
      </c>
      <c r="G452">
        <v>15478492.630000001</v>
      </c>
      <c r="H452">
        <v>593126</v>
      </c>
      <c r="I452">
        <v>5.7211993021812502</v>
      </c>
      <c r="J452">
        <v>73004557.030000001</v>
      </c>
      <c r="K452">
        <v>5.9086489298673497</v>
      </c>
      <c r="L452">
        <v>362034</v>
      </c>
      <c r="M452">
        <v>6.98424506147391</v>
      </c>
      <c r="N452">
        <v>122.202679389229</v>
      </c>
      <c r="O452">
        <v>44241524.829999998</v>
      </c>
      <c r="P452">
        <v>7.1614060541258997</v>
      </c>
      <c r="Q452">
        <v>231092</v>
      </c>
      <c r="R452">
        <v>4.4581535428885903</v>
      </c>
      <c r="S452">
        <v>124.465720146089</v>
      </c>
      <c r="T452">
        <v>28763032.199999999</v>
      </c>
      <c r="U452">
        <v>4.6558918056493601</v>
      </c>
      <c r="V452">
        <v>2696</v>
      </c>
      <c r="W452">
        <v>3.6686261702590901</v>
      </c>
    </row>
    <row r="453" spans="1:23" hidden="1" x14ac:dyDescent="0.25">
      <c r="A453" t="s">
        <v>87</v>
      </c>
      <c r="B453">
        <v>1</v>
      </c>
      <c r="C453">
        <v>2026</v>
      </c>
      <c r="D453" t="s">
        <v>146</v>
      </c>
      <c r="E453" t="s">
        <v>147</v>
      </c>
      <c r="F453">
        <v>16901</v>
      </c>
      <c r="G453">
        <v>1996641.98</v>
      </c>
      <c r="H453">
        <v>111397</v>
      </c>
      <c r="I453">
        <v>1.07451778992168</v>
      </c>
      <c r="J453">
        <v>13523802.859999999</v>
      </c>
      <c r="K453">
        <v>1.09455363537977</v>
      </c>
      <c r="L453">
        <v>64149</v>
      </c>
      <c r="M453">
        <v>1.2375421547382</v>
      </c>
      <c r="N453">
        <v>120.971837752732</v>
      </c>
      <c r="O453">
        <v>7760222.4199999999</v>
      </c>
      <c r="P453">
        <v>1.2561525407068901</v>
      </c>
      <c r="Q453">
        <v>47248</v>
      </c>
      <c r="R453">
        <v>0.91149342510515396</v>
      </c>
      <c r="S453">
        <v>121.985701828649</v>
      </c>
      <c r="T453">
        <v>5763580.4400000004</v>
      </c>
      <c r="U453">
        <v>0.93295473005787399</v>
      </c>
      <c r="V453">
        <v>743</v>
      </c>
      <c r="W453">
        <v>1.01104942303505</v>
      </c>
    </row>
    <row r="454" spans="1:23" x14ac:dyDescent="0.25">
      <c r="A454" t="s">
        <v>87</v>
      </c>
      <c r="B454">
        <v>1</v>
      </c>
      <c r="C454">
        <v>2026</v>
      </c>
      <c r="D454" t="s">
        <v>148</v>
      </c>
      <c r="E454" t="s">
        <v>148</v>
      </c>
      <c r="F454">
        <v>0</v>
      </c>
      <c r="G454">
        <v>-1.9999990450742199E-2</v>
      </c>
      <c r="H454">
        <v>10367162</v>
      </c>
      <c r="I454">
        <v>0</v>
      </c>
      <c r="J454">
        <v>1235554149.46</v>
      </c>
      <c r="K454">
        <v>0</v>
      </c>
      <c r="L454">
        <v>5183581</v>
      </c>
      <c r="M454">
        <v>100</v>
      </c>
      <c r="N454">
        <v>118.558892612555</v>
      </c>
      <c r="O454">
        <v>617777074.72000003</v>
      </c>
      <c r="P454">
        <v>100</v>
      </c>
      <c r="Q454">
        <v>5183581</v>
      </c>
      <c r="R454">
        <v>100</v>
      </c>
      <c r="S454">
        <v>119.73290113330501</v>
      </c>
      <c r="T454">
        <v>617777074.74000001</v>
      </c>
      <c r="U454">
        <v>100</v>
      </c>
      <c r="V454">
        <v>73488</v>
      </c>
      <c r="W454">
        <v>100</v>
      </c>
    </row>
    <row r="455" spans="1:23" hidden="1" x14ac:dyDescent="0.25">
      <c r="A455" t="s">
        <v>87</v>
      </c>
      <c r="B455">
        <v>1</v>
      </c>
      <c r="C455">
        <v>2026</v>
      </c>
      <c r="D455" t="s">
        <v>149</v>
      </c>
      <c r="E455" t="s">
        <v>150</v>
      </c>
      <c r="F455">
        <v>23208</v>
      </c>
      <c r="G455">
        <v>2759076.8399999798</v>
      </c>
      <c r="H455">
        <v>594204</v>
      </c>
      <c r="I455">
        <v>5.7315975191667698</v>
      </c>
      <c r="J455">
        <v>70356671.120000005</v>
      </c>
      <c r="K455">
        <v>5.69434137311986</v>
      </c>
      <c r="L455">
        <v>308706</v>
      </c>
      <c r="M455">
        <v>5.9554582054375196</v>
      </c>
      <c r="N455">
        <v>118.422946039274</v>
      </c>
      <c r="O455">
        <v>36557873.979999997</v>
      </c>
      <c r="P455">
        <v>5.9176482061218296</v>
      </c>
      <c r="Q455">
        <v>285498</v>
      </c>
      <c r="R455">
        <v>5.5077368328960201</v>
      </c>
      <c r="S455">
        <v>118.385407743662</v>
      </c>
      <c r="T455">
        <v>33798797.140000001</v>
      </c>
      <c r="U455">
        <v>5.4710345401251201</v>
      </c>
      <c r="V455">
        <v>4442</v>
      </c>
      <c r="W455">
        <v>6.0445242760722797</v>
      </c>
    </row>
    <row r="456" spans="1:23" hidden="1" x14ac:dyDescent="0.25">
      <c r="A456" t="s">
        <v>87</v>
      </c>
      <c r="B456">
        <v>1</v>
      </c>
      <c r="C456">
        <v>2026</v>
      </c>
      <c r="D456" t="s">
        <v>151</v>
      </c>
      <c r="E456" t="s">
        <v>152</v>
      </c>
      <c r="F456">
        <v>6182</v>
      </c>
      <c r="G456">
        <v>452902.17000001698</v>
      </c>
      <c r="H456">
        <v>2196958</v>
      </c>
      <c r="I456">
        <v>21.191508341434201</v>
      </c>
      <c r="J456">
        <v>259313113.47</v>
      </c>
      <c r="K456">
        <v>20.9875960178138</v>
      </c>
      <c r="L456">
        <v>1101570</v>
      </c>
      <c r="M456">
        <v>21.251138932718501</v>
      </c>
      <c r="N456">
        <v>117.907175957951</v>
      </c>
      <c r="O456">
        <v>129883007.81999999</v>
      </c>
      <c r="P456">
        <v>21.0242518110385</v>
      </c>
      <c r="Q456">
        <v>1095388</v>
      </c>
      <c r="R456">
        <v>21.131877750149901</v>
      </c>
      <c r="S456">
        <v>118.15914146402901</v>
      </c>
      <c r="T456">
        <v>129430105.65000001</v>
      </c>
      <c r="U456">
        <v>20.950940224590301</v>
      </c>
      <c r="V456">
        <v>12978</v>
      </c>
      <c r="W456">
        <v>17.660026126714602</v>
      </c>
    </row>
    <row r="457" spans="1:23" hidden="1" x14ac:dyDescent="0.25">
      <c r="A457" t="s">
        <v>87</v>
      </c>
      <c r="B457">
        <v>1</v>
      </c>
      <c r="C457">
        <v>2026</v>
      </c>
      <c r="D457" t="s">
        <v>153</v>
      </c>
      <c r="E457" t="s">
        <v>154</v>
      </c>
      <c r="F457">
        <v>10199</v>
      </c>
      <c r="G457">
        <v>1362480.26</v>
      </c>
      <c r="H457">
        <v>84043</v>
      </c>
      <c r="I457">
        <v>0.810665445374539</v>
      </c>
      <c r="J457">
        <v>9977916.5800000001</v>
      </c>
      <c r="K457">
        <v>0.80756610985935795</v>
      </c>
      <c r="L457">
        <v>47121</v>
      </c>
      <c r="M457">
        <v>0.90904338139984697</v>
      </c>
      <c r="N457">
        <v>120.332726809703</v>
      </c>
      <c r="O457">
        <v>5670198.4199999999</v>
      </c>
      <c r="P457">
        <v>0.91783891828131503</v>
      </c>
      <c r="Q457">
        <v>36922</v>
      </c>
      <c r="R457">
        <v>0.71228750934923202</v>
      </c>
      <c r="S457">
        <v>116.670769730784</v>
      </c>
      <c r="T457">
        <v>4307718.16</v>
      </c>
      <c r="U457">
        <v>0.69729330144097101</v>
      </c>
      <c r="V457">
        <v>1533</v>
      </c>
      <c r="W457">
        <v>2.0860548661005902</v>
      </c>
    </row>
    <row r="458" spans="1:23" hidden="1" x14ac:dyDescent="0.25">
      <c r="A458" t="s">
        <v>87</v>
      </c>
      <c r="B458">
        <v>1</v>
      </c>
      <c r="C458">
        <v>2026</v>
      </c>
      <c r="D458" t="s">
        <v>155</v>
      </c>
      <c r="E458" t="s">
        <v>156</v>
      </c>
      <c r="F458">
        <v>-26672</v>
      </c>
      <c r="G458">
        <v>-3142869.08</v>
      </c>
      <c r="H458">
        <v>30178</v>
      </c>
      <c r="I458">
        <v>0.29109220054630203</v>
      </c>
      <c r="J458">
        <v>3559374</v>
      </c>
      <c r="K458">
        <v>0.28807915877710599</v>
      </c>
      <c r="L458">
        <v>1753</v>
      </c>
      <c r="M458">
        <v>3.3818319806326901E-2</v>
      </c>
      <c r="N458">
        <v>118.79775242441499</v>
      </c>
      <c r="O458">
        <v>208252.46</v>
      </c>
      <c r="P458">
        <v>3.3709968938939301E-2</v>
      </c>
      <c r="Q458">
        <v>28425</v>
      </c>
      <c r="R458">
        <v>0.54836608128627695</v>
      </c>
      <c r="S458">
        <v>117.89345787159201</v>
      </c>
      <c r="T458">
        <v>3351121.54</v>
      </c>
      <c r="U458">
        <v>0.54244834860703905</v>
      </c>
      <c r="V458">
        <v>233</v>
      </c>
      <c r="W458">
        <v>0.31705856738515098</v>
      </c>
    </row>
    <row r="459" spans="1:23" hidden="1" x14ac:dyDescent="0.25">
      <c r="A459" t="s">
        <v>179</v>
      </c>
      <c r="B459">
        <v>2</v>
      </c>
      <c r="C459">
        <v>2025</v>
      </c>
      <c r="D459" t="s">
        <v>88</v>
      </c>
      <c r="E459" t="s">
        <v>89</v>
      </c>
      <c r="F459">
        <v>70</v>
      </c>
      <c r="G459">
        <v>10601.1</v>
      </c>
      <c r="H459">
        <v>208</v>
      </c>
      <c r="I459">
        <v>2.3287057769816402</v>
      </c>
      <c r="J459">
        <v>29416.02</v>
      </c>
      <c r="K459">
        <v>2.2921516751950399</v>
      </c>
      <c r="L459">
        <v>139</v>
      </c>
      <c r="M459">
        <v>3.1124048365427699</v>
      </c>
      <c r="N459">
        <v>143.946474820144</v>
      </c>
      <c r="O459">
        <v>20008.560000000001</v>
      </c>
      <c r="P459">
        <v>3.1182093513833902</v>
      </c>
      <c r="Q459">
        <v>69</v>
      </c>
      <c r="R459">
        <v>1.54500671742051</v>
      </c>
      <c r="S459">
        <v>136.34</v>
      </c>
      <c r="T459">
        <v>9407.4599999999991</v>
      </c>
      <c r="U459">
        <v>1.4660939990066799</v>
      </c>
      <c r="V459">
        <v>4</v>
      </c>
      <c r="W459">
        <v>2.0618556701030899</v>
      </c>
    </row>
    <row r="460" spans="1:23" hidden="1" x14ac:dyDescent="0.25">
      <c r="A460" t="s">
        <v>179</v>
      </c>
      <c r="B460">
        <v>2</v>
      </c>
      <c r="C460">
        <v>2025</v>
      </c>
      <c r="D460" t="s">
        <v>90</v>
      </c>
      <c r="E460" t="s">
        <v>91</v>
      </c>
      <c r="F460">
        <v>-506</v>
      </c>
      <c r="G460">
        <v>-71529.009999999995</v>
      </c>
      <c r="H460">
        <v>604</v>
      </c>
      <c r="I460">
        <v>6.7622033139274498</v>
      </c>
      <c r="J460">
        <v>86240.61</v>
      </c>
      <c r="K460">
        <v>6.7200307411179896</v>
      </c>
      <c r="L460">
        <v>49</v>
      </c>
      <c r="M460">
        <v>1.0971786833855799</v>
      </c>
      <c r="N460">
        <v>150.11836734693901</v>
      </c>
      <c r="O460">
        <v>7355.8</v>
      </c>
      <c r="P460">
        <v>1.1463555771582701</v>
      </c>
      <c r="Q460">
        <v>555</v>
      </c>
      <c r="R460">
        <v>12.427227944469299</v>
      </c>
      <c r="S460">
        <v>142.13479279279301</v>
      </c>
      <c r="T460">
        <v>78884.81</v>
      </c>
      <c r="U460">
        <v>12.293705905077699</v>
      </c>
      <c r="V460">
        <v>10</v>
      </c>
      <c r="W460">
        <v>5.1546391752577296</v>
      </c>
    </row>
    <row r="461" spans="1:23" hidden="1" x14ac:dyDescent="0.25">
      <c r="A461" t="s">
        <v>179</v>
      </c>
      <c r="B461">
        <v>2</v>
      </c>
      <c r="C461">
        <v>2025</v>
      </c>
      <c r="D461" t="s">
        <v>102</v>
      </c>
      <c r="E461" t="s">
        <v>103</v>
      </c>
      <c r="F461">
        <v>586</v>
      </c>
      <c r="G461">
        <v>80684.67</v>
      </c>
      <c r="H461">
        <v>2458</v>
      </c>
      <c r="I461">
        <v>27.519032691446501</v>
      </c>
      <c r="J461">
        <v>350786.39</v>
      </c>
      <c r="K461">
        <v>27.3339361162427</v>
      </c>
      <c r="L461">
        <v>1522</v>
      </c>
      <c r="M461">
        <v>34.079713390058203</v>
      </c>
      <c r="N461">
        <v>141.74476346911999</v>
      </c>
      <c r="O461">
        <v>215735.53</v>
      </c>
      <c r="P461">
        <v>33.621037549511399</v>
      </c>
      <c r="Q461">
        <v>936</v>
      </c>
      <c r="R461">
        <v>20.9583519928347</v>
      </c>
      <c r="S461">
        <v>144.285106837607</v>
      </c>
      <c r="T461">
        <v>135050.85999999999</v>
      </c>
      <c r="U461">
        <v>21.046834682974101</v>
      </c>
      <c r="V461">
        <v>54</v>
      </c>
      <c r="W461">
        <v>27.835051546391799</v>
      </c>
    </row>
    <row r="462" spans="1:23" hidden="1" x14ac:dyDescent="0.25">
      <c r="A462" t="s">
        <v>179</v>
      </c>
      <c r="B462">
        <v>2</v>
      </c>
      <c r="C462">
        <v>2025</v>
      </c>
      <c r="D462" t="s">
        <v>104</v>
      </c>
      <c r="E462" t="s">
        <v>105</v>
      </c>
      <c r="F462">
        <v>154</v>
      </c>
      <c r="G462">
        <v>22162.6</v>
      </c>
      <c r="H462">
        <v>198</v>
      </c>
      <c r="I462">
        <v>2.2167487684729101</v>
      </c>
      <c r="J462">
        <v>28615.68</v>
      </c>
      <c r="K462">
        <v>2.2297876751798902</v>
      </c>
      <c r="L462">
        <v>176</v>
      </c>
      <c r="M462">
        <v>3.9408866995073901</v>
      </c>
      <c r="N462">
        <v>144.25647727272701</v>
      </c>
      <c r="O462">
        <v>25389.14</v>
      </c>
      <c r="P462">
        <v>3.9567392041997</v>
      </c>
      <c r="Q462">
        <v>22</v>
      </c>
      <c r="R462">
        <v>0.49261083743842399</v>
      </c>
      <c r="S462">
        <v>146.660909090909</v>
      </c>
      <c r="T462">
        <v>3226.54</v>
      </c>
      <c r="U462">
        <v>0.502836146160071</v>
      </c>
      <c r="V462">
        <v>7</v>
      </c>
      <c r="W462">
        <v>3.6082474226804102</v>
      </c>
    </row>
    <row r="463" spans="1:23" hidden="1" x14ac:dyDescent="0.25">
      <c r="A463" t="s">
        <v>179</v>
      </c>
      <c r="B463">
        <v>2</v>
      </c>
      <c r="C463">
        <v>2025</v>
      </c>
      <c r="D463" t="s">
        <v>106</v>
      </c>
      <c r="E463" t="s">
        <v>107</v>
      </c>
      <c r="F463">
        <v>534</v>
      </c>
      <c r="G463">
        <v>79383.66</v>
      </c>
      <c r="H463">
        <v>596</v>
      </c>
      <c r="I463">
        <v>6.6726377071204697</v>
      </c>
      <c r="J463">
        <v>88159.76</v>
      </c>
      <c r="K463">
        <v>6.8695745232969099</v>
      </c>
      <c r="L463">
        <v>565</v>
      </c>
      <c r="M463">
        <v>12.6511419614868</v>
      </c>
      <c r="N463">
        <v>148.26851327433599</v>
      </c>
      <c r="O463">
        <v>83771.710000000006</v>
      </c>
      <c r="P463">
        <v>13.0552988072793</v>
      </c>
      <c r="Q463">
        <v>31</v>
      </c>
      <c r="R463">
        <v>0.69413345275414196</v>
      </c>
      <c r="S463">
        <v>141.55000000000001</v>
      </c>
      <c r="T463">
        <v>4388.05</v>
      </c>
      <c r="U463">
        <v>0.68385023931446698</v>
      </c>
      <c r="V463">
        <v>7</v>
      </c>
      <c r="W463">
        <v>3.6082474226804102</v>
      </c>
    </row>
    <row r="464" spans="1:23" hidden="1" x14ac:dyDescent="0.25">
      <c r="A464" t="s">
        <v>179</v>
      </c>
      <c r="B464">
        <v>2</v>
      </c>
      <c r="C464">
        <v>2025</v>
      </c>
      <c r="D464" t="s">
        <v>110</v>
      </c>
      <c r="E464" t="s">
        <v>111</v>
      </c>
      <c r="F464">
        <v>50</v>
      </c>
      <c r="G464">
        <v>7476.2</v>
      </c>
      <c r="H464">
        <v>50</v>
      </c>
      <c r="I464">
        <v>0.55978504254366301</v>
      </c>
      <c r="J464">
        <v>7476.2</v>
      </c>
      <c r="K464">
        <v>0.58255958331865199</v>
      </c>
      <c r="L464">
        <v>50</v>
      </c>
      <c r="M464">
        <v>1.11957008508733</v>
      </c>
      <c r="N464">
        <v>149.524</v>
      </c>
      <c r="O464">
        <v>7476.2</v>
      </c>
      <c r="P464">
        <v>1.1651191666373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2</v>
      </c>
      <c r="W464">
        <v>1.0309278350515501</v>
      </c>
    </row>
    <row r="465" spans="1:23" hidden="1" x14ac:dyDescent="0.25">
      <c r="A465" t="s">
        <v>179</v>
      </c>
      <c r="B465">
        <v>2</v>
      </c>
      <c r="C465">
        <v>2025</v>
      </c>
      <c r="D465" t="s">
        <v>122</v>
      </c>
      <c r="E465" t="s">
        <v>123</v>
      </c>
      <c r="F465">
        <v>-873</v>
      </c>
      <c r="G465">
        <v>-128260.45</v>
      </c>
      <c r="H465">
        <v>4071</v>
      </c>
      <c r="I465">
        <v>45.577698163905097</v>
      </c>
      <c r="J465">
        <v>585904.94999999995</v>
      </c>
      <c r="K465">
        <v>45.654817091080403</v>
      </c>
      <c r="L465">
        <v>1599</v>
      </c>
      <c r="M465">
        <v>35.803851321092701</v>
      </c>
      <c r="N465">
        <v>143.103345841151</v>
      </c>
      <c r="O465">
        <v>228822.25</v>
      </c>
      <c r="P465">
        <v>35.660521284619499</v>
      </c>
      <c r="Q465">
        <v>2472</v>
      </c>
      <c r="R465">
        <v>55.351545006717402</v>
      </c>
      <c r="S465">
        <v>144.45093042071201</v>
      </c>
      <c r="T465">
        <v>357082.7</v>
      </c>
      <c r="U465">
        <v>55.649112897541301</v>
      </c>
      <c r="V465">
        <v>85</v>
      </c>
      <c r="W465">
        <v>43.814432989690701</v>
      </c>
    </row>
    <row r="466" spans="1:23" hidden="1" x14ac:dyDescent="0.25">
      <c r="A466" t="s">
        <v>179</v>
      </c>
      <c r="B466">
        <v>2</v>
      </c>
      <c r="C466">
        <v>2025</v>
      </c>
      <c r="D466" t="s">
        <v>130</v>
      </c>
      <c r="E466" t="s">
        <v>131</v>
      </c>
      <c r="F466">
        <v>2</v>
      </c>
      <c r="G466">
        <v>301.88</v>
      </c>
      <c r="H466">
        <v>2</v>
      </c>
      <c r="I466">
        <v>2.2391401701746499E-2</v>
      </c>
      <c r="J466">
        <v>301.88</v>
      </c>
      <c r="K466">
        <v>2.3523058106021E-2</v>
      </c>
      <c r="L466">
        <v>2</v>
      </c>
      <c r="M466">
        <v>4.4782803403493103E-2</v>
      </c>
      <c r="N466">
        <v>150.94</v>
      </c>
      <c r="O466">
        <v>301.88</v>
      </c>
      <c r="P466">
        <v>4.7046116212042098E-2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1</v>
      </c>
      <c r="W466">
        <v>0.51546391752577303</v>
      </c>
    </row>
    <row r="467" spans="1:23" hidden="1" x14ac:dyDescent="0.25">
      <c r="A467" t="s">
        <v>179</v>
      </c>
      <c r="B467">
        <v>2</v>
      </c>
      <c r="C467">
        <v>2025</v>
      </c>
      <c r="D467" t="s">
        <v>132</v>
      </c>
      <c r="E467" t="s">
        <v>133</v>
      </c>
      <c r="F467">
        <v>-86</v>
      </c>
      <c r="G467">
        <v>-11180.78</v>
      </c>
      <c r="H467">
        <v>292</v>
      </c>
      <c r="I467">
        <v>3.26914464845499</v>
      </c>
      <c r="J467">
        <v>41743.82</v>
      </c>
      <c r="K467">
        <v>3.2527570671368902</v>
      </c>
      <c r="L467">
        <v>103</v>
      </c>
      <c r="M467">
        <v>2.3063143752798898</v>
      </c>
      <c r="N467">
        <v>148.36427184466001</v>
      </c>
      <c r="O467">
        <v>15281.52</v>
      </c>
      <c r="P467">
        <v>2.3815296336844001</v>
      </c>
      <c r="Q467">
        <v>189</v>
      </c>
      <c r="R467">
        <v>4.2319749216300897</v>
      </c>
      <c r="S467">
        <v>140.01216931216899</v>
      </c>
      <c r="T467">
        <v>26462.3</v>
      </c>
      <c r="U467">
        <v>4.1239845005893798</v>
      </c>
      <c r="V467">
        <v>9</v>
      </c>
      <c r="W467">
        <v>4.63917525773196</v>
      </c>
    </row>
    <row r="468" spans="1:23" hidden="1" x14ac:dyDescent="0.25">
      <c r="A468" t="s">
        <v>179</v>
      </c>
      <c r="B468">
        <v>2</v>
      </c>
      <c r="C468">
        <v>2025</v>
      </c>
      <c r="D468" t="s">
        <v>136</v>
      </c>
      <c r="E468" t="s">
        <v>137</v>
      </c>
      <c r="F468">
        <v>-25</v>
      </c>
      <c r="G468">
        <v>-3550</v>
      </c>
      <c r="H468">
        <v>25</v>
      </c>
      <c r="I468">
        <v>0.27989252127183201</v>
      </c>
      <c r="J468">
        <v>3550</v>
      </c>
      <c r="K468">
        <v>0.27662268542591301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25</v>
      </c>
      <c r="R468">
        <v>0.55978504254366301</v>
      </c>
      <c r="S468">
        <v>142</v>
      </c>
      <c r="T468">
        <v>3550</v>
      </c>
      <c r="U468">
        <v>0.55324537085182701</v>
      </c>
      <c r="V468">
        <v>1</v>
      </c>
      <c r="W468">
        <v>0.51546391752577303</v>
      </c>
    </row>
    <row r="469" spans="1:23" hidden="1" x14ac:dyDescent="0.25">
      <c r="A469" t="s">
        <v>179</v>
      </c>
      <c r="B469">
        <v>2</v>
      </c>
      <c r="C469">
        <v>2025</v>
      </c>
      <c r="D469" t="s">
        <v>142</v>
      </c>
      <c r="E469" t="s">
        <v>143</v>
      </c>
      <c r="F469">
        <v>-11</v>
      </c>
      <c r="G469">
        <v>-1102.75</v>
      </c>
      <c r="H469">
        <v>187</v>
      </c>
      <c r="I469">
        <v>2.0935960591132998</v>
      </c>
      <c r="J469">
        <v>25698.51</v>
      </c>
      <c r="K469">
        <v>2.0024762951111801</v>
      </c>
      <c r="L469">
        <v>88</v>
      </c>
      <c r="M469">
        <v>1.97044334975369</v>
      </c>
      <c r="N469">
        <v>139.748636363636</v>
      </c>
      <c r="O469">
        <v>12297.88</v>
      </c>
      <c r="P469">
        <v>1.9165479383919</v>
      </c>
      <c r="Q469">
        <v>99</v>
      </c>
      <c r="R469">
        <v>2.2167487684729101</v>
      </c>
      <c r="S469">
        <v>135.35989898989899</v>
      </c>
      <c r="T469">
        <v>13400.63</v>
      </c>
      <c r="U469">
        <v>2.0884046518304502</v>
      </c>
      <c r="V469">
        <v>10</v>
      </c>
      <c r="W469">
        <v>5.1546391752577296</v>
      </c>
    </row>
    <row r="470" spans="1:23" hidden="1" x14ac:dyDescent="0.25">
      <c r="A470" t="s">
        <v>179</v>
      </c>
      <c r="B470">
        <v>2</v>
      </c>
      <c r="C470">
        <v>2025</v>
      </c>
      <c r="D470" t="s">
        <v>146</v>
      </c>
      <c r="E470" t="s">
        <v>147</v>
      </c>
      <c r="F470">
        <v>105</v>
      </c>
      <c r="G470">
        <v>15012.88</v>
      </c>
      <c r="H470">
        <v>241</v>
      </c>
      <c r="I470">
        <v>2.69816390506046</v>
      </c>
      <c r="J470">
        <v>35442.720000000001</v>
      </c>
      <c r="K470">
        <v>2.76176348878837</v>
      </c>
      <c r="L470">
        <v>173</v>
      </c>
      <c r="M470">
        <v>3.8737124944021502</v>
      </c>
      <c r="N470">
        <v>145.82543352601201</v>
      </c>
      <c r="O470">
        <v>25227.8</v>
      </c>
      <c r="P470">
        <v>3.93159537092273</v>
      </c>
      <c r="Q470">
        <v>68</v>
      </c>
      <c r="R470">
        <v>1.5226153157187601</v>
      </c>
      <c r="S470">
        <v>150.219411764706</v>
      </c>
      <c r="T470">
        <v>10214.92</v>
      </c>
      <c r="U470">
        <v>1.5919316066540099</v>
      </c>
      <c r="V470">
        <v>4</v>
      </c>
      <c r="W470">
        <v>2.0618556701030899</v>
      </c>
    </row>
    <row r="471" spans="1:23" x14ac:dyDescent="0.25">
      <c r="A471" t="s">
        <v>179</v>
      </c>
      <c r="B471">
        <v>2</v>
      </c>
      <c r="C471">
        <v>2025</v>
      </c>
      <c r="D471" t="s">
        <v>148</v>
      </c>
      <c r="E471" t="s">
        <v>148</v>
      </c>
      <c r="F471">
        <v>0</v>
      </c>
      <c r="G471" s="4">
        <v>4.08135747420602E-11</v>
      </c>
      <c r="H471">
        <v>8932</v>
      </c>
      <c r="I471">
        <v>0</v>
      </c>
      <c r="J471">
        <v>1283336.54</v>
      </c>
      <c r="K471">
        <v>0</v>
      </c>
      <c r="L471">
        <v>4466</v>
      </c>
      <c r="M471">
        <v>100</v>
      </c>
      <c r="N471">
        <v>145.04095539936901</v>
      </c>
      <c r="O471">
        <v>641668.27</v>
      </c>
      <c r="P471">
        <v>100</v>
      </c>
      <c r="Q471">
        <v>4466</v>
      </c>
      <c r="R471">
        <v>100</v>
      </c>
      <c r="S471">
        <v>141.77500000000001</v>
      </c>
      <c r="T471">
        <v>641668.27</v>
      </c>
      <c r="U471">
        <v>100</v>
      </c>
      <c r="V471">
        <v>194</v>
      </c>
      <c r="W471">
        <v>100</v>
      </c>
    </row>
    <row r="472" spans="1:23" hidden="1" x14ac:dyDescent="0.25">
      <c r="A472" t="s">
        <v>179</v>
      </c>
      <c r="B472">
        <v>3</v>
      </c>
      <c r="C472">
        <v>2025</v>
      </c>
      <c r="D472" t="s">
        <v>88</v>
      </c>
      <c r="E472" t="s">
        <v>89</v>
      </c>
      <c r="F472">
        <v>25</v>
      </c>
      <c r="G472">
        <v>3452.75</v>
      </c>
      <c r="H472">
        <v>25</v>
      </c>
      <c r="I472">
        <v>0.20892528831689799</v>
      </c>
      <c r="J472">
        <v>3452.75</v>
      </c>
      <c r="K472">
        <v>0.204323753972175</v>
      </c>
      <c r="L472">
        <v>25</v>
      </c>
      <c r="M472">
        <v>0.41785057663379599</v>
      </c>
      <c r="N472">
        <v>138.11000000000001</v>
      </c>
      <c r="O472">
        <v>3452.75</v>
      </c>
      <c r="P472">
        <v>0.40864750794434901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1</v>
      </c>
      <c r="W472">
        <v>0.52083333333333304</v>
      </c>
    </row>
    <row r="473" spans="1:23" hidden="1" x14ac:dyDescent="0.25">
      <c r="A473" t="s">
        <v>179</v>
      </c>
      <c r="B473">
        <v>3</v>
      </c>
      <c r="C473">
        <v>2025</v>
      </c>
      <c r="D473" t="s">
        <v>90</v>
      </c>
      <c r="E473" t="s">
        <v>91</v>
      </c>
      <c r="F473">
        <v>-100</v>
      </c>
      <c r="G473">
        <v>-13858.43</v>
      </c>
      <c r="H473">
        <v>274</v>
      </c>
      <c r="I473">
        <v>2.2898211599531999</v>
      </c>
      <c r="J473">
        <v>38570.61</v>
      </c>
      <c r="K473">
        <v>2.2824970902024999</v>
      </c>
      <c r="L473">
        <v>87</v>
      </c>
      <c r="M473">
        <v>1.4541200066856099</v>
      </c>
      <c r="N473">
        <v>142.024022988506</v>
      </c>
      <c r="O473">
        <v>12356.09</v>
      </c>
      <c r="P473">
        <v>1.4623953041593201</v>
      </c>
      <c r="Q473">
        <v>187</v>
      </c>
      <c r="R473">
        <v>3.1255223132207899</v>
      </c>
      <c r="S473">
        <v>140.184598930481</v>
      </c>
      <c r="T473">
        <v>26214.52</v>
      </c>
      <c r="U473">
        <v>3.1025988762456902</v>
      </c>
      <c r="V473">
        <v>13</v>
      </c>
      <c r="W473">
        <v>6.7708333333333304</v>
      </c>
    </row>
    <row r="474" spans="1:23" hidden="1" x14ac:dyDescent="0.25">
      <c r="A474" t="s">
        <v>179</v>
      </c>
      <c r="B474">
        <v>3</v>
      </c>
      <c r="C474">
        <v>2025</v>
      </c>
      <c r="D474" t="s">
        <v>102</v>
      </c>
      <c r="E474" t="s">
        <v>103</v>
      </c>
      <c r="F474">
        <v>-827</v>
      </c>
      <c r="G474">
        <v>-117590.49</v>
      </c>
      <c r="H474">
        <v>3065</v>
      </c>
      <c r="I474">
        <v>25.614240347651702</v>
      </c>
      <c r="J474">
        <v>434581.77</v>
      </c>
      <c r="K474">
        <v>25.717291623857001</v>
      </c>
      <c r="L474">
        <v>1119</v>
      </c>
      <c r="M474">
        <v>18.702991810128701</v>
      </c>
      <c r="N474">
        <v>141.64042895442401</v>
      </c>
      <c r="O474">
        <v>158495.64000000001</v>
      </c>
      <c r="P474">
        <v>18.758626690621899</v>
      </c>
      <c r="Q474">
        <v>1946</v>
      </c>
      <c r="R474">
        <v>32.525488885174703</v>
      </c>
      <c r="S474">
        <v>141.87365364850999</v>
      </c>
      <c r="T474">
        <v>276086.13</v>
      </c>
      <c r="U474">
        <v>32.675956557092</v>
      </c>
      <c r="V474">
        <v>41</v>
      </c>
      <c r="W474">
        <v>21.3541666666667</v>
      </c>
    </row>
    <row r="475" spans="1:23" hidden="1" x14ac:dyDescent="0.25">
      <c r="A475" t="s">
        <v>179</v>
      </c>
      <c r="B475">
        <v>3</v>
      </c>
      <c r="C475">
        <v>2025</v>
      </c>
      <c r="D475" t="s">
        <v>104</v>
      </c>
      <c r="E475" t="s">
        <v>105</v>
      </c>
      <c r="F475">
        <v>51</v>
      </c>
      <c r="G475">
        <v>7150.03</v>
      </c>
      <c r="H475">
        <v>51</v>
      </c>
      <c r="I475">
        <v>0.42620758816647197</v>
      </c>
      <c r="J475">
        <v>7150.03</v>
      </c>
      <c r="K475">
        <v>0.42311808576168802</v>
      </c>
      <c r="L475">
        <v>51</v>
      </c>
      <c r="M475">
        <v>0.85241517633294295</v>
      </c>
      <c r="N475">
        <v>140.196666666667</v>
      </c>
      <c r="O475">
        <v>7150.03</v>
      </c>
      <c r="P475">
        <v>0.84623617152337505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3</v>
      </c>
      <c r="W475">
        <v>1.5625</v>
      </c>
    </row>
    <row r="476" spans="1:23" hidden="1" x14ac:dyDescent="0.25">
      <c r="A476" t="s">
        <v>179</v>
      </c>
      <c r="B476">
        <v>3</v>
      </c>
      <c r="C476">
        <v>2025</v>
      </c>
      <c r="D476" t="s">
        <v>106</v>
      </c>
      <c r="E476" t="s">
        <v>107</v>
      </c>
      <c r="F476">
        <v>-195</v>
      </c>
      <c r="G476">
        <v>-26594.03</v>
      </c>
      <c r="H476">
        <v>587</v>
      </c>
      <c r="I476">
        <v>4.9055657696807602</v>
      </c>
      <c r="J476">
        <v>81985.39</v>
      </c>
      <c r="K476">
        <v>4.8516581437036503</v>
      </c>
      <c r="L476">
        <v>196</v>
      </c>
      <c r="M476">
        <v>3.27594852080896</v>
      </c>
      <c r="N476">
        <v>141.30448979591799</v>
      </c>
      <c r="O476">
        <v>27695.68</v>
      </c>
      <c r="P476">
        <v>3.27790040194748</v>
      </c>
      <c r="Q476">
        <v>391</v>
      </c>
      <c r="R476">
        <v>6.5351830185525603</v>
      </c>
      <c r="S476">
        <v>138.848363171355</v>
      </c>
      <c r="T476">
        <v>54289.71</v>
      </c>
      <c r="U476">
        <v>6.4254158854598202</v>
      </c>
      <c r="V476">
        <v>11</v>
      </c>
      <c r="W476">
        <v>5.7291666666666696</v>
      </c>
    </row>
    <row r="477" spans="1:23" hidden="1" x14ac:dyDescent="0.25">
      <c r="A477" t="s">
        <v>179</v>
      </c>
      <c r="B477">
        <v>3</v>
      </c>
      <c r="C477">
        <v>2025</v>
      </c>
      <c r="D477" t="s">
        <v>110</v>
      </c>
      <c r="E477" t="s">
        <v>111</v>
      </c>
      <c r="F477">
        <v>132</v>
      </c>
      <c r="G477">
        <v>18943.32</v>
      </c>
      <c r="H477">
        <v>132</v>
      </c>
      <c r="I477">
        <v>1.1031255223132199</v>
      </c>
      <c r="J477">
        <v>18943.32</v>
      </c>
      <c r="K477">
        <v>1.1210108623839501</v>
      </c>
      <c r="L477">
        <v>132</v>
      </c>
      <c r="M477">
        <v>2.2062510446264398</v>
      </c>
      <c r="N477">
        <v>143.51</v>
      </c>
      <c r="O477">
        <v>18943.32</v>
      </c>
      <c r="P477">
        <v>2.24202172476789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1</v>
      </c>
      <c r="W477">
        <v>0.52083333333333304</v>
      </c>
    </row>
    <row r="478" spans="1:23" hidden="1" x14ac:dyDescent="0.25">
      <c r="A478" t="s">
        <v>179</v>
      </c>
      <c r="B478">
        <v>3</v>
      </c>
      <c r="C478">
        <v>2025</v>
      </c>
      <c r="D478" t="s">
        <v>118</v>
      </c>
      <c r="E478" t="s">
        <v>119</v>
      </c>
      <c r="F478">
        <v>18</v>
      </c>
      <c r="G478">
        <v>2462.58</v>
      </c>
      <c r="H478">
        <v>54</v>
      </c>
      <c r="I478">
        <v>0.45127862276449898</v>
      </c>
      <c r="J478">
        <v>7543.26</v>
      </c>
      <c r="K478">
        <v>0.44638829929422802</v>
      </c>
      <c r="L478">
        <v>36</v>
      </c>
      <c r="M478">
        <v>0.60170483035266598</v>
      </c>
      <c r="N478">
        <v>138.97</v>
      </c>
      <c r="O478">
        <v>5002.92</v>
      </c>
      <c r="P478">
        <v>0.59211665786545298</v>
      </c>
      <c r="Q478">
        <v>18</v>
      </c>
      <c r="R478">
        <v>0.30085241517633299</v>
      </c>
      <c r="S478">
        <v>141.13</v>
      </c>
      <c r="T478">
        <v>2540.34</v>
      </c>
      <c r="U478">
        <v>0.30065994072300301</v>
      </c>
      <c r="V478">
        <v>2</v>
      </c>
      <c r="W478">
        <v>1.0416666666666701</v>
      </c>
    </row>
    <row r="479" spans="1:23" hidden="1" x14ac:dyDescent="0.25">
      <c r="A479" t="s">
        <v>179</v>
      </c>
      <c r="B479">
        <v>3</v>
      </c>
      <c r="C479">
        <v>2025</v>
      </c>
      <c r="D479" t="s">
        <v>122</v>
      </c>
      <c r="E479" t="s">
        <v>123</v>
      </c>
      <c r="F479">
        <v>2018</v>
      </c>
      <c r="G479">
        <v>284092.75</v>
      </c>
      <c r="H479">
        <v>5570</v>
      </c>
      <c r="I479">
        <v>46.548554237004801</v>
      </c>
      <c r="J479">
        <v>785916.57</v>
      </c>
      <c r="K479">
        <v>46.508268450173098</v>
      </c>
      <c r="L479">
        <v>3794</v>
      </c>
      <c r="M479">
        <v>63.413003509944801</v>
      </c>
      <c r="N479">
        <v>141.01335266209799</v>
      </c>
      <c r="O479">
        <v>535004.66</v>
      </c>
      <c r="P479">
        <v>63.320055332014697</v>
      </c>
      <c r="Q479">
        <v>1776</v>
      </c>
      <c r="R479">
        <v>29.6841049640649</v>
      </c>
      <c r="S479">
        <v>141.279228603604</v>
      </c>
      <c r="T479">
        <v>250911.91</v>
      </c>
      <c r="U479">
        <v>29.696481568331599</v>
      </c>
      <c r="V479">
        <v>81</v>
      </c>
      <c r="W479">
        <v>42.1875</v>
      </c>
    </row>
    <row r="480" spans="1:23" hidden="1" x14ac:dyDescent="0.25">
      <c r="A480" t="s">
        <v>179</v>
      </c>
      <c r="B480">
        <v>3</v>
      </c>
      <c r="C480">
        <v>2025</v>
      </c>
      <c r="D480" t="s">
        <v>126</v>
      </c>
      <c r="E480" t="s">
        <v>127</v>
      </c>
      <c r="F480">
        <v>-70</v>
      </c>
      <c r="G480">
        <v>-9824.5</v>
      </c>
      <c r="H480">
        <v>70</v>
      </c>
      <c r="I480">
        <v>0.58499080728731401</v>
      </c>
      <c r="J480">
        <v>9824.5</v>
      </c>
      <c r="K480">
        <v>0.58138548139877699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70</v>
      </c>
      <c r="R480">
        <v>1.16998161457463</v>
      </c>
      <c r="S480">
        <v>140.35</v>
      </c>
      <c r="T480">
        <v>9824.5</v>
      </c>
      <c r="U480">
        <v>1.16277096279755</v>
      </c>
      <c r="V480">
        <v>1</v>
      </c>
      <c r="W480">
        <v>0.52083333333333304</v>
      </c>
    </row>
    <row r="481" spans="1:23" hidden="1" x14ac:dyDescent="0.25">
      <c r="A481" t="s">
        <v>179</v>
      </c>
      <c r="B481">
        <v>3</v>
      </c>
      <c r="C481">
        <v>2025</v>
      </c>
      <c r="D481" t="s">
        <v>130</v>
      </c>
      <c r="E481" t="s">
        <v>131</v>
      </c>
      <c r="F481">
        <v>-64</v>
      </c>
      <c r="G481">
        <v>-8869.0300000000007</v>
      </c>
      <c r="H481">
        <v>64</v>
      </c>
      <c r="I481">
        <v>0.53484873809125899</v>
      </c>
      <c r="J481">
        <v>8869.0300000000007</v>
      </c>
      <c r="K481">
        <v>0.52484353158839603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64</v>
      </c>
      <c r="R481">
        <v>1.06969747618252</v>
      </c>
      <c r="S481">
        <v>138.57859375000001</v>
      </c>
      <c r="T481">
        <v>8869.0300000000007</v>
      </c>
      <c r="U481">
        <v>1.0496870631767901</v>
      </c>
      <c r="V481">
        <v>3</v>
      </c>
      <c r="W481">
        <v>1.5625</v>
      </c>
    </row>
    <row r="482" spans="1:23" hidden="1" x14ac:dyDescent="0.25">
      <c r="A482" t="s">
        <v>179</v>
      </c>
      <c r="B482">
        <v>3</v>
      </c>
      <c r="C482">
        <v>2025</v>
      </c>
      <c r="D482" t="s">
        <v>132</v>
      </c>
      <c r="E482" t="s">
        <v>133</v>
      </c>
      <c r="F482">
        <v>-1021</v>
      </c>
      <c r="G482">
        <v>-143839.93</v>
      </c>
      <c r="H482">
        <v>1447</v>
      </c>
      <c r="I482">
        <v>12.092595687782</v>
      </c>
      <c r="J482">
        <v>204136.93</v>
      </c>
      <c r="K482">
        <v>12.080232817885699</v>
      </c>
      <c r="L482">
        <v>213</v>
      </c>
      <c r="M482">
        <v>3.5600869129199402</v>
      </c>
      <c r="N482">
        <v>141.54225352112701</v>
      </c>
      <c r="O482">
        <v>30148.5</v>
      </c>
      <c r="P482">
        <v>3.56820198197385</v>
      </c>
      <c r="Q482">
        <v>1234</v>
      </c>
      <c r="R482">
        <v>20.625104462644199</v>
      </c>
      <c r="S482">
        <v>140.99548622366299</v>
      </c>
      <c r="T482">
        <v>173988.43</v>
      </c>
      <c r="U482">
        <v>20.592263653797598</v>
      </c>
      <c r="V482">
        <v>18</v>
      </c>
      <c r="W482">
        <v>9.375</v>
      </c>
    </row>
    <row r="483" spans="1:23" hidden="1" x14ac:dyDescent="0.25">
      <c r="A483" t="s">
        <v>179</v>
      </c>
      <c r="B483">
        <v>3</v>
      </c>
      <c r="C483">
        <v>2025</v>
      </c>
      <c r="D483" t="s">
        <v>134</v>
      </c>
      <c r="E483" t="s">
        <v>135</v>
      </c>
      <c r="F483">
        <v>9</v>
      </c>
      <c r="G483">
        <v>1257.48</v>
      </c>
      <c r="H483">
        <v>9</v>
      </c>
      <c r="I483">
        <v>7.5213103794083205E-2</v>
      </c>
      <c r="J483">
        <v>1257.48</v>
      </c>
      <c r="K483">
        <v>7.4414027701087501E-2</v>
      </c>
      <c r="L483">
        <v>9</v>
      </c>
      <c r="M483">
        <v>0.15042620758816599</v>
      </c>
      <c r="N483">
        <v>139.72</v>
      </c>
      <c r="O483">
        <v>1257.48</v>
      </c>
      <c r="P483">
        <v>0.148828055402175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1</v>
      </c>
      <c r="W483">
        <v>0.52083333333333304</v>
      </c>
    </row>
    <row r="484" spans="1:23" hidden="1" x14ac:dyDescent="0.25">
      <c r="A484" t="s">
        <v>179</v>
      </c>
      <c r="B484">
        <v>3</v>
      </c>
      <c r="C484">
        <v>2025</v>
      </c>
      <c r="D484" t="s">
        <v>142</v>
      </c>
      <c r="E484" t="s">
        <v>143</v>
      </c>
      <c r="F484">
        <v>29</v>
      </c>
      <c r="G484">
        <v>3831.6000000000099</v>
      </c>
      <c r="H484">
        <v>543</v>
      </c>
      <c r="I484">
        <v>4.53785726224302</v>
      </c>
      <c r="J484">
        <v>77161.94</v>
      </c>
      <c r="K484">
        <v>4.5662203300487096</v>
      </c>
      <c r="L484">
        <v>286</v>
      </c>
      <c r="M484">
        <v>4.7802105966906199</v>
      </c>
      <c r="N484">
        <v>141.597097902098</v>
      </c>
      <c r="O484">
        <v>40496.769999999997</v>
      </c>
      <c r="P484">
        <v>4.79296333076402</v>
      </c>
      <c r="Q484">
        <v>257</v>
      </c>
      <c r="R484">
        <v>4.2955039277954201</v>
      </c>
      <c r="S484">
        <v>142.666031128405</v>
      </c>
      <c r="T484">
        <v>36665.17</v>
      </c>
      <c r="U484">
        <v>4.3394773293334001</v>
      </c>
      <c r="V484">
        <v>14</v>
      </c>
      <c r="W484">
        <v>7.2916666666666696</v>
      </c>
    </row>
    <row r="485" spans="1:23" hidden="1" x14ac:dyDescent="0.25">
      <c r="A485" t="s">
        <v>179</v>
      </c>
      <c r="B485">
        <v>3</v>
      </c>
      <c r="C485">
        <v>2025</v>
      </c>
      <c r="D485" t="s">
        <v>146</v>
      </c>
      <c r="E485" t="s">
        <v>147</v>
      </c>
      <c r="F485">
        <v>-5</v>
      </c>
      <c r="G485">
        <v>-614.1</v>
      </c>
      <c r="H485">
        <v>75</v>
      </c>
      <c r="I485">
        <v>0.62677586495069404</v>
      </c>
      <c r="J485">
        <v>10449.1</v>
      </c>
      <c r="K485">
        <v>0.61834750202900501</v>
      </c>
      <c r="L485">
        <v>35</v>
      </c>
      <c r="M485">
        <v>0.58499080728731401</v>
      </c>
      <c r="N485">
        <v>140.5</v>
      </c>
      <c r="O485">
        <v>4917.5</v>
      </c>
      <c r="P485">
        <v>0.58200684101552003</v>
      </c>
      <c r="Q485">
        <v>40</v>
      </c>
      <c r="R485">
        <v>0.66856092261407296</v>
      </c>
      <c r="S485">
        <v>138.29</v>
      </c>
      <c r="T485">
        <v>5531.6</v>
      </c>
      <c r="U485">
        <v>0.654688163042491</v>
      </c>
      <c r="V485">
        <v>2</v>
      </c>
      <c r="W485">
        <v>1.0416666666666701</v>
      </c>
    </row>
    <row r="486" spans="1:23" x14ac:dyDescent="0.25">
      <c r="A486" t="s">
        <v>179</v>
      </c>
      <c r="B486">
        <v>3</v>
      </c>
      <c r="C486">
        <v>2025</v>
      </c>
      <c r="D486" t="s">
        <v>148</v>
      </c>
      <c r="E486" t="s">
        <v>148</v>
      </c>
      <c r="F486">
        <v>0</v>
      </c>
      <c r="G486" s="4">
        <v>2.4101609596982602E-11</v>
      </c>
      <c r="H486">
        <v>11966</v>
      </c>
      <c r="I486">
        <v>0</v>
      </c>
      <c r="J486">
        <v>1689842.68</v>
      </c>
      <c r="K486">
        <v>0</v>
      </c>
      <c r="L486">
        <v>5983</v>
      </c>
      <c r="M486">
        <v>100</v>
      </c>
      <c r="N486">
        <v>140.75667633104899</v>
      </c>
      <c r="O486">
        <v>844921.34</v>
      </c>
      <c r="P486">
        <v>100</v>
      </c>
      <c r="Q486">
        <v>5983</v>
      </c>
      <c r="R486">
        <v>100</v>
      </c>
      <c r="S486">
        <v>139.516481050918</v>
      </c>
      <c r="T486">
        <v>844921.34</v>
      </c>
      <c r="U486">
        <v>100</v>
      </c>
      <c r="V486">
        <v>192</v>
      </c>
      <c r="W486">
        <v>100</v>
      </c>
    </row>
    <row r="487" spans="1:23" hidden="1" x14ac:dyDescent="0.25">
      <c r="A487" t="s">
        <v>179</v>
      </c>
      <c r="B487">
        <v>4</v>
      </c>
      <c r="C487">
        <v>2025</v>
      </c>
      <c r="D487" t="s">
        <v>88</v>
      </c>
      <c r="E487" t="s">
        <v>89</v>
      </c>
      <c r="F487">
        <v>-196</v>
      </c>
      <c r="G487">
        <v>-27411.65</v>
      </c>
      <c r="H487">
        <v>210</v>
      </c>
      <c r="I487">
        <v>1.5676321289937301</v>
      </c>
      <c r="J487">
        <v>29431.85</v>
      </c>
      <c r="K487">
        <v>1.5727432627603799</v>
      </c>
      <c r="L487">
        <v>7</v>
      </c>
      <c r="M487">
        <v>0.104508808599582</v>
      </c>
      <c r="N487">
        <v>144.30000000000001</v>
      </c>
      <c r="O487">
        <v>1010.1</v>
      </c>
      <c r="P487">
        <v>0.10795298084994701</v>
      </c>
      <c r="Q487">
        <v>203</v>
      </c>
      <c r="R487">
        <v>3.0307554493878799</v>
      </c>
      <c r="S487">
        <v>140.008620689655</v>
      </c>
      <c r="T487">
        <v>28421.75</v>
      </c>
      <c r="U487">
        <v>3.03753354467081</v>
      </c>
      <c r="V487">
        <v>4</v>
      </c>
      <c r="W487">
        <v>1.5267175572519101</v>
      </c>
    </row>
    <row r="488" spans="1:23" hidden="1" x14ac:dyDescent="0.25">
      <c r="A488" t="s">
        <v>179</v>
      </c>
      <c r="B488">
        <v>4</v>
      </c>
      <c r="C488">
        <v>2025</v>
      </c>
      <c r="D488" t="s">
        <v>90</v>
      </c>
      <c r="E488" t="s">
        <v>91</v>
      </c>
      <c r="F488">
        <v>-45</v>
      </c>
      <c r="G488">
        <v>-5857.39</v>
      </c>
      <c r="H488">
        <v>199</v>
      </c>
      <c r="I488">
        <v>1.48551806509406</v>
      </c>
      <c r="J488">
        <v>27552.69</v>
      </c>
      <c r="K488">
        <v>1.4723270052146</v>
      </c>
      <c r="L488">
        <v>77</v>
      </c>
      <c r="M488">
        <v>1.1495968945954</v>
      </c>
      <c r="N488">
        <v>140.87857142857101</v>
      </c>
      <c r="O488">
        <v>10847.65</v>
      </c>
      <c r="P488">
        <v>1.1593269505167101</v>
      </c>
      <c r="Q488">
        <v>122</v>
      </c>
      <c r="R488">
        <v>1.82143923559271</v>
      </c>
      <c r="S488">
        <v>136.92655737704899</v>
      </c>
      <c r="T488">
        <v>16705.04</v>
      </c>
      <c r="U488">
        <v>1.78532705991248</v>
      </c>
      <c r="V488">
        <v>10</v>
      </c>
      <c r="W488">
        <v>3.8167938931297698</v>
      </c>
    </row>
    <row r="489" spans="1:23" hidden="1" x14ac:dyDescent="0.25">
      <c r="A489" t="s">
        <v>179</v>
      </c>
      <c r="B489">
        <v>4</v>
      </c>
      <c r="C489">
        <v>2025</v>
      </c>
      <c r="D489" t="s">
        <v>102</v>
      </c>
      <c r="E489" t="s">
        <v>103</v>
      </c>
      <c r="F489">
        <v>154</v>
      </c>
      <c r="G489">
        <v>19929.189999999999</v>
      </c>
      <c r="H489">
        <v>1932</v>
      </c>
      <c r="I489">
        <v>14.422215586742301</v>
      </c>
      <c r="J489">
        <v>268462.11</v>
      </c>
      <c r="K489">
        <v>14.3457504305348</v>
      </c>
      <c r="L489">
        <v>1043</v>
      </c>
      <c r="M489">
        <v>15.5718124813377</v>
      </c>
      <c r="N489">
        <v>138.25086289549401</v>
      </c>
      <c r="O489">
        <v>144195.65</v>
      </c>
      <c r="P489">
        <v>15.4107021513669</v>
      </c>
      <c r="Q489">
        <v>889</v>
      </c>
      <c r="R489">
        <v>13.272618692146899</v>
      </c>
      <c r="S489">
        <v>139.78229471316101</v>
      </c>
      <c r="T489">
        <v>124266.46</v>
      </c>
      <c r="U489">
        <v>13.280798709702699</v>
      </c>
      <c r="V489">
        <v>72</v>
      </c>
      <c r="W489">
        <v>27.480916030534399</v>
      </c>
    </row>
    <row r="490" spans="1:23" hidden="1" x14ac:dyDescent="0.25">
      <c r="A490" t="s">
        <v>179</v>
      </c>
      <c r="B490">
        <v>4</v>
      </c>
      <c r="C490">
        <v>2025</v>
      </c>
      <c r="D490" t="s">
        <v>104</v>
      </c>
      <c r="E490" t="s">
        <v>105</v>
      </c>
      <c r="F490">
        <v>-223</v>
      </c>
      <c r="G490">
        <v>-28639.42</v>
      </c>
      <c r="H490">
        <v>709</v>
      </c>
      <c r="I490">
        <v>5.2926246640788301</v>
      </c>
      <c r="J490">
        <v>98457.58</v>
      </c>
      <c r="K490">
        <v>5.2612559391506402</v>
      </c>
      <c r="L490">
        <v>243</v>
      </c>
      <c r="M490">
        <v>3.62794864138549</v>
      </c>
      <c r="N490">
        <v>143.65876543209899</v>
      </c>
      <c r="O490">
        <v>34909.08</v>
      </c>
      <c r="P490">
        <v>3.7308575831395601</v>
      </c>
      <c r="Q490">
        <v>466</v>
      </c>
      <c r="R490">
        <v>6.9573006867721698</v>
      </c>
      <c r="S490">
        <v>136.37017167382001</v>
      </c>
      <c r="T490">
        <v>63548.5</v>
      </c>
      <c r="U490">
        <v>6.79165429516173</v>
      </c>
      <c r="V490">
        <v>16</v>
      </c>
      <c r="W490">
        <v>6.1068702290076304</v>
      </c>
    </row>
    <row r="491" spans="1:23" hidden="1" x14ac:dyDescent="0.25">
      <c r="A491" t="s">
        <v>179</v>
      </c>
      <c r="B491">
        <v>4</v>
      </c>
      <c r="C491">
        <v>2025</v>
      </c>
      <c r="D491" t="s">
        <v>106</v>
      </c>
      <c r="E491" t="s">
        <v>107</v>
      </c>
      <c r="F491">
        <v>-449</v>
      </c>
      <c r="G491">
        <v>-60823.58</v>
      </c>
      <c r="H491">
        <v>1269</v>
      </c>
      <c r="I491">
        <v>9.4729770080621094</v>
      </c>
      <c r="J491">
        <v>172630.58</v>
      </c>
      <c r="K491">
        <v>9.2248221447654899</v>
      </c>
      <c r="L491">
        <v>410</v>
      </c>
      <c r="M491">
        <v>6.12123021797552</v>
      </c>
      <c r="N491">
        <v>136.35</v>
      </c>
      <c r="O491">
        <v>55903.5</v>
      </c>
      <c r="P491">
        <v>5.9746059449015103</v>
      </c>
      <c r="Q491">
        <v>859</v>
      </c>
      <c r="R491">
        <v>12.8247237981487</v>
      </c>
      <c r="S491">
        <v>135.88717112922001</v>
      </c>
      <c r="T491">
        <v>116727.08</v>
      </c>
      <c r="U491">
        <v>12.4750383446295</v>
      </c>
      <c r="V491">
        <v>12</v>
      </c>
      <c r="W491">
        <v>4.5801526717557204</v>
      </c>
    </row>
    <row r="492" spans="1:23" hidden="1" x14ac:dyDescent="0.25">
      <c r="A492" t="s">
        <v>179</v>
      </c>
      <c r="B492">
        <v>4</v>
      </c>
      <c r="C492">
        <v>2025</v>
      </c>
      <c r="D492" t="s">
        <v>110</v>
      </c>
      <c r="E492" t="s">
        <v>111</v>
      </c>
      <c r="F492">
        <v>882</v>
      </c>
      <c r="G492">
        <v>117550.22</v>
      </c>
      <c r="H492">
        <v>1560</v>
      </c>
      <c r="I492">
        <v>11.6452672439534</v>
      </c>
      <c r="J492">
        <v>214295.52</v>
      </c>
      <c r="K492">
        <v>11.451262333823101</v>
      </c>
      <c r="L492">
        <v>1221</v>
      </c>
      <c r="M492">
        <v>18.229322185727099</v>
      </c>
      <c r="N492">
        <v>135.89096642096601</v>
      </c>
      <c r="O492">
        <v>165922.87</v>
      </c>
      <c r="P492">
        <v>17.732767456368901</v>
      </c>
      <c r="Q492">
        <v>339</v>
      </c>
      <c r="R492">
        <v>5.0612123021797597</v>
      </c>
      <c r="S492">
        <v>142.69218289085501</v>
      </c>
      <c r="T492">
        <v>48372.65</v>
      </c>
      <c r="U492">
        <v>5.1697572112772896</v>
      </c>
      <c r="V492">
        <v>22</v>
      </c>
      <c r="W492">
        <v>8.3969465648855</v>
      </c>
    </row>
    <row r="493" spans="1:23" hidden="1" x14ac:dyDescent="0.25">
      <c r="A493" t="s">
        <v>179</v>
      </c>
      <c r="B493">
        <v>4</v>
      </c>
      <c r="C493">
        <v>2025</v>
      </c>
      <c r="D493" t="s">
        <v>118</v>
      </c>
      <c r="E493" t="s">
        <v>119</v>
      </c>
      <c r="F493">
        <v>-190</v>
      </c>
      <c r="G493">
        <v>-26148.6</v>
      </c>
      <c r="H493">
        <v>190</v>
      </c>
      <c r="I493">
        <v>1.4183338309943301</v>
      </c>
      <c r="J493">
        <v>26148.6</v>
      </c>
      <c r="K493">
        <v>1.39729695824816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190</v>
      </c>
      <c r="R493">
        <v>2.8366676619886499</v>
      </c>
      <c r="S493">
        <v>137.62421052631601</v>
      </c>
      <c r="T493">
        <v>26148.6</v>
      </c>
      <c r="U493">
        <v>2.7945939164963098</v>
      </c>
      <c r="V493">
        <v>8</v>
      </c>
      <c r="W493">
        <v>3.0534351145038201</v>
      </c>
    </row>
    <row r="494" spans="1:23" hidden="1" x14ac:dyDescent="0.25">
      <c r="A494" t="s">
        <v>179</v>
      </c>
      <c r="B494">
        <v>4</v>
      </c>
      <c r="C494">
        <v>2025</v>
      </c>
      <c r="D494" t="s">
        <v>122</v>
      </c>
      <c r="E494" t="s">
        <v>123</v>
      </c>
      <c r="F494">
        <v>1446</v>
      </c>
      <c r="G494">
        <v>213437.83</v>
      </c>
      <c r="H494">
        <v>4732</v>
      </c>
      <c r="I494">
        <v>35.323977306658698</v>
      </c>
      <c r="J494">
        <v>663299.56999999995</v>
      </c>
      <c r="K494">
        <v>35.444592504696601</v>
      </c>
      <c r="L494">
        <v>3089</v>
      </c>
      <c r="M494">
        <v>46.118244252015501</v>
      </c>
      <c r="N494">
        <v>141.91281968274501</v>
      </c>
      <c r="O494">
        <v>438368.7</v>
      </c>
      <c r="P494">
        <v>46.850022647575599</v>
      </c>
      <c r="Q494">
        <v>1643</v>
      </c>
      <c r="R494">
        <v>24.529710361301898</v>
      </c>
      <c r="S494">
        <v>136.90253804016999</v>
      </c>
      <c r="T494">
        <v>224930.87</v>
      </c>
      <c r="U494">
        <v>24.039162361817599</v>
      </c>
      <c r="V494">
        <v>71</v>
      </c>
      <c r="W494">
        <v>27.099236641221399</v>
      </c>
    </row>
    <row r="495" spans="1:23" hidden="1" x14ac:dyDescent="0.25">
      <c r="A495" t="s">
        <v>179</v>
      </c>
      <c r="B495">
        <v>4</v>
      </c>
      <c r="C495">
        <v>2025</v>
      </c>
      <c r="D495" t="s">
        <v>126</v>
      </c>
      <c r="E495" t="s">
        <v>127</v>
      </c>
      <c r="F495">
        <v>-30</v>
      </c>
      <c r="G495">
        <v>-4061.4</v>
      </c>
      <c r="H495">
        <v>30</v>
      </c>
      <c r="I495">
        <v>0.22394744699910399</v>
      </c>
      <c r="J495">
        <v>4061.4</v>
      </c>
      <c r="K495">
        <v>0.217028134058002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30</v>
      </c>
      <c r="R495">
        <v>0.44789489399820798</v>
      </c>
      <c r="S495">
        <v>135.38</v>
      </c>
      <c r="T495">
        <v>4061.4</v>
      </c>
      <c r="U495">
        <v>0.43405626811600301</v>
      </c>
      <c r="V495">
        <v>3</v>
      </c>
      <c r="W495">
        <v>1.1450381679389301</v>
      </c>
    </row>
    <row r="496" spans="1:23" hidden="1" x14ac:dyDescent="0.25">
      <c r="A496" t="s">
        <v>179</v>
      </c>
      <c r="B496">
        <v>4</v>
      </c>
      <c r="C496">
        <v>2025</v>
      </c>
      <c r="D496" t="s">
        <v>130</v>
      </c>
      <c r="E496" t="s">
        <v>131</v>
      </c>
      <c r="F496">
        <v>93</v>
      </c>
      <c r="G496">
        <v>13531.6</v>
      </c>
      <c r="H496">
        <v>93</v>
      </c>
      <c r="I496">
        <v>0.69423708569722298</v>
      </c>
      <c r="J496">
        <v>13531.6</v>
      </c>
      <c r="K496">
        <v>0.72308511814134402</v>
      </c>
      <c r="L496">
        <v>93</v>
      </c>
      <c r="M496">
        <v>1.38847417139445</v>
      </c>
      <c r="N496">
        <v>145.501075268817</v>
      </c>
      <c r="O496">
        <v>13531.6</v>
      </c>
      <c r="P496">
        <v>1.44617023628269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3</v>
      </c>
      <c r="W496">
        <v>1.1450381679389301</v>
      </c>
    </row>
    <row r="497" spans="1:23" hidden="1" x14ac:dyDescent="0.25">
      <c r="A497" t="s">
        <v>179</v>
      </c>
      <c r="B497">
        <v>4</v>
      </c>
      <c r="C497">
        <v>2025</v>
      </c>
      <c r="D497" t="s">
        <v>132</v>
      </c>
      <c r="E497" t="s">
        <v>133</v>
      </c>
      <c r="F497">
        <v>-1504</v>
      </c>
      <c r="G497">
        <v>-220329.91</v>
      </c>
      <c r="H497">
        <v>2288</v>
      </c>
      <c r="I497">
        <v>17.079725291131702</v>
      </c>
      <c r="J497">
        <v>327741.75</v>
      </c>
      <c r="K497">
        <v>17.513463449895099</v>
      </c>
      <c r="L497">
        <v>392</v>
      </c>
      <c r="M497">
        <v>5.8524932815765904</v>
      </c>
      <c r="N497">
        <v>137.00489795918401</v>
      </c>
      <c r="O497">
        <v>53705.919999999998</v>
      </c>
      <c r="P497">
        <v>5.7397427514986497</v>
      </c>
      <c r="Q497">
        <v>1896</v>
      </c>
      <c r="R497">
        <v>28.3069573006868</v>
      </c>
      <c r="S497">
        <v>144.533665611814</v>
      </c>
      <c r="T497">
        <v>274035.83</v>
      </c>
      <c r="U497">
        <v>29.287184148291601</v>
      </c>
      <c r="V497">
        <v>22</v>
      </c>
      <c r="W497">
        <v>8.3969465648855</v>
      </c>
    </row>
    <row r="498" spans="1:23" hidden="1" x14ac:dyDescent="0.25">
      <c r="A498" t="s">
        <v>179</v>
      </c>
      <c r="B498">
        <v>4</v>
      </c>
      <c r="C498">
        <v>2025</v>
      </c>
      <c r="D498" t="s">
        <v>134</v>
      </c>
      <c r="E498" t="s">
        <v>135</v>
      </c>
      <c r="F498">
        <v>11</v>
      </c>
      <c r="G498">
        <v>1491.17</v>
      </c>
      <c r="H498">
        <v>11</v>
      </c>
      <c r="I498">
        <v>8.2114063899671505E-2</v>
      </c>
      <c r="J498">
        <v>1491.17</v>
      </c>
      <c r="K498">
        <v>7.9683321678059305E-2</v>
      </c>
      <c r="L498">
        <v>11</v>
      </c>
      <c r="M498">
        <v>0.16422812779934301</v>
      </c>
      <c r="N498">
        <v>135.56090909090901</v>
      </c>
      <c r="O498">
        <v>1491.17</v>
      </c>
      <c r="P498">
        <v>0.159366643356119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2</v>
      </c>
      <c r="W498">
        <v>0.76335877862595403</v>
      </c>
    </row>
    <row r="499" spans="1:23" hidden="1" x14ac:dyDescent="0.25">
      <c r="A499" t="s">
        <v>179</v>
      </c>
      <c r="B499">
        <v>4</v>
      </c>
      <c r="C499">
        <v>2025</v>
      </c>
      <c r="D499" t="s">
        <v>136</v>
      </c>
      <c r="E499" t="s">
        <v>137</v>
      </c>
      <c r="F499">
        <v>-30</v>
      </c>
      <c r="G499">
        <v>-4125</v>
      </c>
      <c r="H499">
        <v>30</v>
      </c>
      <c r="I499">
        <v>0.22394744699910399</v>
      </c>
      <c r="J499">
        <v>4125</v>
      </c>
      <c r="K499">
        <v>0.220426713199699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30</v>
      </c>
      <c r="R499">
        <v>0.44789489399820798</v>
      </c>
      <c r="S499">
        <v>137.5</v>
      </c>
      <c r="T499">
        <v>4125</v>
      </c>
      <c r="U499">
        <v>0.44085342639939801</v>
      </c>
      <c r="V499">
        <v>1</v>
      </c>
      <c r="W499">
        <v>0.38167938931297701</v>
      </c>
    </row>
    <row r="500" spans="1:23" hidden="1" x14ac:dyDescent="0.25">
      <c r="A500" t="s">
        <v>179</v>
      </c>
      <c r="B500">
        <v>4</v>
      </c>
      <c r="C500">
        <v>2025</v>
      </c>
      <c r="D500" t="s">
        <v>142</v>
      </c>
      <c r="E500" t="s">
        <v>143</v>
      </c>
      <c r="F500">
        <v>79</v>
      </c>
      <c r="G500">
        <v>11177.94</v>
      </c>
      <c r="H500">
        <v>141</v>
      </c>
      <c r="I500">
        <v>1.05255300089579</v>
      </c>
      <c r="J500">
        <v>19861.86</v>
      </c>
      <c r="K500">
        <v>1.06135382250487</v>
      </c>
      <c r="L500">
        <v>110</v>
      </c>
      <c r="M500">
        <v>1.6422812779934299</v>
      </c>
      <c r="N500">
        <v>141.09</v>
      </c>
      <c r="O500">
        <v>15519.9</v>
      </c>
      <c r="P500">
        <v>1.6586669314850899</v>
      </c>
      <c r="Q500">
        <v>31</v>
      </c>
      <c r="R500">
        <v>0.46282472379814898</v>
      </c>
      <c r="S500">
        <v>140.06322580645201</v>
      </c>
      <c r="T500">
        <v>4341.96</v>
      </c>
      <c r="U500">
        <v>0.46404071352463699</v>
      </c>
      <c r="V500">
        <v>14</v>
      </c>
      <c r="W500">
        <v>5.3435114503816799</v>
      </c>
    </row>
    <row r="501" spans="1:23" x14ac:dyDescent="0.25">
      <c r="A501" t="s">
        <v>179</v>
      </c>
      <c r="B501">
        <v>4</v>
      </c>
      <c r="C501">
        <v>2025</v>
      </c>
      <c r="D501" t="s">
        <v>148</v>
      </c>
      <c r="E501" t="s">
        <v>148</v>
      </c>
      <c r="F501">
        <v>0</v>
      </c>
      <c r="G501" s="4">
        <v>-5.8662408264353897E-11</v>
      </c>
      <c r="H501">
        <v>13396</v>
      </c>
      <c r="I501">
        <v>0</v>
      </c>
      <c r="J501">
        <v>1871370.28</v>
      </c>
      <c r="K501">
        <v>0</v>
      </c>
      <c r="L501">
        <v>6698</v>
      </c>
      <c r="M501">
        <v>100</v>
      </c>
      <c r="N501">
        <v>138.25086289549401</v>
      </c>
      <c r="O501">
        <v>935685.14</v>
      </c>
      <c r="P501">
        <v>100</v>
      </c>
      <c r="Q501">
        <v>6698</v>
      </c>
      <c r="R501">
        <v>100</v>
      </c>
      <c r="S501">
        <v>136.92655737704899</v>
      </c>
      <c r="T501">
        <v>935685.14</v>
      </c>
      <c r="U501">
        <v>100</v>
      </c>
      <c r="V501">
        <v>262</v>
      </c>
      <c r="W501">
        <v>100</v>
      </c>
    </row>
    <row r="502" spans="1:23" hidden="1" x14ac:dyDescent="0.25">
      <c r="A502" t="s">
        <v>179</v>
      </c>
      <c r="B502">
        <v>4</v>
      </c>
      <c r="C502">
        <v>2025</v>
      </c>
      <c r="D502" t="s">
        <v>153</v>
      </c>
      <c r="E502" t="s">
        <v>154</v>
      </c>
      <c r="F502">
        <v>2</v>
      </c>
      <c r="G502">
        <v>279</v>
      </c>
      <c r="H502">
        <v>2</v>
      </c>
      <c r="I502">
        <v>1.49298297999403E-2</v>
      </c>
      <c r="J502">
        <v>279</v>
      </c>
      <c r="K502">
        <v>1.49088613291433E-2</v>
      </c>
      <c r="L502">
        <v>2</v>
      </c>
      <c r="M502">
        <v>2.98596595998806E-2</v>
      </c>
      <c r="N502">
        <v>139.5</v>
      </c>
      <c r="O502">
        <v>279</v>
      </c>
      <c r="P502">
        <v>2.98177226582865E-2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2</v>
      </c>
      <c r="W502">
        <v>0.76335877862595403</v>
      </c>
    </row>
    <row r="503" spans="1:23" hidden="1" x14ac:dyDescent="0.25">
      <c r="A503" t="s">
        <v>179</v>
      </c>
      <c r="B503">
        <v>5</v>
      </c>
      <c r="C503">
        <v>2025</v>
      </c>
      <c r="D503" t="s">
        <v>88</v>
      </c>
      <c r="E503" t="s">
        <v>89</v>
      </c>
      <c r="F503">
        <v>438</v>
      </c>
      <c r="G503">
        <v>62822.92</v>
      </c>
      <c r="H503">
        <v>438</v>
      </c>
      <c r="I503">
        <v>1.8459204315576501</v>
      </c>
      <c r="J503">
        <v>62822.92</v>
      </c>
      <c r="K503">
        <v>1.89326788247028</v>
      </c>
      <c r="L503">
        <v>438</v>
      </c>
      <c r="M503">
        <v>3.6918408631153099</v>
      </c>
      <c r="N503">
        <v>143.431324200913</v>
      </c>
      <c r="O503">
        <v>62822.92</v>
      </c>
      <c r="P503">
        <v>3.7865357649405702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8</v>
      </c>
      <c r="W503">
        <v>1.7021276595744701</v>
      </c>
    </row>
    <row r="504" spans="1:23" hidden="1" x14ac:dyDescent="0.25">
      <c r="A504" t="s">
        <v>179</v>
      </c>
      <c r="B504">
        <v>5</v>
      </c>
      <c r="C504">
        <v>2025</v>
      </c>
      <c r="D504" t="s">
        <v>90</v>
      </c>
      <c r="E504" t="s">
        <v>91</v>
      </c>
      <c r="F504">
        <v>-4072</v>
      </c>
      <c r="G504">
        <v>-562415.42000000004</v>
      </c>
      <c r="H504">
        <v>4716</v>
      </c>
      <c r="I504">
        <v>19.875252865812499</v>
      </c>
      <c r="J504">
        <v>654882.62</v>
      </c>
      <c r="K504">
        <v>19.735921718283599</v>
      </c>
      <c r="L504">
        <v>322</v>
      </c>
      <c r="M504">
        <v>2.7140930546190201</v>
      </c>
      <c r="N504">
        <v>143.582608695652</v>
      </c>
      <c r="O504">
        <v>46233.599999999999</v>
      </c>
      <c r="P504">
        <v>2.7866450642847602</v>
      </c>
      <c r="Q504">
        <v>4394</v>
      </c>
      <c r="R504">
        <v>37.036412677006098</v>
      </c>
      <c r="S504">
        <v>138.518211197087</v>
      </c>
      <c r="T504">
        <v>608649.02</v>
      </c>
      <c r="U504">
        <v>36.6851983722824</v>
      </c>
      <c r="V504">
        <v>66</v>
      </c>
      <c r="W504">
        <v>14.0425531914894</v>
      </c>
    </row>
    <row r="505" spans="1:23" hidden="1" x14ac:dyDescent="0.25">
      <c r="A505" t="s">
        <v>179</v>
      </c>
      <c r="B505">
        <v>5</v>
      </c>
      <c r="C505">
        <v>2025</v>
      </c>
      <c r="D505" t="s">
        <v>102</v>
      </c>
      <c r="E505" t="s">
        <v>103</v>
      </c>
      <c r="F505">
        <v>-1724</v>
      </c>
      <c r="G505">
        <v>-245100.92</v>
      </c>
      <c r="H505">
        <v>4776</v>
      </c>
      <c r="I505">
        <v>20.128118678354699</v>
      </c>
      <c r="J505">
        <v>671515.52</v>
      </c>
      <c r="K505">
        <v>20.237180420718001</v>
      </c>
      <c r="L505">
        <v>1526</v>
      </c>
      <c r="M505">
        <v>12.862440997977099</v>
      </c>
      <c r="N505">
        <v>139.71644823066799</v>
      </c>
      <c r="O505">
        <v>213207.3</v>
      </c>
      <c r="P505">
        <v>12.8506772177481</v>
      </c>
      <c r="Q505">
        <v>3250</v>
      </c>
      <c r="R505">
        <v>27.393796358732299</v>
      </c>
      <c r="S505">
        <v>141.01791384615399</v>
      </c>
      <c r="T505">
        <v>458308.22</v>
      </c>
      <c r="U505">
        <v>27.6236836236878</v>
      </c>
      <c r="V505">
        <v>115</v>
      </c>
      <c r="W505">
        <v>24.468085106383</v>
      </c>
    </row>
    <row r="506" spans="1:23" hidden="1" x14ac:dyDescent="0.25">
      <c r="A506" t="s">
        <v>179</v>
      </c>
      <c r="B506">
        <v>5</v>
      </c>
      <c r="C506">
        <v>2025</v>
      </c>
      <c r="D506" t="s">
        <v>104</v>
      </c>
      <c r="E506" t="s">
        <v>105</v>
      </c>
      <c r="F506">
        <v>326</v>
      </c>
      <c r="G506">
        <v>47302.239999999998</v>
      </c>
      <c r="H506">
        <v>966</v>
      </c>
      <c r="I506">
        <v>4.0711395819285201</v>
      </c>
      <c r="J506">
        <v>137450.51999999999</v>
      </c>
      <c r="K506">
        <v>4.1422884346165301</v>
      </c>
      <c r="L506">
        <v>646</v>
      </c>
      <c r="M506">
        <v>5.4450438300741704</v>
      </c>
      <c r="N506">
        <v>142.99749226006199</v>
      </c>
      <c r="O506">
        <v>92376.38</v>
      </c>
      <c r="P506">
        <v>5.5678161203863299</v>
      </c>
      <c r="Q506">
        <v>320</v>
      </c>
      <c r="R506">
        <v>2.6972353337828698</v>
      </c>
      <c r="S506">
        <v>140.85668749999999</v>
      </c>
      <c r="T506">
        <v>45074.14</v>
      </c>
      <c r="U506">
        <v>2.7167607488467298</v>
      </c>
      <c r="V506">
        <v>40</v>
      </c>
      <c r="W506">
        <v>8.5106382978723403</v>
      </c>
    </row>
    <row r="507" spans="1:23" hidden="1" x14ac:dyDescent="0.25">
      <c r="A507" t="s">
        <v>179</v>
      </c>
      <c r="B507">
        <v>5</v>
      </c>
      <c r="C507">
        <v>2025</v>
      </c>
      <c r="D507" t="s">
        <v>106</v>
      </c>
      <c r="E507" t="s">
        <v>107</v>
      </c>
      <c r="F507">
        <v>1288</v>
      </c>
      <c r="G507">
        <v>178690.4</v>
      </c>
      <c r="H507">
        <v>1288</v>
      </c>
      <c r="I507">
        <v>5.4281861092380304</v>
      </c>
      <c r="J507">
        <v>178690.4</v>
      </c>
      <c r="K507">
        <v>5.3851173301999999</v>
      </c>
      <c r="L507">
        <v>1288</v>
      </c>
      <c r="M507">
        <v>10.8563722184761</v>
      </c>
      <c r="N507">
        <v>138.73478260869601</v>
      </c>
      <c r="O507">
        <v>178690.4</v>
      </c>
      <c r="P507">
        <v>10.7702346604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14</v>
      </c>
      <c r="W507">
        <v>2.9787234042553199</v>
      </c>
    </row>
    <row r="508" spans="1:23" hidden="1" x14ac:dyDescent="0.25">
      <c r="A508" t="s">
        <v>179</v>
      </c>
      <c r="B508">
        <v>5</v>
      </c>
      <c r="C508">
        <v>2025</v>
      </c>
      <c r="D508" t="s">
        <v>110</v>
      </c>
      <c r="E508" t="s">
        <v>111</v>
      </c>
      <c r="F508">
        <v>482</v>
      </c>
      <c r="G508">
        <v>68094.039999999994</v>
      </c>
      <c r="H508">
        <v>750</v>
      </c>
      <c r="I508">
        <v>3.1608226567768001</v>
      </c>
      <c r="J508">
        <v>105086.08</v>
      </c>
      <c r="K508">
        <v>3.1669349364643198</v>
      </c>
      <c r="L508">
        <v>616</v>
      </c>
      <c r="M508">
        <v>5.1921780175320302</v>
      </c>
      <c r="N508">
        <v>140.568279220779</v>
      </c>
      <c r="O508">
        <v>86590.06</v>
      </c>
      <c r="P508">
        <v>5.21905634246784</v>
      </c>
      <c r="Q508">
        <v>134</v>
      </c>
      <c r="R508">
        <v>1.1294672960215799</v>
      </c>
      <c r="S508">
        <v>138.03</v>
      </c>
      <c r="T508">
        <v>18496.02</v>
      </c>
      <c r="U508">
        <v>1.11481353046079</v>
      </c>
      <c r="V508">
        <v>10</v>
      </c>
      <c r="W508">
        <v>2.12765957446809</v>
      </c>
    </row>
    <row r="509" spans="1:23" hidden="1" x14ac:dyDescent="0.25">
      <c r="A509" t="s">
        <v>179</v>
      </c>
      <c r="B509">
        <v>5</v>
      </c>
      <c r="C509">
        <v>2025</v>
      </c>
      <c r="D509" t="s">
        <v>122</v>
      </c>
      <c r="E509" t="s">
        <v>123</v>
      </c>
      <c r="F509">
        <v>3686</v>
      </c>
      <c r="G509">
        <v>503381</v>
      </c>
      <c r="H509">
        <v>8886</v>
      </c>
      <c r="I509">
        <v>37.4494268374916</v>
      </c>
      <c r="J509">
        <v>1240207.44</v>
      </c>
      <c r="K509">
        <v>37.375609311899098</v>
      </c>
      <c r="L509">
        <v>6286</v>
      </c>
      <c r="M509">
        <v>52.983816587997303</v>
      </c>
      <c r="N509">
        <v>138.6882309895</v>
      </c>
      <c r="O509">
        <v>871794.22</v>
      </c>
      <c r="P509">
        <v>52.545790512419103</v>
      </c>
      <c r="Q509">
        <v>2600</v>
      </c>
      <c r="R509">
        <v>21.915037086985802</v>
      </c>
      <c r="S509">
        <v>141.69739230769201</v>
      </c>
      <c r="T509">
        <v>368413.22</v>
      </c>
      <c r="U509">
        <v>22.205428111379099</v>
      </c>
      <c r="V509">
        <v>175</v>
      </c>
      <c r="W509">
        <v>37.2340425531915</v>
      </c>
    </row>
    <row r="510" spans="1:23" hidden="1" x14ac:dyDescent="0.25">
      <c r="A510" t="s">
        <v>179</v>
      </c>
      <c r="B510">
        <v>5</v>
      </c>
      <c r="C510">
        <v>2025</v>
      </c>
      <c r="D510" t="s">
        <v>126</v>
      </c>
      <c r="E510" t="s">
        <v>127</v>
      </c>
      <c r="F510">
        <v>40</v>
      </c>
      <c r="G510">
        <v>5700</v>
      </c>
      <c r="H510">
        <v>40</v>
      </c>
      <c r="I510">
        <v>0.16857720836143</v>
      </c>
      <c r="J510">
        <v>5700</v>
      </c>
      <c r="K510">
        <v>0.17177849947249499</v>
      </c>
      <c r="L510">
        <v>40</v>
      </c>
      <c r="M510">
        <v>0.33715441672285901</v>
      </c>
      <c r="N510">
        <v>142.5</v>
      </c>
      <c r="O510">
        <v>5700</v>
      </c>
      <c r="P510">
        <v>0.34355699894499098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4</v>
      </c>
      <c r="W510">
        <v>0.85106382978723405</v>
      </c>
    </row>
    <row r="511" spans="1:23" hidden="1" x14ac:dyDescent="0.25">
      <c r="A511" t="s">
        <v>179</v>
      </c>
      <c r="B511">
        <v>5</v>
      </c>
      <c r="C511">
        <v>2025</v>
      </c>
      <c r="D511" t="s">
        <v>130</v>
      </c>
      <c r="E511" t="s">
        <v>131</v>
      </c>
      <c r="F511">
        <v>90</v>
      </c>
      <c r="G511">
        <v>12925.28</v>
      </c>
      <c r="H511">
        <v>90</v>
      </c>
      <c r="I511">
        <v>0.37929871881321597</v>
      </c>
      <c r="J511">
        <v>12925.28</v>
      </c>
      <c r="K511">
        <v>0.38952371994067603</v>
      </c>
      <c r="L511">
        <v>90</v>
      </c>
      <c r="M511">
        <v>0.75859743762643295</v>
      </c>
      <c r="N511">
        <v>143.614222222222</v>
      </c>
      <c r="O511">
        <v>12925.28</v>
      </c>
      <c r="P511">
        <v>0.77904743988135206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6</v>
      </c>
      <c r="W511">
        <v>1.27659574468085</v>
      </c>
    </row>
    <row r="512" spans="1:23" hidden="1" x14ac:dyDescent="0.25">
      <c r="A512" t="s">
        <v>179</v>
      </c>
      <c r="B512">
        <v>5</v>
      </c>
      <c r="C512">
        <v>2025</v>
      </c>
      <c r="D512" t="s">
        <v>132</v>
      </c>
      <c r="E512" t="s">
        <v>133</v>
      </c>
      <c r="F512">
        <v>-416</v>
      </c>
      <c r="G512">
        <v>-53119.48</v>
      </c>
      <c r="H512">
        <v>1216</v>
      </c>
      <c r="I512">
        <v>5.1247471341874604</v>
      </c>
      <c r="J512">
        <v>170719.48</v>
      </c>
      <c r="K512">
        <v>5.1449010710745098</v>
      </c>
      <c r="L512">
        <v>400</v>
      </c>
      <c r="M512">
        <v>3.3715441672285902</v>
      </c>
      <c r="N512">
        <v>147</v>
      </c>
      <c r="O512">
        <v>58800</v>
      </c>
      <c r="P512">
        <v>3.5440616733272701</v>
      </c>
      <c r="Q512">
        <v>816</v>
      </c>
      <c r="R512">
        <v>6.8779501011463298</v>
      </c>
      <c r="S512">
        <v>137.15622549019599</v>
      </c>
      <c r="T512">
        <v>111919.48</v>
      </c>
      <c r="U512">
        <v>6.7457404688217402</v>
      </c>
      <c r="V512">
        <v>12</v>
      </c>
      <c r="W512">
        <v>2.5531914893617</v>
      </c>
    </row>
    <row r="513" spans="1:23" hidden="1" x14ac:dyDescent="0.25">
      <c r="A513" t="s">
        <v>179</v>
      </c>
      <c r="B513">
        <v>5</v>
      </c>
      <c r="C513">
        <v>2025</v>
      </c>
      <c r="D513" t="s">
        <v>142</v>
      </c>
      <c r="E513" t="s">
        <v>143</v>
      </c>
      <c r="F513">
        <v>51</v>
      </c>
      <c r="G513">
        <v>7650.6</v>
      </c>
      <c r="H513">
        <v>147</v>
      </c>
      <c r="I513">
        <v>0.61952124072825399</v>
      </c>
      <c r="J513">
        <v>20634.12</v>
      </c>
      <c r="K513">
        <v>0.62184178447989602</v>
      </c>
      <c r="L513">
        <v>99</v>
      </c>
      <c r="M513">
        <v>0.83445718138907599</v>
      </c>
      <c r="N513">
        <v>142.85212121212101</v>
      </c>
      <c r="O513">
        <v>14142.36</v>
      </c>
      <c r="P513">
        <v>0.85240469466660995</v>
      </c>
      <c r="Q513">
        <v>48</v>
      </c>
      <c r="R513">
        <v>0.40458530006743099</v>
      </c>
      <c r="S513">
        <v>135.245</v>
      </c>
      <c r="T513">
        <v>6491.76</v>
      </c>
      <c r="U513">
        <v>0.39127887429318098</v>
      </c>
      <c r="V513">
        <v>11</v>
      </c>
      <c r="W513">
        <v>2.3404255319148901</v>
      </c>
    </row>
    <row r="514" spans="1:23" hidden="1" x14ac:dyDescent="0.25">
      <c r="A514" t="s">
        <v>179</v>
      </c>
      <c r="B514">
        <v>5</v>
      </c>
      <c r="C514">
        <v>2025</v>
      </c>
      <c r="D514" t="s">
        <v>146</v>
      </c>
      <c r="E514" t="s">
        <v>147</v>
      </c>
      <c r="F514">
        <v>73</v>
      </c>
      <c r="G514">
        <v>9982.02</v>
      </c>
      <c r="H514">
        <v>73</v>
      </c>
      <c r="I514">
        <v>0.30765340525960899</v>
      </c>
      <c r="J514">
        <v>9982.02</v>
      </c>
      <c r="K514">
        <v>0.30082393286042802</v>
      </c>
      <c r="L514">
        <v>73</v>
      </c>
      <c r="M514">
        <v>0.61530681051921798</v>
      </c>
      <c r="N514">
        <v>136.74</v>
      </c>
      <c r="O514">
        <v>9982.02</v>
      </c>
      <c r="P514">
        <v>0.60164786572085505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1</v>
      </c>
      <c r="W514">
        <v>0.21276595744680901</v>
      </c>
    </row>
    <row r="515" spans="1:23" x14ac:dyDescent="0.25">
      <c r="A515" t="s">
        <v>179</v>
      </c>
      <c r="B515">
        <v>5</v>
      </c>
      <c r="C515">
        <v>2025</v>
      </c>
      <c r="D515" t="s">
        <v>148</v>
      </c>
      <c r="E515" t="s">
        <v>148</v>
      </c>
      <c r="F515">
        <v>0</v>
      </c>
      <c r="G515" s="4">
        <v>-9.8168584372615403E-11</v>
      </c>
      <c r="H515">
        <v>23728</v>
      </c>
      <c r="I515">
        <v>0</v>
      </c>
      <c r="J515">
        <v>3318226.68</v>
      </c>
      <c r="K515">
        <v>0</v>
      </c>
      <c r="L515">
        <v>11864</v>
      </c>
      <c r="M515">
        <v>100</v>
      </c>
      <c r="N515">
        <v>142.67606060606099</v>
      </c>
      <c r="O515">
        <v>1659113.34</v>
      </c>
      <c r="P515">
        <v>100</v>
      </c>
      <c r="Q515">
        <v>11864</v>
      </c>
      <c r="R515">
        <v>100</v>
      </c>
      <c r="S515">
        <v>137.59311274509801</v>
      </c>
      <c r="T515">
        <v>1659113.34</v>
      </c>
      <c r="U515">
        <v>100</v>
      </c>
      <c r="V515">
        <v>470</v>
      </c>
      <c r="W515">
        <v>100</v>
      </c>
    </row>
    <row r="516" spans="1:23" hidden="1" x14ac:dyDescent="0.25">
      <c r="A516" t="s">
        <v>179</v>
      </c>
      <c r="B516">
        <v>5</v>
      </c>
      <c r="C516">
        <v>2025</v>
      </c>
      <c r="D516" t="s">
        <v>149</v>
      </c>
      <c r="E516" t="s">
        <v>150</v>
      </c>
      <c r="F516">
        <v>-260</v>
      </c>
      <c r="G516">
        <v>-35621.760000000002</v>
      </c>
      <c r="H516">
        <v>340</v>
      </c>
      <c r="I516">
        <v>1.4329062710721501</v>
      </c>
      <c r="J516">
        <v>47319.360000000001</v>
      </c>
      <c r="K516">
        <v>1.42604362399979</v>
      </c>
      <c r="L516">
        <v>40</v>
      </c>
      <c r="M516">
        <v>0.33715441672285901</v>
      </c>
      <c r="N516">
        <v>146.22</v>
      </c>
      <c r="O516">
        <v>5848.8</v>
      </c>
      <c r="P516">
        <v>0.35252564481218601</v>
      </c>
      <c r="Q516">
        <v>300</v>
      </c>
      <c r="R516">
        <v>2.52865812542144</v>
      </c>
      <c r="S516">
        <v>138.23519999999999</v>
      </c>
      <c r="T516">
        <v>41470.559999999998</v>
      </c>
      <c r="U516">
        <v>2.4995616031873999</v>
      </c>
      <c r="V516">
        <v>6</v>
      </c>
      <c r="W516">
        <v>1.27659574468085</v>
      </c>
    </row>
    <row r="517" spans="1:23" hidden="1" x14ac:dyDescent="0.25">
      <c r="A517" t="s">
        <v>179</v>
      </c>
      <c r="B517">
        <v>5</v>
      </c>
      <c r="C517">
        <v>2025</v>
      </c>
      <c r="D517" t="s">
        <v>153</v>
      </c>
      <c r="E517" t="s">
        <v>154</v>
      </c>
      <c r="F517">
        <v>-2</v>
      </c>
      <c r="G517">
        <v>-290.92</v>
      </c>
      <c r="H517">
        <v>2</v>
      </c>
      <c r="I517">
        <v>8.42886041807148E-3</v>
      </c>
      <c r="J517">
        <v>290.92</v>
      </c>
      <c r="K517">
        <v>8.7673335204453192E-3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2</v>
      </c>
      <c r="R517">
        <v>1.6857720836143002E-2</v>
      </c>
      <c r="S517">
        <v>145.46</v>
      </c>
      <c r="T517">
        <v>290.92</v>
      </c>
      <c r="U517">
        <v>1.75346670408906E-2</v>
      </c>
      <c r="V517">
        <v>2</v>
      </c>
      <c r="W517">
        <v>0.42553191489361702</v>
      </c>
    </row>
    <row r="518" spans="1:23" hidden="1" x14ac:dyDescent="0.25">
      <c r="A518" t="s">
        <v>179</v>
      </c>
      <c r="B518">
        <v>6</v>
      </c>
      <c r="C518">
        <v>2025</v>
      </c>
      <c r="D518" t="s">
        <v>88</v>
      </c>
      <c r="E518" t="s">
        <v>89</v>
      </c>
      <c r="F518">
        <v>-30</v>
      </c>
      <c r="G518">
        <v>-5810.78</v>
      </c>
      <c r="H518">
        <v>450</v>
      </c>
      <c r="I518">
        <v>1.1705946620883401</v>
      </c>
      <c r="J518">
        <v>69020.22</v>
      </c>
      <c r="K518">
        <v>1.18123109929301</v>
      </c>
      <c r="L518">
        <v>210</v>
      </c>
      <c r="M518">
        <v>1.0925550179491199</v>
      </c>
      <c r="N518">
        <v>150.49866666666699</v>
      </c>
      <c r="O518">
        <v>31604.720000000001</v>
      </c>
      <c r="P518">
        <v>1.0817838062077401</v>
      </c>
      <c r="Q518">
        <v>240</v>
      </c>
      <c r="R518">
        <v>1.24863430622756</v>
      </c>
      <c r="S518">
        <v>155.89791666666699</v>
      </c>
      <c r="T518">
        <v>37415.5</v>
      </c>
      <c r="U518">
        <v>1.2806783923782801</v>
      </c>
      <c r="V518">
        <v>11</v>
      </c>
      <c r="W518">
        <v>1.6566265060241001</v>
      </c>
    </row>
    <row r="519" spans="1:23" hidden="1" x14ac:dyDescent="0.25">
      <c r="A519" t="s">
        <v>179</v>
      </c>
      <c r="B519">
        <v>6</v>
      </c>
      <c r="C519">
        <v>2025</v>
      </c>
      <c r="D519" t="s">
        <v>90</v>
      </c>
      <c r="E519" t="s">
        <v>91</v>
      </c>
      <c r="F519">
        <v>-164</v>
      </c>
      <c r="G519">
        <v>-21400.09</v>
      </c>
      <c r="H519">
        <v>3146</v>
      </c>
      <c r="I519">
        <v>8.1837573487331596</v>
      </c>
      <c r="J519">
        <v>474389.21</v>
      </c>
      <c r="K519">
        <v>8.1188279032005894</v>
      </c>
      <c r="L519">
        <v>1491</v>
      </c>
      <c r="M519">
        <v>7.7571406274387398</v>
      </c>
      <c r="N519">
        <v>151.907820254863</v>
      </c>
      <c r="O519">
        <v>226494.56</v>
      </c>
      <c r="P519">
        <v>7.7525808550794801</v>
      </c>
      <c r="Q519">
        <v>1655</v>
      </c>
      <c r="R519">
        <v>8.6103740700275697</v>
      </c>
      <c r="S519">
        <v>149.78528700906301</v>
      </c>
      <c r="T519">
        <v>247894.65</v>
      </c>
      <c r="U519">
        <v>8.4850749513216908</v>
      </c>
      <c r="V519">
        <v>55</v>
      </c>
      <c r="W519">
        <v>8.2831325301204792</v>
      </c>
    </row>
    <row r="520" spans="1:23" hidden="1" x14ac:dyDescent="0.25">
      <c r="A520" t="s">
        <v>179</v>
      </c>
      <c r="B520">
        <v>6</v>
      </c>
      <c r="C520">
        <v>2025</v>
      </c>
      <c r="D520" t="s">
        <v>159</v>
      </c>
      <c r="E520" t="s">
        <v>160</v>
      </c>
      <c r="F520">
        <v>400</v>
      </c>
      <c r="G520">
        <v>59808</v>
      </c>
      <c r="H520">
        <v>400</v>
      </c>
      <c r="I520">
        <v>1.04052858852297</v>
      </c>
      <c r="J520">
        <v>59808</v>
      </c>
      <c r="K520">
        <v>1.0235706230220101</v>
      </c>
      <c r="L520">
        <v>400</v>
      </c>
      <c r="M520">
        <v>2.0810571770459401</v>
      </c>
      <c r="N520">
        <v>149.52000000000001</v>
      </c>
      <c r="O520">
        <v>59808</v>
      </c>
      <c r="P520">
        <v>2.0471412460440299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4</v>
      </c>
      <c r="W520">
        <v>0.60240963855421703</v>
      </c>
    </row>
    <row r="521" spans="1:23" hidden="1" x14ac:dyDescent="0.25">
      <c r="A521" t="s">
        <v>179</v>
      </c>
      <c r="B521">
        <v>6</v>
      </c>
      <c r="C521">
        <v>2025</v>
      </c>
      <c r="D521" t="s">
        <v>102</v>
      </c>
      <c r="E521" t="s">
        <v>103</v>
      </c>
      <c r="F521">
        <v>1389</v>
      </c>
      <c r="G521">
        <v>202552.18</v>
      </c>
      <c r="H521">
        <v>6167</v>
      </c>
      <c r="I521">
        <v>16.0423495135529</v>
      </c>
      <c r="J521">
        <v>931792.68</v>
      </c>
      <c r="K521">
        <v>15.946957162836901</v>
      </c>
      <c r="L521">
        <v>3778</v>
      </c>
      <c r="M521">
        <v>19.6555850371989</v>
      </c>
      <c r="N521">
        <v>150.125047644256</v>
      </c>
      <c r="O521">
        <v>567172.43000000005</v>
      </c>
      <c r="P521">
        <v>19.413491089352899</v>
      </c>
      <c r="Q521">
        <v>2389</v>
      </c>
      <c r="R521">
        <v>12.429113989906901</v>
      </c>
      <c r="S521">
        <v>152.62463373796601</v>
      </c>
      <c r="T521">
        <v>364620.25</v>
      </c>
      <c r="U521">
        <v>12.480423236321</v>
      </c>
      <c r="V521">
        <v>162</v>
      </c>
      <c r="W521">
        <v>24.397590361445801</v>
      </c>
    </row>
    <row r="522" spans="1:23" hidden="1" x14ac:dyDescent="0.25">
      <c r="A522" t="s">
        <v>179</v>
      </c>
      <c r="B522">
        <v>6</v>
      </c>
      <c r="C522">
        <v>2025</v>
      </c>
      <c r="D522" t="s">
        <v>104</v>
      </c>
      <c r="E522" t="s">
        <v>105</v>
      </c>
      <c r="F522">
        <v>478</v>
      </c>
      <c r="G522">
        <v>76135.48</v>
      </c>
      <c r="H522">
        <v>1622</v>
      </c>
      <c r="I522">
        <v>4.2193434264606404</v>
      </c>
      <c r="J522">
        <v>248400.22</v>
      </c>
      <c r="K522">
        <v>4.2511899402121003</v>
      </c>
      <c r="L522">
        <v>1050</v>
      </c>
      <c r="M522">
        <v>5.4627750897455902</v>
      </c>
      <c r="N522">
        <v>154.54080952381</v>
      </c>
      <c r="O522">
        <v>162267.85</v>
      </c>
      <c r="P522">
        <v>5.55419356343441</v>
      </c>
      <c r="Q522">
        <v>572</v>
      </c>
      <c r="R522">
        <v>2.9759117631756902</v>
      </c>
      <c r="S522">
        <v>150.58106643356601</v>
      </c>
      <c r="T522">
        <v>86132.37</v>
      </c>
      <c r="U522">
        <v>2.9481863169897902</v>
      </c>
      <c r="V522">
        <v>38</v>
      </c>
      <c r="W522">
        <v>5.7228915662650603</v>
      </c>
    </row>
    <row r="523" spans="1:23" hidden="1" x14ac:dyDescent="0.25">
      <c r="A523" t="s">
        <v>179</v>
      </c>
      <c r="B523">
        <v>6</v>
      </c>
      <c r="C523">
        <v>2025</v>
      </c>
      <c r="D523" t="s">
        <v>106</v>
      </c>
      <c r="E523" t="s">
        <v>107</v>
      </c>
      <c r="F523">
        <v>1420</v>
      </c>
      <c r="G523">
        <v>216170.73</v>
      </c>
      <c r="H523">
        <v>1550</v>
      </c>
      <c r="I523">
        <v>4.0320482805265101</v>
      </c>
      <c r="J523">
        <v>236970.73</v>
      </c>
      <c r="K523">
        <v>4.0555824930457698</v>
      </c>
      <c r="L523">
        <v>1485</v>
      </c>
      <c r="M523">
        <v>7.7259247697830498</v>
      </c>
      <c r="N523">
        <v>152.572882154882</v>
      </c>
      <c r="O523">
        <v>226570.73</v>
      </c>
      <c r="P523">
        <v>7.7551880438955401</v>
      </c>
      <c r="Q523">
        <v>65</v>
      </c>
      <c r="R523">
        <v>0.33817179126996499</v>
      </c>
      <c r="S523">
        <v>160</v>
      </c>
      <c r="T523">
        <v>10400</v>
      </c>
      <c r="U523">
        <v>0.35597694219599202</v>
      </c>
      <c r="V523">
        <v>19</v>
      </c>
      <c r="W523">
        <v>2.8614457831325302</v>
      </c>
    </row>
    <row r="524" spans="1:23" hidden="1" x14ac:dyDescent="0.25">
      <c r="A524" t="s">
        <v>179</v>
      </c>
      <c r="B524">
        <v>6</v>
      </c>
      <c r="C524">
        <v>2025</v>
      </c>
      <c r="D524" t="s">
        <v>110</v>
      </c>
      <c r="E524" t="s">
        <v>111</v>
      </c>
      <c r="F524">
        <v>-913</v>
      </c>
      <c r="G524">
        <v>-153057.63</v>
      </c>
      <c r="H524">
        <v>2269</v>
      </c>
      <c r="I524">
        <v>5.9023984183965501</v>
      </c>
      <c r="J524">
        <v>360394.15</v>
      </c>
      <c r="K524">
        <v>6.1678849760732497</v>
      </c>
      <c r="L524">
        <v>678</v>
      </c>
      <c r="M524">
        <v>3.5273919150928701</v>
      </c>
      <c r="N524">
        <v>152.90303834808299</v>
      </c>
      <c r="O524">
        <v>103668.26</v>
      </c>
      <c r="P524">
        <v>3.5484144420749102</v>
      </c>
      <c r="Q524">
        <v>1591</v>
      </c>
      <c r="R524">
        <v>8.2774049217002208</v>
      </c>
      <c r="S524">
        <v>161.36133878064101</v>
      </c>
      <c r="T524">
        <v>256725.89</v>
      </c>
      <c r="U524">
        <v>8.7873555100715901</v>
      </c>
      <c r="V524">
        <v>36</v>
      </c>
      <c r="W524">
        <v>5.4216867469879499</v>
      </c>
    </row>
    <row r="525" spans="1:23" hidden="1" x14ac:dyDescent="0.25">
      <c r="A525" t="s">
        <v>179</v>
      </c>
      <c r="B525">
        <v>6</v>
      </c>
      <c r="C525">
        <v>2025</v>
      </c>
      <c r="D525" t="s">
        <v>118</v>
      </c>
      <c r="E525" t="s">
        <v>119</v>
      </c>
      <c r="F525">
        <v>1080</v>
      </c>
      <c r="G525">
        <v>159829.20000000001</v>
      </c>
      <c r="H525">
        <v>1080</v>
      </c>
      <c r="I525">
        <v>2.8094271890120202</v>
      </c>
      <c r="J525">
        <v>159829.20000000001</v>
      </c>
      <c r="K525">
        <v>2.73536105238614</v>
      </c>
      <c r="L525">
        <v>1080</v>
      </c>
      <c r="M525">
        <v>5.6188543780240403</v>
      </c>
      <c r="N525">
        <v>147.99</v>
      </c>
      <c r="O525">
        <v>159829.20000000001</v>
      </c>
      <c r="P525">
        <v>5.4707221047722703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2</v>
      </c>
      <c r="W525">
        <v>0.30120481927710802</v>
      </c>
    </row>
    <row r="526" spans="1:23" hidden="1" x14ac:dyDescent="0.25">
      <c r="A526" t="s">
        <v>179</v>
      </c>
      <c r="B526">
        <v>6</v>
      </c>
      <c r="C526">
        <v>2025</v>
      </c>
      <c r="D526" t="s">
        <v>122</v>
      </c>
      <c r="E526" t="s">
        <v>123</v>
      </c>
      <c r="F526">
        <v>-8889</v>
      </c>
      <c r="G526">
        <v>-1335982.73</v>
      </c>
      <c r="H526">
        <v>13759</v>
      </c>
      <c r="I526">
        <v>35.791582123718896</v>
      </c>
      <c r="J526">
        <v>2089487.71</v>
      </c>
      <c r="K526">
        <v>35.760069507783903</v>
      </c>
      <c r="L526">
        <v>2435</v>
      </c>
      <c r="M526">
        <v>12.668435565267201</v>
      </c>
      <c r="N526">
        <v>154.72381519507201</v>
      </c>
      <c r="O526">
        <v>376752.49</v>
      </c>
      <c r="P526">
        <v>12.895692245666</v>
      </c>
      <c r="Q526">
        <v>11324</v>
      </c>
      <c r="R526">
        <v>58.914728682170498</v>
      </c>
      <c r="S526">
        <v>151.24825326739699</v>
      </c>
      <c r="T526">
        <v>1712735.22</v>
      </c>
      <c r="U526">
        <v>58.624446769901901</v>
      </c>
      <c r="V526">
        <v>205</v>
      </c>
      <c r="W526">
        <v>30.8734939759036</v>
      </c>
    </row>
    <row r="527" spans="1:23" hidden="1" x14ac:dyDescent="0.25">
      <c r="A527" t="s">
        <v>179</v>
      </c>
      <c r="B527">
        <v>6</v>
      </c>
      <c r="C527">
        <v>2025</v>
      </c>
      <c r="D527" t="s">
        <v>126</v>
      </c>
      <c r="E527" t="s">
        <v>127</v>
      </c>
      <c r="F527">
        <v>99</v>
      </c>
      <c r="G527">
        <v>14248.45</v>
      </c>
      <c r="H527">
        <v>109</v>
      </c>
      <c r="I527">
        <v>0.28354404037250902</v>
      </c>
      <c r="J527">
        <v>15895.95</v>
      </c>
      <c r="K527">
        <v>0.27204767664905599</v>
      </c>
      <c r="L527">
        <v>104</v>
      </c>
      <c r="M527">
        <v>0.54107486603194399</v>
      </c>
      <c r="N527">
        <v>144.92500000000001</v>
      </c>
      <c r="O527">
        <v>15072.2</v>
      </c>
      <c r="P527">
        <v>0.51589958347754095</v>
      </c>
      <c r="Q527">
        <v>5</v>
      </c>
      <c r="R527">
        <v>2.60132147130742E-2</v>
      </c>
      <c r="S527">
        <v>164.75</v>
      </c>
      <c r="T527">
        <v>823.75</v>
      </c>
      <c r="U527">
        <v>2.8195769820571901E-2</v>
      </c>
      <c r="V527">
        <v>9</v>
      </c>
      <c r="W527">
        <v>1.3554216867469899</v>
      </c>
    </row>
    <row r="528" spans="1:23" hidden="1" x14ac:dyDescent="0.25">
      <c r="A528" t="s">
        <v>179</v>
      </c>
      <c r="B528">
        <v>6</v>
      </c>
      <c r="C528">
        <v>2025</v>
      </c>
      <c r="D528" t="s">
        <v>130</v>
      </c>
      <c r="E528" t="s">
        <v>131</v>
      </c>
      <c r="F528">
        <v>633</v>
      </c>
      <c r="G528">
        <v>95664.5</v>
      </c>
      <c r="H528">
        <v>667</v>
      </c>
      <c r="I528">
        <v>1.73508142136205</v>
      </c>
      <c r="J528">
        <v>101054.14</v>
      </c>
      <c r="K528">
        <v>1.72946844968489</v>
      </c>
      <c r="L528">
        <v>650</v>
      </c>
      <c r="M528">
        <v>3.3817179126996502</v>
      </c>
      <c r="N528">
        <v>151.32203076923099</v>
      </c>
      <c r="O528">
        <v>98359.32</v>
      </c>
      <c r="P528">
        <v>3.3666971125074099</v>
      </c>
      <c r="Q528">
        <v>17</v>
      </c>
      <c r="R528">
        <v>8.8444930024452403E-2</v>
      </c>
      <c r="S528">
        <v>158.518823529412</v>
      </c>
      <c r="T528">
        <v>2694.82</v>
      </c>
      <c r="U528">
        <v>9.22397868623656E-2</v>
      </c>
      <c r="V528">
        <v>12</v>
      </c>
      <c r="W528">
        <v>1.80722891566265</v>
      </c>
    </row>
    <row r="529" spans="1:23" hidden="1" x14ac:dyDescent="0.25">
      <c r="A529" t="s">
        <v>179</v>
      </c>
      <c r="B529">
        <v>6</v>
      </c>
      <c r="C529">
        <v>2025</v>
      </c>
      <c r="D529" t="s">
        <v>132</v>
      </c>
      <c r="E529" t="s">
        <v>133</v>
      </c>
      <c r="F529">
        <v>-410</v>
      </c>
      <c r="G529">
        <v>-58759.42</v>
      </c>
      <c r="H529">
        <v>1658</v>
      </c>
      <c r="I529">
        <v>4.3129909994277096</v>
      </c>
      <c r="J529">
        <v>248606.14</v>
      </c>
      <c r="K529">
        <v>4.2547141119398404</v>
      </c>
      <c r="L529">
        <v>624</v>
      </c>
      <c r="M529">
        <v>3.2464491961916702</v>
      </c>
      <c r="N529">
        <v>152.12076923076901</v>
      </c>
      <c r="O529">
        <v>94923.36</v>
      </c>
      <c r="P529">
        <v>3.2490891765162799</v>
      </c>
      <c r="Q529">
        <v>1034</v>
      </c>
      <c r="R529">
        <v>5.3795328026637499</v>
      </c>
      <c r="S529">
        <v>148.62938104448699</v>
      </c>
      <c r="T529">
        <v>153682.78</v>
      </c>
      <c r="U529">
        <v>5.2603390473634004</v>
      </c>
      <c r="V529">
        <v>29</v>
      </c>
      <c r="W529">
        <v>4.3674698795180698</v>
      </c>
    </row>
    <row r="530" spans="1:23" hidden="1" x14ac:dyDescent="0.25">
      <c r="A530" t="s">
        <v>179</v>
      </c>
      <c r="B530">
        <v>6</v>
      </c>
      <c r="C530">
        <v>2025</v>
      </c>
      <c r="D530" t="s">
        <v>134</v>
      </c>
      <c r="E530" t="s">
        <v>135</v>
      </c>
      <c r="F530">
        <v>3681</v>
      </c>
      <c r="G530">
        <v>562318.81999999995</v>
      </c>
      <c r="H530">
        <v>3681</v>
      </c>
      <c r="I530">
        <v>9.5754643358826304</v>
      </c>
      <c r="J530">
        <v>562318.81999999995</v>
      </c>
      <c r="K530">
        <v>9.6236795232143404</v>
      </c>
      <c r="L530">
        <v>3681</v>
      </c>
      <c r="M530">
        <v>19.1509286717653</v>
      </c>
      <c r="N530">
        <v>152.76251562075501</v>
      </c>
      <c r="O530">
        <v>562318.81999999995</v>
      </c>
      <c r="P530">
        <v>19.247359046428699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35</v>
      </c>
      <c r="W530">
        <v>5.2710843373494001</v>
      </c>
    </row>
    <row r="531" spans="1:23" hidden="1" x14ac:dyDescent="0.25">
      <c r="A531" t="s">
        <v>179</v>
      </c>
      <c r="B531">
        <v>6</v>
      </c>
      <c r="C531">
        <v>2025</v>
      </c>
      <c r="D531" t="s">
        <v>136</v>
      </c>
      <c r="E531" t="s">
        <v>137</v>
      </c>
      <c r="F531">
        <v>428</v>
      </c>
      <c r="G531">
        <v>63111</v>
      </c>
      <c r="H531">
        <v>428</v>
      </c>
      <c r="I531">
        <v>1.11336558971958</v>
      </c>
      <c r="J531">
        <v>63111</v>
      </c>
      <c r="K531">
        <v>1.08009907687169</v>
      </c>
      <c r="L531">
        <v>428</v>
      </c>
      <c r="M531">
        <v>2.22673117943916</v>
      </c>
      <c r="N531">
        <v>147.455607476636</v>
      </c>
      <c r="O531">
        <v>63111</v>
      </c>
      <c r="P531">
        <v>2.1601981537433899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4</v>
      </c>
      <c r="W531">
        <v>0.60240963855421703</v>
      </c>
    </row>
    <row r="532" spans="1:23" hidden="1" x14ac:dyDescent="0.25">
      <c r="A532" t="s">
        <v>179</v>
      </c>
      <c r="B532">
        <v>6</v>
      </c>
      <c r="C532">
        <v>2025</v>
      </c>
      <c r="D532" t="s">
        <v>142</v>
      </c>
      <c r="E532" t="s">
        <v>143</v>
      </c>
      <c r="F532">
        <v>488</v>
      </c>
      <c r="G532">
        <v>74851.960000000006</v>
      </c>
      <c r="H532">
        <v>570</v>
      </c>
      <c r="I532">
        <v>1.48275323864523</v>
      </c>
      <c r="J532">
        <v>87852.58</v>
      </c>
      <c r="K532">
        <v>1.5035333073283099</v>
      </c>
      <c r="L532">
        <v>529</v>
      </c>
      <c r="M532">
        <v>2.7521981166432501</v>
      </c>
      <c r="N532">
        <v>153.78500945179599</v>
      </c>
      <c r="O532">
        <v>81352.27</v>
      </c>
      <c r="P532">
        <v>2.7845704149329502</v>
      </c>
      <c r="Q532">
        <v>41</v>
      </c>
      <c r="R532">
        <v>0.21330836064720901</v>
      </c>
      <c r="S532">
        <v>158.54414634146301</v>
      </c>
      <c r="T532">
        <v>6500.31</v>
      </c>
      <c r="U532">
        <v>0.222496199723656</v>
      </c>
      <c r="V532">
        <v>27</v>
      </c>
      <c r="W532">
        <v>4.0662650602409602</v>
      </c>
    </row>
    <row r="533" spans="1:23" hidden="1" x14ac:dyDescent="0.25">
      <c r="A533" t="s">
        <v>179</v>
      </c>
      <c r="B533">
        <v>6</v>
      </c>
      <c r="C533">
        <v>2025</v>
      </c>
      <c r="D533" t="s">
        <v>146</v>
      </c>
      <c r="E533" t="s">
        <v>147</v>
      </c>
      <c r="F533">
        <v>190</v>
      </c>
      <c r="G533">
        <v>31011.45</v>
      </c>
      <c r="H533">
        <v>190</v>
      </c>
      <c r="I533">
        <v>0.49425107954841102</v>
      </c>
      <c r="J533">
        <v>31011.45</v>
      </c>
      <c r="K533">
        <v>0.53073851654153303</v>
      </c>
      <c r="L533">
        <v>190</v>
      </c>
      <c r="M533">
        <v>0.98850215909682104</v>
      </c>
      <c r="N533">
        <v>163.218157894737</v>
      </c>
      <c r="O533">
        <v>31011.45</v>
      </c>
      <c r="P533">
        <v>1.0614770330830701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5</v>
      </c>
      <c r="W533">
        <v>0.75301204819277101</v>
      </c>
    </row>
    <row r="534" spans="1:23" x14ac:dyDescent="0.25">
      <c r="A534" t="s">
        <v>179</v>
      </c>
      <c r="B534">
        <v>6</v>
      </c>
      <c r="C534">
        <v>2025</v>
      </c>
      <c r="D534" t="s">
        <v>148</v>
      </c>
      <c r="E534" t="s">
        <v>148</v>
      </c>
      <c r="F534">
        <v>0</v>
      </c>
      <c r="G534" s="4">
        <v>-7.4578565545380103E-11</v>
      </c>
      <c r="H534">
        <v>38442</v>
      </c>
      <c r="I534">
        <v>0</v>
      </c>
      <c r="J534">
        <v>5843075.0800000001</v>
      </c>
      <c r="K534">
        <v>0</v>
      </c>
      <c r="L534">
        <v>19221</v>
      </c>
      <c r="M534">
        <v>100</v>
      </c>
      <c r="N534">
        <v>151.907820254863</v>
      </c>
      <c r="O534">
        <v>2921537.54</v>
      </c>
      <c r="P534">
        <v>100</v>
      </c>
      <c r="Q534">
        <v>19221</v>
      </c>
      <c r="R534">
        <v>100</v>
      </c>
      <c r="S534">
        <v>150.58106643356601</v>
      </c>
      <c r="T534">
        <v>2921537.54</v>
      </c>
      <c r="U534">
        <v>100</v>
      </c>
      <c r="V534">
        <v>664</v>
      </c>
      <c r="W534">
        <v>100</v>
      </c>
    </row>
    <row r="535" spans="1:23" hidden="1" x14ac:dyDescent="0.25">
      <c r="A535" t="s">
        <v>179</v>
      </c>
      <c r="B535">
        <v>6</v>
      </c>
      <c r="C535">
        <v>2025</v>
      </c>
      <c r="D535" t="s">
        <v>149</v>
      </c>
      <c r="E535" t="s">
        <v>150</v>
      </c>
      <c r="F535">
        <v>120</v>
      </c>
      <c r="G535">
        <v>19308.88</v>
      </c>
      <c r="H535">
        <v>696</v>
      </c>
      <c r="I535">
        <v>1.8105197440299701</v>
      </c>
      <c r="J535">
        <v>103132.88</v>
      </c>
      <c r="K535">
        <v>1.7650445799166401</v>
      </c>
      <c r="L535">
        <v>408</v>
      </c>
      <c r="M535">
        <v>2.1226783205868598</v>
      </c>
      <c r="N535">
        <v>150.05117647058799</v>
      </c>
      <c r="O535">
        <v>61220.88</v>
      </c>
      <c r="P535">
        <v>2.0955020827834399</v>
      </c>
      <c r="Q535">
        <v>288</v>
      </c>
      <c r="R535">
        <v>1.4983611674730799</v>
      </c>
      <c r="S535">
        <v>145.527777777778</v>
      </c>
      <c r="T535">
        <v>41912</v>
      </c>
      <c r="U535">
        <v>1.4345870770498499</v>
      </c>
      <c r="V535">
        <v>11</v>
      </c>
      <c r="W535">
        <v>1.6566265060241001</v>
      </c>
    </row>
    <row r="536" spans="1:23" hidden="1" x14ac:dyDescent="0.25">
      <c r="A536" t="s">
        <v>179</v>
      </c>
      <c r="B536">
        <v>7</v>
      </c>
      <c r="C536">
        <v>2025</v>
      </c>
      <c r="D536" t="s">
        <v>88</v>
      </c>
      <c r="E536" t="s">
        <v>89</v>
      </c>
      <c r="F536">
        <v>24</v>
      </c>
      <c r="G536">
        <v>4659.6499999999996</v>
      </c>
      <c r="H536">
        <v>160</v>
      </c>
      <c r="I536">
        <v>0.87469932210802503</v>
      </c>
      <c r="J536">
        <v>28587.19</v>
      </c>
      <c r="K536">
        <v>0.90808595887668297</v>
      </c>
      <c r="L536">
        <v>92</v>
      </c>
      <c r="M536">
        <v>1.0059042204242299</v>
      </c>
      <c r="N536">
        <v>180.68934782608699</v>
      </c>
      <c r="O536">
        <v>16623.419999999998</v>
      </c>
      <c r="P536">
        <v>1.0561020016664699</v>
      </c>
      <c r="Q536">
        <v>68</v>
      </c>
      <c r="R536">
        <v>0.74349442379182196</v>
      </c>
      <c r="S536">
        <v>175.937794117647</v>
      </c>
      <c r="T536">
        <v>11963.77</v>
      </c>
      <c r="U536">
        <v>0.760069916086897</v>
      </c>
      <c r="V536">
        <v>12</v>
      </c>
      <c r="W536">
        <v>2.32558139534884</v>
      </c>
    </row>
    <row r="537" spans="1:23" hidden="1" x14ac:dyDescent="0.25">
      <c r="A537" t="s">
        <v>179</v>
      </c>
      <c r="B537">
        <v>7</v>
      </c>
      <c r="C537">
        <v>2025</v>
      </c>
      <c r="D537" t="s">
        <v>90</v>
      </c>
      <c r="E537" t="s">
        <v>91</v>
      </c>
      <c r="F537">
        <v>-293</v>
      </c>
      <c r="G537">
        <v>-45363.32</v>
      </c>
      <c r="H537">
        <v>2011</v>
      </c>
      <c r="I537">
        <v>10.9938771047452</v>
      </c>
      <c r="J537">
        <v>345591.1</v>
      </c>
      <c r="K537">
        <v>10.9778689483908</v>
      </c>
      <c r="L537">
        <v>859</v>
      </c>
      <c r="M537">
        <v>9.3920839711349196</v>
      </c>
      <c r="N537">
        <v>174.75423748544799</v>
      </c>
      <c r="O537">
        <v>150113.89000000001</v>
      </c>
      <c r="P537">
        <v>9.5368810814465395</v>
      </c>
      <c r="Q537">
        <v>1152</v>
      </c>
      <c r="R537">
        <v>12.5956702383556</v>
      </c>
      <c r="S537">
        <v>169.68507812499999</v>
      </c>
      <c r="T537">
        <v>195477.21</v>
      </c>
      <c r="U537">
        <v>12.418856815334999</v>
      </c>
      <c r="V537">
        <v>60</v>
      </c>
      <c r="W537">
        <v>11.6279069767442</v>
      </c>
    </row>
    <row r="538" spans="1:23" hidden="1" x14ac:dyDescent="0.25">
      <c r="A538" t="s">
        <v>179</v>
      </c>
      <c r="B538">
        <v>7</v>
      </c>
      <c r="C538">
        <v>2025</v>
      </c>
      <c r="D538" t="s">
        <v>102</v>
      </c>
      <c r="E538" t="s">
        <v>103</v>
      </c>
      <c r="F538">
        <v>129</v>
      </c>
      <c r="G538">
        <v>16656.849999999999</v>
      </c>
      <c r="H538">
        <v>2103</v>
      </c>
      <c r="I538">
        <v>11.496829214957399</v>
      </c>
      <c r="J538">
        <v>364108.77</v>
      </c>
      <c r="K538">
        <v>11.5660917194331</v>
      </c>
      <c r="L538">
        <v>1116</v>
      </c>
      <c r="M538">
        <v>12.202055543407001</v>
      </c>
      <c r="N538">
        <v>170.59391577060899</v>
      </c>
      <c r="O538">
        <v>190382.81</v>
      </c>
      <c r="P538">
        <v>12.095204640434201</v>
      </c>
      <c r="Q538">
        <v>987</v>
      </c>
      <c r="R538">
        <v>10.7916028865078</v>
      </c>
      <c r="S538">
        <v>176.014143870314</v>
      </c>
      <c r="T538">
        <v>173725.96</v>
      </c>
      <c r="U538">
        <v>11.0369787984319</v>
      </c>
      <c r="V538">
        <v>96</v>
      </c>
      <c r="W538">
        <v>18.604651162790699</v>
      </c>
    </row>
    <row r="539" spans="1:23" hidden="1" x14ac:dyDescent="0.25">
      <c r="A539" t="s">
        <v>179</v>
      </c>
      <c r="B539">
        <v>7</v>
      </c>
      <c r="C539">
        <v>2025</v>
      </c>
      <c r="D539" t="s">
        <v>104</v>
      </c>
      <c r="E539" t="s">
        <v>105</v>
      </c>
      <c r="F539">
        <v>75</v>
      </c>
      <c r="G539">
        <v>19510.2</v>
      </c>
      <c r="H539">
        <v>2195</v>
      </c>
      <c r="I539">
        <v>11.999781325169501</v>
      </c>
      <c r="J539">
        <v>371664.66</v>
      </c>
      <c r="K539">
        <v>11.806108230878101</v>
      </c>
      <c r="L539">
        <v>1135</v>
      </c>
      <c r="M539">
        <v>12.4097966324076</v>
      </c>
      <c r="N539">
        <v>172.32372687224699</v>
      </c>
      <c r="O539">
        <v>195587.43</v>
      </c>
      <c r="P539">
        <v>12.4258591988773</v>
      </c>
      <c r="Q539">
        <v>1060</v>
      </c>
      <c r="R539">
        <v>11.5897660179313</v>
      </c>
      <c r="S539">
        <v>166.11059433962299</v>
      </c>
      <c r="T539">
        <v>176077.23</v>
      </c>
      <c r="U539">
        <v>11.1863572628789</v>
      </c>
      <c r="V539">
        <v>42</v>
      </c>
      <c r="W539">
        <v>8.1395348837209305</v>
      </c>
    </row>
    <row r="540" spans="1:23" hidden="1" x14ac:dyDescent="0.25">
      <c r="A540" t="s">
        <v>179</v>
      </c>
      <c r="B540">
        <v>7</v>
      </c>
      <c r="C540">
        <v>2025</v>
      </c>
      <c r="D540" t="s">
        <v>106</v>
      </c>
      <c r="E540" t="s">
        <v>107</v>
      </c>
      <c r="F540">
        <v>-45</v>
      </c>
      <c r="G540">
        <v>-5168.66</v>
      </c>
      <c r="H540">
        <v>485</v>
      </c>
      <c r="I540">
        <v>2.6514323201399499</v>
      </c>
      <c r="J540">
        <v>84368.66</v>
      </c>
      <c r="K540">
        <v>2.68001141473649</v>
      </c>
      <c r="L540">
        <v>220</v>
      </c>
      <c r="M540">
        <v>2.4054231357970699</v>
      </c>
      <c r="N540">
        <v>180</v>
      </c>
      <c r="O540">
        <v>39600</v>
      </c>
      <c r="P540">
        <v>2.51582642236027</v>
      </c>
      <c r="Q540">
        <v>265</v>
      </c>
      <c r="R540">
        <v>2.8974415044828299</v>
      </c>
      <c r="S540">
        <v>168.93833962264199</v>
      </c>
      <c r="T540">
        <v>44768.66</v>
      </c>
      <c r="U540">
        <v>2.8441964071127099</v>
      </c>
      <c r="V540">
        <v>7</v>
      </c>
      <c r="W540">
        <v>1.3565891472868199</v>
      </c>
    </row>
    <row r="541" spans="1:23" hidden="1" x14ac:dyDescent="0.25">
      <c r="A541" t="s">
        <v>179</v>
      </c>
      <c r="B541">
        <v>7</v>
      </c>
      <c r="C541">
        <v>2025</v>
      </c>
      <c r="D541" t="s">
        <v>110</v>
      </c>
      <c r="E541" t="s">
        <v>111</v>
      </c>
      <c r="F541">
        <v>-512</v>
      </c>
      <c r="G541">
        <v>-86091.55</v>
      </c>
      <c r="H541">
        <v>532</v>
      </c>
      <c r="I541">
        <v>2.9083752460091801</v>
      </c>
      <c r="J541">
        <v>89429.05</v>
      </c>
      <c r="K541">
        <v>2.8407571580375999</v>
      </c>
      <c r="L541">
        <v>10</v>
      </c>
      <c r="M541">
        <v>0.109337415263503</v>
      </c>
      <c r="N541">
        <v>166.875</v>
      </c>
      <c r="O541">
        <v>1668.75</v>
      </c>
      <c r="P541">
        <v>0.106017306624083</v>
      </c>
      <c r="Q541">
        <v>522</v>
      </c>
      <c r="R541">
        <v>5.7074130767548699</v>
      </c>
      <c r="S541">
        <v>168.12318007662799</v>
      </c>
      <c r="T541">
        <v>87760.3</v>
      </c>
      <c r="U541">
        <v>5.5754970094511096</v>
      </c>
      <c r="V541">
        <v>23</v>
      </c>
      <c r="W541">
        <v>4.4573643410852704</v>
      </c>
    </row>
    <row r="542" spans="1:23" hidden="1" x14ac:dyDescent="0.25">
      <c r="A542" t="s">
        <v>179</v>
      </c>
      <c r="B542">
        <v>7</v>
      </c>
      <c r="C542">
        <v>2025</v>
      </c>
      <c r="D542" t="s">
        <v>116</v>
      </c>
      <c r="E542" t="s">
        <v>117</v>
      </c>
      <c r="F542">
        <v>28</v>
      </c>
      <c r="G542">
        <v>4760</v>
      </c>
      <c r="H542">
        <v>28</v>
      </c>
      <c r="I542">
        <v>0.153072381368904</v>
      </c>
      <c r="J542">
        <v>4760</v>
      </c>
      <c r="K542">
        <v>0.15120370922266299</v>
      </c>
      <c r="L542">
        <v>28</v>
      </c>
      <c r="M542">
        <v>0.306144762737809</v>
      </c>
      <c r="N542">
        <v>170</v>
      </c>
      <c r="O542">
        <v>4760</v>
      </c>
      <c r="P542">
        <v>0.30240741844532498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2</v>
      </c>
      <c r="W542">
        <v>0.387596899224806</v>
      </c>
    </row>
    <row r="543" spans="1:23" hidden="1" x14ac:dyDescent="0.25">
      <c r="A543" t="s">
        <v>179</v>
      </c>
      <c r="B543">
        <v>7</v>
      </c>
      <c r="C543">
        <v>2025</v>
      </c>
      <c r="D543" t="s">
        <v>122</v>
      </c>
      <c r="E543" t="s">
        <v>123</v>
      </c>
      <c r="F543">
        <v>-1273</v>
      </c>
      <c r="G543">
        <v>-229117.57</v>
      </c>
      <c r="H543">
        <v>7433</v>
      </c>
      <c r="I543">
        <v>40.635250382681001</v>
      </c>
      <c r="J543">
        <v>1277476.17</v>
      </c>
      <c r="K543">
        <v>40.579650283101003</v>
      </c>
      <c r="L543">
        <v>3080</v>
      </c>
      <c r="M543">
        <v>33.675923901159003</v>
      </c>
      <c r="N543">
        <v>170.188084415584</v>
      </c>
      <c r="O543">
        <v>524179.3</v>
      </c>
      <c r="P543">
        <v>33.301619520058303</v>
      </c>
      <c r="Q543">
        <v>4353</v>
      </c>
      <c r="R543">
        <v>47.594576864202899</v>
      </c>
      <c r="S543">
        <v>173.05234780611099</v>
      </c>
      <c r="T543">
        <v>753296.87</v>
      </c>
      <c r="U543">
        <v>47.857681046143597</v>
      </c>
      <c r="V543">
        <v>153</v>
      </c>
      <c r="W543">
        <v>29.6511627906977</v>
      </c>
    </row>
    <row r="544" spans="1:23" hidden="1" x14ac:dyDescent="0.25">
      <c r="A544" t="s">
        <v>179</v>
      </c>
      <c r="B544">
        <v>7</v>
      </c>
      <c r="C544">
        <v>2025</v>
      </c>
      <c r="D544" t="s">
        <v>126</v>
      </c>
      <c r="E544" t="s">
        <v>127</v>
      </c>
      <c r="F544">
        <v>-15</v>
      </c>
      <c r="G544">
        <v>-2820.28</v>
      </c>
      <c r="H544">
        <v>79</v>
      </c>
      <c r="I544">
        <v>0.43188279029083798</v>
      </c>
      <c r="J544">
        <v>13929.72</v>
      </c>
      <c r="K544">
        <v>0.44248431353636702</v>
      </c>
      <c r="L544">
        <v>32</v>
      </c>
      <c r="M544">
        <v>0.34987972884321</v>
      </c>
      <c r="N544">
        <v>173.58500000000001</v>
      </c>
      <c r="O544">
        <v>5554.72</v>
      </c>
      <c r="P544">
        <v>0.35289675113164198</v>
      </c>
      <c r="Q544">
        <v>47</v>
      </c>
      <c r="R544">
        <v>0.51388585173846502</v>
      </c>
      <c r="S544">
        <v>178.191489361702</v>
      </c>
      <c r="T544">
        <v>8375</v>
      </c>
      <c r="U544">
        <v>0.53207187594109195</v>
      </c>
      <c r="V544">
        <v>7</v>
      </c>
      <c r="W544">
        <v>1.3565891472868199</v>
      </c>
    </row>
    <row r="545" spans="1:23" hidden="1" x14ac:dyDescent="0.25">
      <c r="A545" t="s">
        <v>179</v>
      </c>
      <c r="B545">
        <v>7</v>
      </c>
      <c r="C545">
        <v>2025</v>
      </c>
      <c r="D545" t="s">
        <v>130</v>
      </c>
      <c r="E545" t="s">
        <v>131</v>
      </c>
      <c r="F545">
        <v>83</v>
      </c>
      <c r="G545">
        <v>14795.89</v>
      </c>
      <c r="H545">
        <v>471</v>
      </c>
      <c r="I545">
        <v>2.5748961294554999</v>
      </c>
      <c r="J545">
        <v>81243.11</v>
      </c>
      <c r="K545">
        <v>2.5807268026858798</v>
      </c>
      <c r="L545">
        <v>277</v>
      </c>
      <c r="M545">
        <v>3.0286464027990401</v>
      </c>
      <c r="N545">
        <v>173.35559566787001</v>
      </c>
      <c r="O545">
        <v>48019.5</v>
      </c>
      <c r="P545">
        <v>3.0507254264779999</v>
      </c>
      <c r="Q545">
        <v>194</v>
      </c>
      <c r="R545">
        <v>2.1211458561119598</v>
      </c>
      <c r="S545">
        <v>171.255721649485</v>
      </c>
      <c r="T545">
        <v>33223.61</v>
      </c>
      <c r="U545">
        <v>2.1107281788937602</v>
      </c>
      <c r="V545">
        <v>15</v>
      </c>
      <c r="W545">
        <v>2.9069767441860499</v>
      </c>
    </row>
    <row r="546" spans="1:23" hidden="1" x14ac:dyDescent="0.25">
      <c r="A546" t="s">
        <v>179</v>
      </c>
      <c r="B546">
        <v>7</v>
      </c>
      <c r="C546">
        <v>2025</v>
      </c>
      <c r="D546" t="s">
        <v>132</v>
      </c>
      <c r="E546" t="s">
        <v>133</v>
      </c>
      <c r="F546">
        <v>782</v>
      </c>
      <c r="G546">
        <v>135289.21</v>
      </c>
      <c r="H546">
        <v>842</v>
      </c>
      <c r="I546">
        <v>4.6031051825934801</v>
      </c>
      <c r="J546">
        <v>145500.79</v>
      </c>
      <c r="K546">
        <v>4.6219031812663198</v>
      </c>
      <c r="L546">
        <v>812</v>
      </c>
      <c r="M546">
        <v>8.8781981193964601</v>
      </c>
      <c r="N546">
        <v>172.90024630541899</v>
      </c>
      <c r="O546">
        <v>140395</v>
      </c>
      <c r="P546">
        <v>8.9194305698805501</v>
      </c>
      <c r="Q546">
        <v>30</v>
      </c>
      <c r="R546">
        <v>0.32801224579051003</v>
      </c>
      <c r="S546">
        <v>170.19300000000001</v>
      </c>
      <c r="T546">
        <v>5105.79</v>
      </c>
      <c r="U546">
        <v>0.32437579265209199</v>
      </c>
      <c r="V546">
        <v>27</v>
      </c>
      <c r="W546">
        <v>5.2325581395348797</v>
      </c>
    </row>
    <row r="547" spans="1:23" hidden="1" x14ac:dyDescent="0.25">
      <c r="A547" t="s">
        <v>179</v>
      </c>
      <c r="B547">
        <v>7</v>
      </c>
      <c r="C547">
        <v>2025</v>
      </c>
      <c r="D547" t="s">
        <v>134</v>
      </c>
      <c r="E547" t="s">
        <v>135</v>
      </c>
      <c r="F547">
        <v>-55</v>
      </c>
      <c r="G547">
        <v>-12751.35</v>
      </c>
      <c r="H547">
        <v>645</v>
      </c>
      <c r="I547">
        <v>3.52613164224798</v>
      </c>
      <c r="J547">
        <v>114404.15</v>
      </c>
      <c r="K547">
        <v>3.6341033257281299</v>
      </c>
      <c r="L547">
        <v>295</v>
      </c>
      <c r="M547">
        <v>3.2254537502733398</v>
      </c>
      <c r="N547">
        <v>172.292881355932</v>
      </c>
      <c r="O547">
        <v>50826.400000000001</v>
      </c>
      <c r="P547">
        <v>3.2290505069053501</v>
      </c>
      <c r="Q547">
        <v>350</v>
      </c>
      <c r="R547">
        <v>3.8268095342226101</v>
      </c>
      <c r="S547">
        <v>181.650714285714</v>
      </c>
      <c r="T547">
        <v>63577.75</v>
      </c>
      <c r="U547">
        <v>4.0391561445509003</v>
      </c>
      <c r="V547">
        <v>10</v>
      </c>
      <c r="W547">
        <v>1.93798449612403</v>
      </c>
    </row>
    <row r="548" spans="1:23" hidden="1" x14ac:dyDescent="0.25">
      <c r="A548" t="s">
        <v>179</v>
      </c>
      <c r="B548">
        <v>7</v>
      </c>
      <c r="C548">
        <v>2025</v>
      </c>
      <c r="D548" t="s">
        <v>136</v>
      </c>
      <c r="E548" t="s">
        <v>137</v>
      </c>
      <c r="F548">
        <v>885</v>
      </c>
      <c r="G548">
        <v>152467.32999999999</v>
      </c>
      <c r="H548">
        <v>885</v>
      </c>
      <c r="I548">
        <v>4.8381806254100104</v>
      </c>
      <c r="J548">
        <v>152467.32999999999</v>
      </c>
      <c r="K548">
        <v>4.8431987040495299</v>
      </c>
      <c r="L548">
        <v>885</v>
      </c>
      <c r="M548">
        <v>9.6763612508200296</v>
      </c>
      <c r="N548">
        <v>172.27946892655399</v>
      </c>
      <c r="O548">
        <v>152467.32999999999</v>
      </c>
      <c r="P548">
        <v>9.6863974080990491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20</v>
      </c>
      <c r="W548">
        <v>3.87596899224806</v>
      </c>
    </row>
    <row r="549" spans="1:23" hidden="1" x14ac:dyDescent="0.25">
      <c r="A549" t="s">
        <v>179</v>
      </c>
      <c r="B549">
        <v>7</v>
      </c>
      <c r="C549">
        <v>2025</v>
      </c>
      <c r="D549" t="s">
        <v>142</v>
      </c>
      <c r="E549" t="s">
        <v>143</v>
      </c>
      <c r="F549">
        <v>97</v>
      </c>
      <c r="G549">
        <v>17204.310000000001</v>
      </c>
      <c r="H549">
        <v>293</v>
      </c>
      <c r="I549">
        <v>1.6017931336103199</v>
      </c>
      <c r="J549">
        <v>51130.93</v>
      </c>
      <c r="K549">
        <v>1.6241987966395599</v>
      </c>
      <c r="L549">
        <v>195</v>
      </c>
      <c r="M549">
        <v>2.13207959763831</v>
      </c>
      <c r="N549">
        <v>175.21856410256399</v>
      </c>
      <c r="O549">
        <v>34167.620000000003</v>
      </c>
      <c r="P549">
        <v>2.1707020501304299</v>
      </c>
      <c r="Q549">
        <v>98</v>
      </c>
      <c r="R549">
        <v>1.0715066695823301</v>
      </c>
      <c r="S549">
        <v>173.095</v>
      </c>
      <c r="T549">
        <v>16963.310000000001</v>
      </c>
      <c r="U549">
        <v>1.0776955431486901</v>
      </c>
      <c r="V549">
        <v>37</v>
      </c>
      <c r="W549">
        <v>7.1705426356589204</v>
      </c>
    </row>
    <row r="550" spans="1:23" hidden="1" x14ac:dyDescent="0.25">
      <c r="A550" t="s">
        <v>179</v>
      </c>
      <c r="B550">
        <v>7</v>
      </c>
      <c r="C550">
        <v>2025</v>
      </c>
      <c r="D550" t="s">
        <v>146</v>
      </c>
      <c r="E550" t="s">
        <v>147</v>
      </c>
      <c r="F550">
        <v>53</v>
      </c>
      <c r="G550">
        <v>9776.93</v>
      </c>
      <c r="H550">
        <v>93</v>
      </c>
      <c r="I550">
        <v>0.50841898097529004</v>
      </c>
      <c r="J550">
        <v>17216.93</v>
      </c>
      <c r="K550">
        <v>0.54690413391322201</v>
      </c>
      <c r="L550">
        <v>73</v>
      </c>
      <c r="M550">
        <v>0.79816313142357298</v>
      </c>
      <c r="N550">
        <v>184.88945205479499</v>
      </c>
      <c r="O550">
        <v>13496.93</v>
      </c>
      <c r="P550">
        <v>0.85747305845320698</v>
      </c>
      <c r="Q550">
        <v>20</v>
      </c>
      <c r="R550">
        <v>0.21867483052700601</v>
      </c>
      <c r="S550">
        <v>186</v>
      </c>
      <c r="T550">
        <v>3720</v>
      </c>
      <c r="U550">
        <v>0.23633520937323699</v>
      </c>
      <c r="V550">
        <v>3</v>
      </c>
      <c r="W550">
        <v>0.581395348837209</v>
      </c>
    </row>
    <row r="551" spans="1:23" x14ac:dyDescent="0.25">
      <c r="A551" t="s">
        <v>179</v>
      </c>
      <c r="B551">
        <v>7</v>
      </c>
      <c r="C551">
        <v>2025</v>
      </c>
      <c r="D551" t="s">
        <v>148</v>
      </c>
      <c r="E551" t="s">
        <v>148</v>
      </c>
      <c r="F551">
        <v>0</v>
      </c>
      <c r="G551" s="4">
        <v>8.1854523159563503E-11</v>
      </c>
      <c r="H551">
        <v>18292</v>
      </c>
      <c r="I551">
        <v>0</v>
      </c>
      <c r="J551">
        <v>3148070.92</v>
      </c>
      <c r="K551">
        <v>0</v>
      </c>
      <c r="L551">
        <v>9146</v>
      </c>
      <c r="M551">
        <v>100</v>
      </c>
      <c r="N551">
        <v>172.61198658883299</v>
      </c>
      <c r="O551">
        <v>1574035.46</v>
      </c>
      <c r="P551">
        <v>100</v>
      </c>
      <c r="Q551">
        <v>9146</v>
      </c>
      <c r="R551">
        <v>100</v>
      </c>
      <c r="S551">
        <v>170.72436082474201</v>
      </c>
      <c r="T551">
        <v>1574035.46</v>
      </c>
      <c r="U551">
        <v>100</v>
      </c>
      <c r="V551">
        <v>516</v>
      </c>
      <c r="W551">
        <v>100</v>
      </c>
    </row>
    <row r="552" spans="1:23" hidden="1" x14ac:dyDescent="0.25">
      <c r="A552" t="s">
        <v>179</v>
      </c>
      <c r="B552">
        <v>7</v>
      </c>
      <c r="C552">
        <v>2025</v>
      </c>
      <c r="D552" t="s">
        <v>153</v>
      </c>
      <c r="E552" t="s">
        <v>154</v>
      </c>
      <c r="F552">
        <v>37</v>
      </c>
      <c r="G552">
        <v>6192.36</v>
      </c>
      <c r="H552">
        <v>37</v>
      </c>
      <c r="I552">
        <v>0.20227421823748101</v>
      </c>
      <c r="J552">
        <v>6192.36</v>
      </c>
      <c r="K552">
        <v>0.19670331950463199</v>
      </c>
      <c r="L552">
        <v>37</v>
      </c>
      <c r="M552">
        <v>0.40454843647496203</v>
      </c>
      <c r="N552">
        <v>167.36108108108101</v>
      </c>
      <c r="O552">
        <v>6192.36</v>
      </c>
      <c r="P552">
        <v>0.39340663900926298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2</v>
      </c>
      <c r="W552">
        <v>0.387596899224806</v>
      </c>
    </row>
    <row r="553" spans="1:23" hidden="1" x14ac:dyDescent="0.25">
      <c r="A553" t="s">
        <v>179</v>
      </c>
      <c r="B553">
        <v>8</v>
      </c>
      <c r="C553">
        <v>2025</v>
      </c>
      <c r="D553" t="s">
        <v>88</v>
      </c>
      <c r="E553" t="s">
        <v>89</v>
      </c>
      <c r="F553">
        <v>299</v>
      </c>
      <c r="G553">
        <v>51023.88</v>
      </c>
      <c r="H553">
        <v>593</v>
      </c>
      <c r="I553">
        <v>4.7561758100737901</v>
      </c>
      <c r="J553">
        <v>98320.58</v>
      </c>
      <c r="K553">
        <v>4.7509731609483703</v>
      </c>
      <c r="L553">
        <v>446</v>
      </c>
      <c r="M553">
        <v>7.1543150465190903</v>
      </c>
      <c r="N553">
        <v>167.42652466367699</v>
      </c>
      <c r="O553">
        <v>74672.23</v>
      </c>
      <c r="P553">
        <v>7.2165107365754801</v>
      </c>
      <c r="Q553">
        <v>147</v>
      </c>
      <c r="R553">
        <v>2.3580365736284898</v>
      </c>
      <c r="S553">
        <v>160.87312925170099</v>
      </c>
      <c r="T553">
        <v>23648.35</v>
      </c>
      <c r="U553">
        <v>2.2854355853212698</v>
      </c>
      <c r="V553">
        <v>13</v>
      </c>
      <c r="W553">
        <v>3.4759358288770099</v>
      </c>
    </row>
    <row r="554" spans="1:23" hidden="1" x14ac:dyDescent="0.25">
      <c r="A554" t="s">
        <v>179</v>
      </c>
      <c r="B554">
        <v>8</v>
      </c>
      <c r="C554">
        <v>2025</v>
      </c>
      <c r="D554" t="s">
        <v>90</v>
      </c>
      <c r="E554" t="s">
        <v>91</v>
      </c>
      <c r="F554">
        <v>350</v>
      </c>
      <c r="G554">
        <v>58929.62</v>
      </c>
      <c r="H554">
        <v>762</v>
      </c>
      <c r="I554">
        <v>6.1116458132820002</v>
      </c>
      <c r="J554">
        <v>124985.82</v>
      </c>
      <c r="K554">
        <v>6.0394708444470604</v>
      </c>
      <c r="L554">
        <v>556</v>
      </c>
      <c r="M554">
        <v>8.9188322104587705</v>
      </c>
      <c r="N554">
        <v>165.39158273381301</v>
      </c>
      <c r="O554">
        <v>91957.72</v>
      </c>
      <c r="P554">
        <v>8.8870236457515901</v>
      </c>
      <c r="Q554">
        <v>206</v>
      </c>
      <c r="R554">
        <v>3.3044594161052299</v>
      </c>
      <c r="S554">
        <v>160.33058252427199</v>
      </c>
      <c r="T554">
        <v>33028.1</v>
      </c>
      <c r="U554">
        <v>3.19191804314252</v>
      </c>
      <c r="V554">
        <v>42</v>
      </c>
      <c r="W554">
        <v>11.2299465240642</v>
      </c>
    </row>
    <row r="555" spans="1:23" hidden="1" x14ac:dyDescent="0.25">
      <c r="A555" t="s">
        <v>179</v>
      </c>
      <c r="B555">
        <v>8</v>
      </c>
      <c r="C555">
        <v>2025</v>
      </c>
      <c r="D555" t="s">
        <v>102</v>
      </c>
      <c r="E555" t="s">
        <v>103</v>
      </c>
      <c r="F555">
        <v>704</v>
      </c>
      <c r="G555">
        <v>113190.59</v>
      </c>
      <c r="H555">
        <v>2208</v>
      </c>
      <c r="I555">
        <v>17.709335899903799</v>
      </c>
      <c r="J555">
        <v>362089.21</v>
      </c>
      <c r="K555">
        <v>17.496602629673301</v>
      </c>
      <c r="L555">
        <v>1456</v>
      </c>
      <c r="M555">
        <v>23.355790824510699</v>
      </c>
      <c r="N555">
        <v>163.21421703296701</v>
      </c>
      <c r="O555">
        <v>237639.9</v>
      </c>
      <c r="P555">
        <v>22.966113236322599</v>
      </c>
      <c r="Q555">
        <v>752</v>
      </c>
      <c r="R555">
        <v>12.0628809752968</v>
      </c>
      <c r="S555">
        <v>165.491103723404</v>
      </c>
      <c r="T555">
        <v>124449.31</v>
      </c>
      <c r="U555">
        <v>12.027092023024</v>
      </c>
      <c r="V555">
        <v>77</v>
      </c>
      <c r="W555">
        <v>20.588235294117599</v>
      </c>
    </row>
    <row r="556" spans="1:23" hidden="1" x14ac:dyDescent="0.25">
      <c r="A556" t="s">
        <v>179</v>
      </c>
      <c r="B556">
        <v>8</v>
      </c>
      <c r="C556">
        <v>2025</v>
      </c>
      <c r="D556" t="s">
        <v>104</v>
      </c>
      <c r="E556" t="s">
        <v>105</v>
      </c>
      <c r="F556">
        <v>-536</v>
      </c>
      <c r="G556">
        <v>-93109.17</v>
      </c>
      <c r="H556">
        <v>852</v>
      </c>
      <c r="I556">
        <v>6.8334937439846</v>
      </c>
      <c r="J556">
        <v>144189.23000000001</v>
      </c>
      <c r="K556">
        <v>6.9674035876091498</v>
      </c>
      <c r="L556">
        <v>158</v>
      </c>
      <c r="M556">
        <v>2.5344882900224599</v>
      </c>
      <c r="N556">
        <v>161.64575949367099</v>
      </c>
      <c r="O556">
        <v>25540.03</v>
      </c>
      <c r="P556">
        <v>2.4682522633576101</v>
      </c>
      <c r="Q556">
        <v>694</v>
      </c>
      <c r="R556">
        <v>11.1324991979467</v>
      </c>
      <c r="S556">
        <v>170.96426512968301</v>
      </c>
      <c r="T556">
        <v>118649.2</v>
      </c>
      <c r="U556">
        <v>11.466554911860699</v>
      </c>
      <c r="V556">
        <v>24</v>
      </c>
      <c r="W556">
        <v>6.4171122994652396</v>
      </c>
    </row>
    <row r="557" spans="1:23" hidden="1" x14ac:dyDescent="0.25">
      <c r="A557" t="s">
        <v>179</v>
      </c>
      <c r="B557">
        <v>8</v>
      </c>
      <c r="C557">
        <v>2025</v>
      </c>
      <c r="D557" t="s">
        <v>106</v>
      </c>
      <c r="E557" t="s">
        <v>107</v>
      </c>
      <c r="F557">
        <v>39</v>
      </c>
      <c r="G557">
        <v>5836.52</v>
      </c>
      <c r="H557">
        <v>159</v>
      </c>
      <c r="I557">
        <v>1.2752646775745899</v>
      </c>
      <c r="J557">
        <v>25382.12</v>
      </c>
      <c r="K557">
        <v>1.22649572335691</v>
      </c>
      <c r="L557">
        <v>99</v>
      </c>
      <c r="M557">
        <v>1.5880654475457201</v>
      </c>
      <c r="N557">
        <v>157.669898989899</v>
      </c>
      <c r="O557">
        <v>15609.32</v>
      </c>
      <c r="P557">
        <v>1.5085236555898001</v>
      </c>
      <c r="Q557">
        <v>60</v>
      </c>
      <c r="R557">
        <v>0.96246390760346501</v>
      </c>
      <c r="S557">
        <v>162.88</v>
      </c>
      <c r="T557">
        <v>9772.7999999999993</v>
      </c>
      <c r="U557">
        <v>0.94446779112402002</v>
      </c>
      <c r="V557">
        <v>6</v>
      </c>
      <c r="W557">
        <v>1.6042780748663099</v>
      </c>
    </row>
    <row r="558" spans="1:23" hidden="1" x14ac:dyDescent="0.25">
      <c r="A558" t="s">
        <v>179</v>
      </c>
      <c r="B558">
        <v>8</v>
      </c>
      <c r="C558">
        <v>2025</v>
      </c>
      <c r="D558" t="s">
        <v>110</v>
      </c>
      <c r="E558" t="s">
        <v>111</v>
      </c>
      <c r="F558">
        <v>128</v>
      </c>
      <c r="G558">
        <v>20654.669999999998</v>
      </c>
      <c r="H558">
        <v>148</v>
      </c>
      <c r="I558">
        <v>1.18703881937761</v>
      </c>
      <c r="J558">
        <v>23944.17</v>
      </c>
      <c r="K558">
        <v>1.1570121843380601</v>
      </c>
      <c r="L558">
        <v>138</v>
      </c>
      <c r="M558">
        <v>2.21366698748797</v>
      </c>
      <c r="N558">
        <v>161.59</v>
      </c>
      <c r="O558">
        <v>22299.42</v>
      </c>
      <c r="P558">
        <v>2.15507162233411</v>
      </c>
      <c r="Q558">
        <v>10</v>
      </c>
      <c r="R558">
        <v>0.16041065126724399</v>
      </c>
      <c r="S558">
        <v>164.47499999999999</v>
      </c>
      <c r="T558">
        <v>1644.75</v>
      </c>
      <c r="U558">
        <v>0.15895274634201401</v>
      </c>
      <c r="V558">
        <v>10</v>
      </c>
      <c r="W558">
        <v>2.6737967914438499</v>
      </c>
    </row>
    <row r="559" spans="1:23" hidden="1" x14ac:dyDescent="0.25">
      <c r="A559" t="s">
        <v>179</v>
      </c>
      <c r="B559">
        <v>8</v>
      </c>
      <c r="C559">
        <v>2025</v>
      </c>
      <c r="D559" t="s">
        <v>122</v>
      </c>
      <c r="E559" t="s">
        <v>123</v>
      </c>
      <c r="F559">
        <v>158</v>
      </c>
      <c r="G559">
        <v>34601.989999999903</v>
      </c>
      <c r="H559">
        <v>5010</v>
      </c>
      <c r="I559">
        <v>40.182868142444697</v>
      </c>
      <c r="J559">
        <v>833738.91</v>
      </c>
      <c r="K559">
        <v>40.287304902476698</v>
      </c>
      <c r="L559">
        <v>2584</v>
      </c>
      <c r="M559">
        <v>41.450112287455902</v>
      </c>
      <c r="N559">
        <v>168.02261996903999</v>
      </c>
      <c r="O559">
        <v>434170.45</v>
      </c>
      <c r="P559">
        <v>41.959316253563202</v>
      </c>
      <c r="Q559">
        <v>2426</v>
      </c>
      <c r="R559">
        <v>38.9156239974334</v>
      </c>
      <c r="S559">
        <v>164.702580379225</v>
      </c>
      <c r="T559">
        <v>399568.46</v>
      </c>
      <c r="U559">
        <v>38.615293551390302</v>
      </c>
      <c r="V559">
        <v>122</v>
      </c>
      <c r="W559">
        <v>32.620320855614999</v>
      </c>
    </row>
    <row r="560" spans="1:23" hidden="1" x14ac:dyDescent="0.25">
      <c r="A560" t="s">
        <v>179</v>
      </c>
      <c r="B560">
        <v>8</v>
      </c>
      <c r="C560">
        <v>2025</v>
      </c>
      <c r="D560" t="s">
        <v>126</v>
      </c>
      <c r="E560" t="s">
        <v>127</v>
      </c>
      <c r="F560">
        <v>13</v>
      </c>
      <c r="G560">
        <v>2072.4</v>
      </c>
      <c r="H560">
        <v>13</v>
      </c>
      <c r="I560">
        <v>0.104266923323709</v>
      </c>
      <c r="J560">
        <v>2072.4</v>
      </c>
      <c r="K560">
        <v>0.100140955014193</v>
      </c>
      <c r="L560">
        <v>13</v>
      </c>
      <c r="M560">
        <v>0.208533846647417</v>
      </c>
      <c r="N560">
        <v>159.41538461538499</v>
      </c>
      <c r="O560">
        <v>2072.4</v>
      </c>
      <c r="P560">
        <v>0.20028191002838699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3</v>
      </c>
      <c r="W560">
        <v>0.80213903743315496</v>
      </c>
    </row>
    <row r="561" spans="1:23" hidden="1" x14ac:dyDescent="0.25">
      <c r="A561" t="s">
        <v>179</v>
      </c>
      <c r="B561">
        <v>8</v>
      </c>
      <c r="C561">
        <v>2025</v>
      </c>
      <c r="D561" t="s">
        <v>130</v>
      </c>
      <c r="E561" t="s">
        <v>131</v>
      </c>
      <c r="F561">
        <v>-108</v>
      </c>
      <c r="G561">
        <v>-15538.91</v>
      </c>
      <c r="H561">
        <v>566</v>
      </c>
      <c r="I561">
        <v>4.5396214308630096</v>
      </c>
      <c r="J561">
        <v>90044.31</v>
      </c>
      <c r="K561">
        <v>4.35105346313168</v>
      </c>
      <c r="L561">
        <v>229</v>
      </c>
      <c r="M561">
        <v>3.67340391401989</v>
      </c>
      <c r="N561">
        <v>162.675545851528</v>
      </c>
      <c r="O561">
        <v>37252.699999999997</v>
      </c>
      <c r="P561">
        <v>3.60019393443085</v>
      </c>
      <c r="Q561">
        <v>337</v>
      </c>
      <c r="R561">
        <v>5.4058389477061297</v>
      </c>
      <c r="S561">
        <v>156.651661721068</v>
      </c>
      <c r="T561">
        <v>52791.61</v>
      </c>
      <c r="U561">
        <v>5.1019129918325099</v>
      </c>
      <c r="V561">
        <v>14</v>
      </c>
      <c r="W561">
        <v>3.7433155080213898</v>
      </c>
    </row>
    <row r="562" spans="1:23" hidden="1" x14ac:dyDescent="0.25">
      <c r="A562" t="s">
        <v>179</v>
      </c>
      <c r="B562">
        <v>8</v>
      </c>
      <c r="C562">
        <v>2025</v>
      </c>
      <c r="D562" t="s">
        <v>132</v>
      </c>
      <c r="E562" t="s">
        <v>133</v>
      </c>
      <c r="F562">
        <v>337</v>
      </c>
      <c r="G562">
        <v>57850.01</v>
      </c>
      <c r="H562">
        <v>529</v>
      </c>
      <c r="I562">
        <v>4.2428617260186101</v>
      </c>
      <c r="J562">
        <v>89663.51</v>
      </c>
      <c r="K562">
        <v>4.3326527317721899</v>
      </c>
      <c r="L562">
        <v>433</v>
      </c>
      <c r="M562">
        <v>6.9457811998716696</v>
      </c>
      <c r="N562">
        <v>170.338937644342</v>
      </c>
      <c r="O562">
        <v>73756.759999999995</v>
      </c>
      <c r="P562">
        <v>7.1280374301801501</v>
      </c>
      <c r="Q562">
        <v>96</v>
      </c>
      <c r="R562">
        <v>1.5399422521655399</v>
      </c>
      <c r="S562">
        <v>165.6953125</v>
      </c>
      <c r="T562">
        <v>15906.75</v>
      </c>
      <c r="U562">
        <v>1.5372680333642399</v>
      </c>
      <c r="V562">
        <v>19</v>
      </c>
      <c r="W562">
        <v>5.0802139037433198</v>
      </c>
    </row>
    <row r="563" spans="1:23" hidden="1" x14ac:dyDescent="0.25">
      <c r="A563" t="s">
        <v>179</v>
      </c>
      <c r="B563">
        <v>8</v>
      </c>
      <c r="C563">
        <v>2025</v>
      </c>
      <c r="D563" t="s">
        <v>134</v>
      </c>
      <c r="E563" t="s">
        <v>135</v>
      </c>
      <c r="F563">
        <v>-1070</v>
      </c>
      <c r="G563">
        <v>-184451.8</v>
      </c>
      <c r="H563">
        <v>1070</v>
      </c>
      <c r="I563">
        <v>8.5819698427975606</v>
      </c>
      <c r="J563">
        <v>184451.8</v>
      </c>
      <c r="K563">
        <v>8.9129412304994293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1070</v>
      </c>
      <c r="R563">
        <v>17.1639396855951</v>
      </c>
      <c r="S563">
        <v>172.38485981308401</v>
      </c>
      <c r="T563">
        <v>184451.8</v>
      </c>
      <c r="U563">
        <v>17.825882460998901</v>
      </c>
      <c r="V563">
        <v>11</v>
      </c>
      <c r="W563">
        <v>2.9411764705882399</v>
      </c>
    </row>
    <row r="564" spans="1:23" hidden="1" x14ac:dyDescent="0.25">
      <c r="A564" t="s">
        <v>179</v>
      </c>
      <c r="B564">
        <v>8</v>
      </c>
      <c r="C564">
        <v>2025</v>
      </c>
      <c r="D564" t="s">
        <v>136</v>
      </c>
      <c r="E564" t="s">
        <v>137</v>
      </c>
      <c r="F564">
        <v>-64</v>
      </c>
      <c r="G564">
        <v>-10995.2</v>
      </c>
      <c r="H564">
        <v>64</v>
      </c>
      <c r="I564">
        <v>0.51331408405518097</v>
      </c>
      <c r="J564">
        <v>10995.2</v>
      </c>
      <c r="K564">
        <v>0.531301789505916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64</v>
      </c>
      <c r="R564">
        <v>1.02662816811036</v>
      </c>
      <c r="S564">
        <v>171.8</v>
      </c>
      <c r="T564">
        <v>10995.2</v>
      </c>
      <c r="U564">
        <v>1.06260357901183</v>
      </c>
      <c r="V564">
        <v>1</v>
      </c>
      <c r="W564">
        <v>0.26737967914438499</v>
      </c>
    </row>
    <row r="565" spans="1:23" hidden="1" x14ac:dyDescent="0.25">
      <c r="A565" t="s">
        <v>179</v>
      </c>
      <c r="B565">
        <v>8</v>
      </c>
      <c r="C565">
        <v>2025</v>
      </c>
      <c r="D565" t="s">
        <v>142</v>
      </c>
      <c r="E565" t="s">
        <v>143</v>
      </c>
      <c r="F565">
        <v>-103</v>
      </c>
      <c r="G565">
        <v>-16840.560000000001</v>
      </c>
      <c r="H565">
        <v>277</v>
      </c>
      <c r="I565">
        <v>2.2216875200513302</v>
      </c>
      <c r="J565">
        <v>45094.879999999997</v>
      </c>
      <c r="K565">
        <v>2.1790408943497699</v>
      </c>
      <c r="L565">
        <v>87</v>
      </c>
      <c r="M565">
        <v>1.3955726660250201</v>
      </c>
      <c r="N565">
        <v>162.38114942528699</v>
      </c>
      <c r="O565">
        <v>14127.16</v>
      </c>
      <c r="P565">
        <v>1.3652840127758299</v>
      </c>
      <c r="Q565">
        <v>190</v>
      </c>
      <c r="R565">
        <v>3.0478023740776399</v>
      </c>
      <c r="S565">
        <v>162.988</v>
      </c>
      <c r="T565">
        <v>30967.72</v>
      </c>
      <c r="U565">
        <v>2.9927977759236999</v>
      </c>
      <c r="V565">
        <v>20</v>
      </c>
      <c r="W565">
        <v>5.3475935828876997</v>
      </c>
    </row>
    <row r="566" spans="1:23" hidden="1" x14ac:dyDescent="0.25">
      <c r="A566" t="s">
        <v>179</v>
      </c>
      <c r="B566">
        <v>8</v>
      </c>
      <c r="C566">
        <v>2025</v>
      </c>
      <c r="D566" t="s">
        <v>146</v>
      </c>
      <c r="E566" t="s">
        <v>147</v>
      </c>
      <c r="F566">
        <v>-80</v>
      </c>
      <c r="G566">
        <v>-12336.2</v>
      </c>
      <c r="H566">
        <v>120</v>
      </c>
      <c r="I566">
        <v>0.96246390760346501</v>
      </c>
      <c r="J566">
        <v>18665.8</v>
      </c>
      <c r="K566">
        <v>0.90195475685385695</v>
      </c>
      <c r="L566">
        <v>20</v>
      </c>
      <c r="M566">
        <v>0.32082130253448798</v>
      </c>
      <c r="N566">
        <v>158.24</v>
      </c>
      <c r="O566">
        <v>3164.8</v>
      </c>
      <c r="P566">
        <v>0.305854173353522</v>
      </c>
      <c r="Q566">
        <v>100</v>
      </c>
      <c r="R566">
        <v>1.6041065126724401</v>
      </c>
      <c r="S566">
        <v>155.01</v>
      </c>
      <c r="T566">
        <v>15501</v>
      </c>
      <c r="U566">
        <v>1.4980553403541901</v>
      </c>
      <c r="V566">
        <v>2</v>
      </c>
      <c r="W566">
        <v>0.53475935828876997</v>
      </c>
    </row>
    <row r="567" spans="1:23" x14ac:dyDescent="0.25">
      <c r="A567" t="s">
        <v>179</v>
      </c>
      <c r="B567">
        <v>8</v>
      </c>
      <c r="C567">
        <v>2025</v>
      </c>
      <c r="D567" t="s">
        <v>148</v>
      </c>
      <c r="E567" t="s">
        <v>148</v>
      </c>
      <c r="F567">
        <v>0</v>
      </c>
      <c r="G567" s="4">
        <v>-1.2505552149377799E-10</v>
      </c>
      <c r="H567">
        <v>12468</v>
      </c>
      <c r="I567">
        <v>0</v>
      </c>
      <c r="J567">
        <v>2069482.96</v>
      </c>
      <c r="K567">
        <v>0</v>
      </c>
      <c r="L567">
        <v>6234</v>
      </c>
      <c r="M567">
        <v>100</v>
      </c>
      <c r="N567">
        <v>162.01345445947899</v>
      </c>
      <c r="O567">
        <v>1034741.48</v>
      </c>
      <c r="P567">
        <v>100</v>
      </c>
      <c r="Q567">
        <v>6234</v>
      </c>
      <c r="R567">
        <v>100</v>
      </c>
      <c r="S567">
        <v>163.22399999999999</v>
      </c>
      <c r="T567">
        <v>1034741.48</v>
      </c>
      <c r="U567">
        <v>100</v>
      </c>
      <c r="V567">
        <v>374</v>
      </c>
      <c r="W567">
        <v>100</v>
      </c>
    </row>
    <row r="568" spans="1:23" hidden="1" x14ac:dyDescent="0.25">
      <c r="A568" t="s">
        <v>179</v>
      </c>
      <c r="B568">
        <v>8</v>
      </c>
      <c r="C568">
        <v>2025</v>
      </c>
      <c r="D568" t="s">
        <v>149</v>
      </c>
      <c r="E568" t="s">
        <v>150</v>
      </c>
      <c r="F568">
        <v>-37</v>
      </c>
      <c r="G568">
        <v>-6048.02</v>
      </c>
      <c r="H568">
        <v>37</v>
      </c>
      <c r="I568">
        <v>0.29675970484440201</v>
      </c>
      <c r="J568">
        <v>6048.02</v>
      </c>
      <c r="K568">
        <v>0.29224787625214399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37</v>
      </c>
      <c r="R568">
        <v>0.59351940968880301</v>
      </c>
      <c r="S568">
        <v>163.46</v>
      </c>
      <c r="T568">
        <v>6048.02</v>
      </c>
      <c r="U568">
        <v>0.58449575250428698</v>
      </c>
      <c r="V568">
        <v>2</v>
      </c>
      <c r="W568">
        <v>0.53475935828876997</v>
      </c>
    </row>
    <row r="569" spans="1:23" hidden="1" x14ac:dyDescent="0.25">
      <c r="A569" t="s">
        <v>179</v>
      </c>
      <c r="B569">
        <v>8</v>
      </c>
      <c r="C569">
        <v>2025</v>
      </c>
      <c r="D569" t="s">
        <v>153</v>
      </c>
      <c r="E569" t="s">
        <v>154</v>
      </c>
      <c r="F569">
        <v>-30</v>
      </c>
      <c r="G569">
        <v>-4839.82</v>
      </c>
      <c r="H569">
        <v>60</v>
      </c>
      <c r="I569">
        <v>0.481231953801732</v>
      </c>
      <c r="J569">
        <v>9797</v>
      </c>
      <c r="K569">
        <v>0.47340326977130598</v>
      </c>
      <c r="L569">
        <v>15</v>
      </c>
      <c r="M569">
        <v>0.240615976900866</v>
      </c>
      <c r="N569">
        <v>165.23933333333301</v>
      </c>
      <c r="O569">
        <v>2478.59</v>
      </c>
      <c r="P569">
        <v>0.23953712573695199</v>
      </c>
      <c r="Q569">
        <v>45</v>
      </c>
      <c r="R569">
        <v>0.72184793070259901</v>
      </c>
      <c r="S569">
        <v>162.631333333333</v>
      </c>
      <c r="T569">
        <v>7318.41</v>
      </c>
      <c r="U569">
        <v>0.707269413805659</v>
      </c>
      <c r="V569">
        <v>8</v>
      </c>
      <c r="W569">
        <v>2.1390374331550799</v>
      </c>
    </row>
    <row r="570" spans="1:23" hidden="1" x14ac:dyDescent="0.25">
      <c r="A570" t="s">
        <v>179</v>
      </c>
      <c r="B570">
        <v>9</v>
      </c>
      <c r="C570">
        <v>2025</v>
      </c>
      <c r="D570" t="s">
        <v>88</v>
      </c>
      <c r="E570" t="s">
        <v>89</v>
      </c>
      <c r="F570">
        <v>246</v>
      </c>
      <c r="G570">
        <v>42917.97</v>
      </c>
      <c r="H570">
        <v>1680</v>
      </c>
      <c r="I570">
        <v>4.6349942062572396</v>
      </c>
      <c r="J570">
        <v>279987.23</v>
      </c>
      <c r="K570">
        <v>4.4272883798309497</v>
      </c>
      <c r="L570">
        <v>963</v>
      </c>
      <c r="M570">
        <v>5.3136897864592001</v>
      </c>
      <c r="N570">
        <v>167.655867082035</v>
      </c>
      <c r="O570">
        <v>161452.6</v>
      </c>
      <c r="P570">
        <v>5.1059272944233598</v>
      </c>
      <c r="Q570">
        <v>717</v>
      </c>
      <c r="R570">
        <v>3.9562986260552901</v>
      </c>
      <c r="S570">
        <v>165.320264993026</v>
      </c>
      <c r="T570">
        <v>118534.63</v>
      </c>
      <c r="U570">
        <v>3.7486494652385498</v>
      </c>
      <c r="V570">
        <v>43</v>
      </c>
      <c r="W570">
        <v>4.2322834645669296</v>
      </c>
    </row>
    <row r="571" spans="1:23" hidden="1" x14ac:dyDescent="0.25">
      <c r="A571" t="s">
        <v>179</v>
      </c>
      <c r="B571">
        <v>9</v>
      </c>
      <c r="C571">
        <v>2025</v>
      </c>
      <c r="D571" t="s">
        <v>90</v>
      </c>
      <c r="E571" t="s">
        <v>91</v>
      </c>
      <c r="F571">
        <v>399</v>
      </c>
      <c r="G571">
        <v>62046.47</v>
      </c>
      <c r="H571">
        <v>1903</v>
      </c>
      <c r="I571">
        <v>5.2502345086354296</v>
      </c>
      <c r="J571">
        <v>338160.13</v>
      </c>
      <c r="K571">
        <v>5.3471453468471601</v>
      </c>
      <c r="L571">
        <v>1151</v>
      </c>
      <c r="M571">
        <v>6.3510456326215303</v>
      </c>
      <c r="N571">
        <v>173.85169417897501</v>
      </c>
      <c r="O571">
        <v>200103.3</v>
      </c>
      <c r="P571">
        <v>6.3282530053661903</v>
      </c>
      <c r="Q571">
        <v>752</v>
      </c>
      <c r="R571">
        <v>4.1494233846493396</v>
      </c>
      <c r="S571">
        <v>183.58621010638299</v>
      </c>
      <c r="T571">
        <v>138056.82999999999</v>
      </c>
      <c r="U571">
        <v>4.3660376883281202</v>
      </c>
      <c r="V571">
        <v>108</v>
      </c>
      <c r="W571">
        <v>10.629921259842501</v>
      </c>
    </row>
    <row r="572" spans="1:23" hidden="1" x14ac:dyDescent="0.25">
      <c r="A572" t="s">
        <v>179</v>
      </c>
      <c r="B572">
        <v>9</v>
      </c>
      <c r="C572">
        <v>2025</v>
      </c>
      <c r="D572" t="s">
        <v>102</v>
      </c>
      <c r="E572" t="s">
        <v>103</v>
      </c>
      <c r="F572">
        <v>3551</v>
      </c>
      <c r="G572">
        <v>620300.53</v>
      </c>
      <c r="H572">
        <v>7373</v>
      </c>
      <c r="I572">
        <v>20.341554930199202</v>
      </c>
      <c r="J572">
        <v>1298500.19</v>
      </c>
      <c r="K572">
        <v>20.532489293869901</v>
      </c>
      <c r="L572">
        <v>5462</v>
      </c>
      <c r="M572">
        <v>30.138498041163199</v>
      </c>
      <c r="N572">
        <v>175.65001098498701</v>
      </c>
      <c r="O572">
        <v>959400.36</v>
      </c>
      <c r="P572">
        <v>30.340969946619602</v>
      </c>
      <c r="Q572">
        <v>1911</v>
      </c>
      <c r="R572">
        <v>10.5446118192352</v>
      </c>
      <c r="S572">
        <v>177.44627420198799</v>
      </c>
      <c r="T572">
        <v>339099.83</v>
      </c>
      <c r="U572">
        <v>10.7240086411202</v>
      </c>
      <c r="V572">
        <v>216</v>
      </c>
      <c r="W572">
        <v>21.259842519685002</v>
      </c>
    </row>
    <row r="573" spans="1:23" hidden="1" x14ac:dyDescent="0.25">
      <c r="A573" t="s">
        <v>179</v>
      </c>
      <c r="B573">
        <v>9</v>
      </c>
      <c r="C573">
        <v>2025</v>
      </c>
      <c r="D573" t="s">
        <v>104</v>
      </c>
      <c r="E573" t="s">
        <v>105</v>
      </c>
      <c r="F573">
        <v>1105</v>
      </c>
      <c r="G573">
        <v>195584.7</v>
      </c>
      <c r="H573">
        <v>2657</v>
      </c>
      <c r="I573">
        <v>7.3304640512056496</v>
      </c>
      <c r="J573">
        <v>464825.34</v>
      </c>
      <c r="K573">
        <v>7.3500345941954999</v>
      </c>
      <c r="L573">
        <v>1881</v>
      </c>
      <c r="M573">
        <v>10.3790763118689</v>
      </c>
      <c r="N573">
        <v>175.54759170653901</v>
      </c>
      <c r="O573">
        <v>330205.02</v>
      </c>
      <c r="P573">
        <v>10.442710890834899</v>
      </c>
      <c r="Q573">
        <v>776</v>
      </c>
      <c r="R573">
        <v>4.2818517905424001</v>
      </c>
      <c r="S573">
        <v>173.47979381443301</v>
      </c>
      <c r="T573">
        <v>134620.32</v>
      </c>
      <c r="U573">
        <v>4.2573582975560997</v>
      </c>
      <c r="V573">
        <v>93</v>
      </c>
      <c r="W573">
        <v>9.1535433070866095</v>
      </c>
    </row>
    <row r="574" spans="1:23" hidden="1" x14ac:dyDescent="0.25">
      <c r="A574" t="s">
        <v>179</v>
      </c>
      <c r="B574">
        <v>9</v>
      </c>
      <c r="C574">
        <v>2025</v>
      </c>
      <c r="D574" t="s">
        <v>106</v>
      </c>
      <c r="E574" t="s">
        <v>107</v>
      </c>
      <c r="F574">
        <v>1189</v>
      </c>
      <c r="G574">
        <v>207153.7</v>
      </c>
      <c r="H574">
        <v>1265</v>
      </c>
      <c r="I574">
        <v>3.4900402803067898</v>
      </c>
      <c r="J574">
        <v>219597.92</v>
      </c>
      <c r="K574">
        <v>3.47238450643284</v>
      </c>
      <c r="L574">
        <v>1227</v>
      </c>
      <c r="M574">
        <v>6.7704022512829001</v>
      </c>
      <c r="N574">
        <v>173.90041564792199</v>
      </c>
      <c r="O574">
        <v>213375.81</v>
      </c>
      <c r="P574">
        <v>6.7479952149961804</v>
      </c>
      <c r="Q574">
        <v>38</v>
      </c>
      <c r="R574">
        <v>0.20967830933068499</v>
      </c>
      <c r="S574">
        <v>163.739736842105</v>
      </c>
      <c r="T574">
        <v>6222.11</v>
      </c>
      <c r="U574">
        <v>0.196773797869495</v>
      </c>
      <c r="V574">
        <v>21</v>
      </c>
      <c r="W574">
        <v>2.0669291338582698</v>
      </c>
    </row>
    <row r="575" spans="1:23" hidden="1" x14ac:dyDescent="0.25">
      <c r="A575" t="s">
        <v>179</v>
      </c>
      <c r="B575">
        <v>9</v>
      </c>
      <c r="C575">
        <v>2025</v>
      </c>
      <c r="D575" t="s">
        <v>108</v>
      </c>
      <c r="E575" t="s">
        <v>109</v>
      </c>
      <c r="F575">
        <v>500</v>
      </c>
      <c r="G575">
        <v>92250</v>
      </c>
      <c r="H575">
        <v>500</v>
      </c>
      <c r="I575">
        <v>1.37946256138608</v>
      </c>
      <c r="J575">
        <v>92250</v>
      </c>
      <c r="K575">
        <v>1.45869993084829</v>
      </c>
      <c r="L575">
        <v>500</v>
      </c>
      <c r="M575">
        <v>2.7589251227721698</v>
      </c>
      <c r="N575">
        <v>184.5</v>
      </c>
      <c r="O575">
        <v>92250</v>
      </c>
      <c r="P575">
        <v>2.9173998616965902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1</v>
      </c>
      <c r="W575">
        <v>9.8425196850393706E-2</v>
      </c>
    </row>
    <row r="576" spans="1:23" hidden="1" x14ac:dyDescent="0.25">
      <c r="A576" t="s">
        <v>179</v>
      </c>
      <c r="B576">
        <v>9</v>
      </c>
      <c r="C576">
        <v>2025</v>
      </c>
      <c r="D576" t="s">
        <v>110</v>
      </c>
      <c r="E576" t="s">
        <v>111</v>
      </c>
      <c r="F576">
        <v>-410</v>
      </c>
      <c r="G576">
        <v>-75738</v>
      </c>
      <c r="H576">
        <v>946</v>
      </c>
      <c r="I576">
        <v>2.6099431661424699</v>
      </c>
      <c r="J576">
        <v>164223.79999999999</v>
      </c>
      <c r="K576">
        <v>2.5967831512590198</v>
      </c>
      <c r="L576">
        <v>268</v>
      </c>
      <c r="M576">
        <v>1.4787838658058801</v>
      </c>
      <c r="N576">
        <v>165.08544776119399</v>
      </c>
      <c r="O576">
        <v>44242.9</v>
      </c>
      <c r="P576">
        <v>1.39917864868353</v>
      </c>
      <c r="Q576">
        <v>678</v>
      </c>
      <c r="R576">
        <v>3.74110246647906</v>
      </c>
      <c r="S576">
        <v>176.962979351032</v>
      </c>
      <c r="T576">
        <v>119980.9</v>
      </c>
      <c r="U576">
        <v>3.7943876538344901</v>
      </c>
      <c r="V576">
        <v>17</v>
      </c>
      <c r="W576">
        <v>1.6732283464566899</v>
      </c>
    </row>
    <row r="577" spans="1:23" hidden="1" x14ac:dyDescent="0.25">
      <c r="A577" t="s">
        <v>179</v>
      </c>
      <c r="B577">
        <v>9</v>
      </c>
      <c r="C577">
        <v>2025</v>
      </c>
      <c r="D577" t="s">
        <v>116</v>
      </c>
      <c r="E577" t="s">
        <v>117</v>
      </c>
      <c r="F577">
        <v>71</v>
      </c>
      <c r="G577">
        <v>12805.56</v>
      </c>
      <c r="H577">
        <v>71</v>
      </c>
      <c r="I577">
        <v>0.19588368371682399</v>
      </c>
      <c r="J577">
        <v>12805.56</v>
      </c>
      <c r="K577">
        <v>0.20248747410811599</v>
      </c>
      <c r="L577">
        <v>71</v>
      </c>
      <c r="M577">
        <v>0.39176736743364798</v>
      </c>
      <c r="N577">
        <v>180.36</v>
      </c>
      <c r="O577">
        <v>12805.56</v>
      </c>
      <c r="P577">
        <v>0.40497494821623198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1</v>
      </c>
      <c r="W577">
        <v>9.8425196850393706E-2</v>
      </c>
    </row>
    <row r="578" spans="1:23" hidden="1" x14ac:dyDescent="0.25">
      <c r="A578" t="s">
        <v>179</v>
      </c>
      <c r="B578">
        <v>9</v>
      </c>
      <c r="C578">
        <v>2025</v>
      </c>
      <c r="D578" t="s">
        <v>118</v>
      </c>
      <c r="E578" t="s">
        <v>119</v>
      </c>
      <c r="F578">
        <v>600</v>
      </c>
      <c r="G578">
        <v>99882.5</v>
      </c>
      <c r="H578">
        <v>600</v>
      </c>
      <c r="I578">
        <v>1.6553550736633</v>
      </c>
      <c r="J578">
        <v>99882.5</v>
      </c>
      <c r="K578">
        <v>1.5793885728233601</v>
      </c>
      <c r="L578">
        <v>600</v>
      </c>
      <c r="M578">
        <v>3.3107101473266001</v>
      </c>
      <c r="N578">
        <v>166.47083333333299</v>
      </c>
      <c r="O578">
        <v>99882.5</v>
      </c>
      <c r="P578">
        <v>3.1587771456467202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5</v>
      </c>
      <c r="W578">
        <v>0.49212598425196902</v>
      </c>
    </row>
    <row r="579" spans="1:23" hidden="1" x14ac:dyDescent="0.25">
      <c r="A579" t="s">
        <v>179</v>
      </c>
      <c r="B579">
        <v>9</v>
      </c>
      <c r="C579">
        <v>2025</v>
      </c>
      <c r="D579" t="s">
        <v>122</v>
      </c>
      <c r="E579" t="s">
        <v>123</v>
      </c>
      <c r="F579">
        <v>-9006</v>
      </c>
      <c r="G579">
        <v>-1568600.59</v>
      </c>
      <c r="H579">
        <v>12654</v>
      </c>
      <c r="I579">
        <v>34.911438503558998</v>
      </c>
      <c r="J579">
        <v>2196836.13</v>
      </c>
      <c r="K579">
        <v>34.737395240282197</v>
      </c>
      <c r="L579">
        <v>1824</v>
      </c>
      <c r="M579">
        <v>10.064558847872901</v>
      </c>
      <c r="N579">
        <v>172.213689692982</v>
      </c>
      <c r="O579">
        <v>314117.77</v>
      </c>
      <c r="P579">
        <v>9.9339527236253709</v>
      </c>
      <c r="Q579">
        <v>10830</v>
      </c>
      <c r="R579">
        <v>59.758318159245199</v>
      </c>
      <c r="S579">
        <v>173.842877192982</v>
      </c>
      <c r="T579">
        <v>1882718.36</v>
      </c>
      <c r="U579">
        <v>59.540837756938998</v>
      </c>
      <c r="V579">
        <v>286</v>
      </c>
      <c r="W579">
        <v>28.1496062992126</v>
      </c>
    </row>
    <row r="580" spans="1:23" hidden="1" x14ac:dyDescent="0.25">
      <c r="A580" t="s">
        <v>179</v>
      </c>
      <c r="B580">
        <v>9</v>
      </c>
      <c r="C580">
        <v>2025</v>
      </c>
      <c r="D580" t="s">
        <v>126</v>
      </c>
      <c r="E580" t="s">
        <v>127</v>
      </c>
      <c r="F580">
        <v>104</v>
      </c>
      <c r="G580">
        <v>19616.189999999999</v>
      </c>
      <c r="H580">
        <v>338</v>
      </c>
      <c r="I580">
        <v>0.93251669149699301</v>
      </c>
      <c r="J580">
        <v>59299.01</v>
      </c>
      <c r="K580">
        <v>0.93766354239969996</v>
      </c>
      <c r="L580">
        <v>221</v>
      </c>
      <c r="M580">
        <v>1.2194449042652999</v>
      </c>
      <c r="N580">
        <v>178.541176470588</v>
      </c>
      <c r="O580">
        <v>39457.599999999999</v>
      </c>
      <c r="P580">
        <v>1.24784386756509</v>
      </c>
      <c r="Q580">
        <v>117</v>
      </c>
      <c r="R580">
        <v>0.64558847872868697</v>
      </c>
      <c r="S580">
        <v>169.584700854701</v>
      </c>
      <c r="T580">
        <v>19841.41</v>
      </c>
      <c r="U580">
        <v>0.627483217234312</v>
      </c>
      <c r="V580">
        <v>29</v>
      </c>
      <c r="W580">
        <v>2.8543307086614198</v>
      </c>
    </row>
    <row r="581" spans="1:23" hidden="1" x14ac:dyDescent="0.25">
      <c r="A581" t="s">
        <v>179</v>
      </c>
      <c r="B581">
        <v>9</v>
      </c>
      <c r="C581">
        <v>2025</v>
      </c>
      <c r="D581" t="s">
        <v>130</v>
      </c>
      <c r="E581" t="s">
        <v>131</v>
      </c>
      <c r="F581">
        <v>300</v>
      </c>
      <c r="G581">
        <v>54548.08</v>
      </c>
      <c r="H581">
        <v>776</v>
      </c>
      <c r="I581">
        <v>2.1409258952712</v>
      </c>
      <c r="J581">
        <v>137499.68</v>
      </c>
      <c r="K581">
        <v>2.1742089290803501</v>
      </c>
      <c r="L581">
        <v>538</v>
      </c>
      <c r="M581">
        <v>2.9686034321028498</v>
      </c>
      <c r="N581">
        <v>178.48304832713799</v>
      </c>
      <c r="O581">
        <v>96023.88</v>
      </c>
      <c r="P581">
        <v>3.03674855535577</v>
      </c>
      <c r="Q581">
        <v>238</v>
      </c>
      <c r="R581">
        <v>1.31324835843955</v>
      </c>
      <c r="S581">
        <v>174.26806722689099</v>
      </c>
      <c r="T581">
        <v>41475.800000000003</v>
      </c>
      <c r="U581">
        <v>1.31166930280494</v>
      </c>
      <c r="V581">
        <v>24</v>
      </c>
      <c r="W581">
        <v>2.36220472440945</v>
      </c>
    </row>
    <row r="582" spans="1:23" hidden="1" x14ac:dyDescent="0.25">
      <c r="A582" t="s">
        <v>179</v>
      </c>
      <c r="B582">
        <v>9</v>
      </c>
      <c r="C582">
        <v>2025</v>
      </c>
      <c r="D582" t="s">
        <v>132</v>
      </c>
      <c r="E582" t="s">
        <v>133</v>
      </c>
      <c r="F582">
        <v>413</v>
      </c>
      <c r="G582">
        <v>67321.100000000006</v>
      </c>
      <c r="H582">
        <v>1889</v>
      </c>
      <c r="I582">
        <v>5.2116095569166196</v>
      </c>
      <c r="J582">
        <v>327166.42</v>
      </c>
      <c r="K582">
        <v>5.17330768812882</v>
      </c>
      <c r="L582">
        <v>1151</v>
      </c>
      <c r="M582">
        <v>6.3510456326215303</v>
      </c>
      <c r="N582">
        <v>171.36729800173799</v>
      </c>
      <c r="O582">
        <v>197243.76</v>
      </c>
      <c r="P582">
        <v>6.2378202508890501</v>
      </c>
      <c r="Q582">
        <v>738</v>
      </c>
      <c r="R582">
        <v>4.0721734812117196</v>
      </c>
      <c r="S582">
        <v>176.04696476964801</v>
      </c>
      <c r="T582">
        <v>129922.66</v>
      </c>
      <c r="U582">
        <v>4.1087951253685899</v>
      </c>
      <c r="V582">
        <v>32</v>
      </c>
      <c r="W582">
        <v>3.1496062992125999</v>
      </c>
    </row>
    <row r="583" spans="1:23" hidden="1" x14ac:dyDescent="0.25">
      <c r="A583" t="s">
        <v>179</v>
      </c>
      <c r="B583">
        <v>9</v>
      </c>
      <c r="C583">
        <v>2025</v>
      </c>
      <c r="D583" t="s">
        <v>134</v>
      </c>
      <c r="E583" t="s">
        <v>135</v>
      </c>
      <c r="F583">
        <v>-466</v>
      </c>
      <c r="G583">
        <v>-84831.8</v>
      </c>
      <c r="H583">
        <v>466</v>
      </c>
      <c r="I583">
        <v>1.28565910721183</v>
      </c>
      <c r="J583">
        <v>84831.8</v>
      </c>
      <c r="K583">
        <v>1.3413999002031001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466</v>
      </c>
      <c r="R583">
        <v>2.5713182144236599</v>
      </c>
      <c r="S583">
        <v>182.042489270386</v>
      </c>
      <c r="T583">
        <v>84831.8</v>
      </c>
      <c r="U583">
        <v>2.6827998004062099</v>
      </c>
      <c r="V583">
        <v>11</v>
      </c>
      <c r="W583">
        <v>1.0826771653543299</v>
      </c>
    </row>
    <row r="584" spans="1:23" hidden="1" x14ac:dyDescent="0.25">
      <c r="A584" t="s">
        <v>179</v>
      </c>
      <c r="B584">
        <v>9</v>
      </c>
      <c r="C584">
        <v>2025</v>
      </c>
      <c r="D584" t="s">
        <v>136</v>
      </c>
      <c r="E584" t="s">
        <v>137</v>
      </c>
      <c r="F584">
        <v>58</v>
      </c>
      <c r="G584">
        <v>10071.120000000001</v>
      </c>
      <c r="H584">
        <v>58</v>
      </c>
      <c r="I584">
        <v>0.160017657120786</v>
      </c>
      <c r="J584">
        <v>10071.120000000001</v>
      </c>
      <c r="K584">
        <v>0.159249236287966</v>
      </c>
      <c r="L584">
        <v>58</v>
      </c>
      <c r="M584">
        <v>0.320035314241572</v>
      </c>
      <c r="N584">
        <v>173.64</v>
      </c>
      <c r="O584">
        <v>10071.120000000001</v>
      </c>
      <c r="P584">
        <v>0.318498472575932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1</v>
      </c>
      <c r="W584">
        <v>9.8425196850393706E-2</v>
      </c>
    </row>
    <row r="585" spans="1:23" hidden="1" x14ac:dyDescent="0.25">
      <c r="A585" t="s">
        <v>179</v>
      </c>
      <c r="B585">
        <v>9</v>
      </c>
      <c r="C585">
        <v>2025</v>
      </c>
      <c r="D585" t="s">
        <v>142</v>
      </c>
      <c r="E585" t="s">
        <v>143</v>
      </c>
      <c r="F585">
        <v>729</v>
      </c>
      <c r="G585">
        <v>138198.42000000001</v>
      </c>
      <c r="H585">
        <v>1451</v>
      </c>
      <c r="I585">
        <v>4.0032003531424198</v>
      </c>
      <c r="J585">
        <v>256354.64</v>
      </c>
      <c r="K585">
        <v>4.0535988687332196</v>
      </c>
      <c r="L585">
        <v>1090</v>
      </c>
      <c r="M585">
        <v>6.0144567676433303</v>
      </c>
      <c r="N585">
        <v>180.987642201835</v>
      </c>
      <c r="O585">
        <v>197276.53</v>
      </c>
      <c r="P585">
        <v>6.2388565998697301</v>
      </c>
      <c r="Q585">
        <v>361</v>
      </c>
      <c r="R585">
        <v>1.9919439386415101</v>
      </c>
      <c r="S585">
        <v>163.65127423822699</v>
      </c>
      <c r="T585">
        <v>59078.11</v>
      </c>
      <c r="U585">
        <v>1.8683411375967001</v>
      </c>
      <c r="V585">
        <v>85</v>
      </c>
      <c r="W585">
        <v>8.3661417322834595</v>
      </c>
    </row>
    <row r="586" spans="1:23" hidden="1" x14ac:dyDescent="0.25">
      <c r="A586" t="s">
        <v>179</v>
      </c>
      <c r="B586">
        <v>9</v>
      </c>
      <c r="C586">
        <v>2025</v>
      </c>
      <c r="D586" t="s">
        <v>146</v>
      </c>
      <c r="E586" t="s">
        <v>147</v>
      </c>
      <c r="F586">
        <v>513</v>
      </c>
      <c r="G586">
        <v>90918.6</v>
      </c>
      <c r="H586">
        <v>867</v>
      </c>
      <c r="I586">
        <v>2.3919880814434702</v>
      </c>
      <c r="J586">
        <v>155358.6</v>
      </c>
      <c r="K586">
        <v>2.45660248321613</v>
      </c>
      <c r="L586">
        <v>690</v>
      </c>
      <c r="M586">
        <v>3.8073166694255902</v>
      </c>
      <c r="N586">
        <v>178.46173913043501</v>
      </c>
      <c r="O586">
        <v>123138.6</v>
      </c>
      <c r="P586">
        <v>3.8942496976640801</v>
      </c>
      <c r="Q586">
        <v>177</v>
      </c>
      <c r="R586">
        <v>0.97665949346134795</v>
      </c>
      <c r="S586">
        <v>182.03389830508499</v>
      </c>
      <c r="T586">
        <v>32220</v>
      </c>
      <c r="U586">
        <v>1.01895526876817</v>
      </c>
      <c r="V586">
        <v>24</v>
      </c>
      <c r="W586">
        <v>2.36220472440945</v>
      </c>
    </row>
    <row r="587" spans="1:23" x14ac:dyDescent="0.25">
      <c r="A587" t="s">
        <v>179</v>
      </c>
      <c r="B587">
        <v>9</v>
      </c>
      <c r="C587">
        <v>2025</v>
      </c>
      <c r="D587" t="s">
        <v>148</v>
      </c>
      <c r="E587" t="s">
        <v>148</v>
      </c>
      <c r="F587">
        <v>0</v>
      </c>
      <c r="G587" s="4">
        <v>-2.26464180741459E-10</v>
      </c>
      <c r="H587">
        <v>36246</v>
      </c>
      <c r="I587">
        <v>0</v>
      </c>
      <c r="J587">
        <v>6324124.5199999996</v>
      </c>
      <c r="K587">
        <v>0</v>
      </c>
      <c r="L587">
        <v>18123</v>
      </c>
      <c r="M587">
        <v>100</v>
      </c>
      <c r="N587">
        <v>173.85169417897501</v>
      </c>
      <c r="O587">
        <v>3162062.26</v>
      </c>
      <c r="P587">
        <v>100</v>
      </c>
      <c r="Q587">
        <v>18123</v>
      </c>
      <c r="R587">
        <v>100</v>
      </c>
      <c r="S587">
        <v>173.47979381443301</v>
      </c>
      <c r="T587">
        <v>3162062.26</v>
      </c>
      <c r="U587">
        <v>100</v>
      </c>
      <c r="V587">
        <v>1016</v>
      </c>
      <c r="W587">
        <v>100</v>
      </c>
    </row>
    <row r="588" spans="1:23" hidden="1" x14ac:dyDescent="0.25">
      <c r="A588" t="s">
        <v>179</v>
      </c>
      <c r="B588">
        <v>9</v>
      </c>
      <c r="C588">
        <v>2025</v>
      </c>
      <c r="D588" t="s">
        <v>149</v>
      </c>
      <c r="E588" t="s">
        <v>150</v>
      </c>
      <c r="F588">
        <v>67</v>
      </c>
      <c r="G588">
        <v>9293.07</v>
      </c>
      <c r="H588">
        <v>713</v>
      </c>
      <c r="I588">
        <v>1.96711361253656</v>
      </c>
      <c r="J588">
        <v>119848.07</v>
      </c>
      <c r="K588">
        <v>1.8950934571414799</v>
      </c>
      <c r="L588">
        <v>390</v>
      </c>
      <c r="M588">
        <v>2.1519615957622902</v>
      </c>
      <c r="N588">
        <v>165.565564102564</v>
      </c>
      <c r="O588">
        <v>64570.57</v>
      </c>
      <c r="P588">
        <v>2.0420398047443902</v>
      </c>
      <c r="Q588">
        <v>323</v>
      </c>
      <c r="R588">
        <v>1.7822656293108201</v>
      </c>
      <c r="S588">
        <v>171.13777089783301</v>
      </c>
      <c r="T588">
        <v>55277.5</v>
      </c>
      <c r="U588">
        <v>1.7481471095385701</v>
      </c>
      <c r="V588">
        <v>12</v>
      </c>
      <c r="W588">
        <v>1.1811023622047201</v>
      </c>
    </row>
    <row r="589" spans="1:23" hidden="1" x14ac:dyDescent="0.25">
      <c r="A589" t="s">
        <v>179</v>
      </c>
      <c r="B589">
        <v>9</v>
      </c>
      <c r="C589">
        <v>2025</v>
      </c>
      <c r="D589" t="s">
        <v>153</v>
      </c>
      <c r="E589" t="s">
        <v>154</v>
      </c>
      <c r="F589">
        <v>37</v>
      </c>
      <c r="G589">
        <v>6262.38</v>
      </c>
      <c r="H589">
        <v>39</v>
      </c>
      <c r="I589">
        <v>0.107598079788115</v>
      </c>
      <c r="J589">
        <v>6626.38</v>
      </c>
      <c r="K589">
        <v>0.104779404311919</v>
      </c>
      <c r="L589">
        <v>38</v>
      </c>
      <c r="M589">
        <v>0.20967830933068499</v>
      </c>
      <c r="N589">
        <v>169.588947368421</v>
      </c>
      <c r="O589">
        <v>6444.38</v>
      </c>
      <c r="P589">
        <v>0.20380307122732</v>
      </c>
      <c r="Q589">
        <v>1</v>
      </c>
      <c r="R589">
        <v>5.5178502455443404E-3</v>
      </c>
      <c r="S589">
        <v>182</v>
      </c>
      <c r="T589">
        <v>182</v>
      </c>
      <c r="U589">
        <v>5.75573739651793E-3</v>
      </c>
      <c r="V589">
        <v>7</v>
      </c>
      <c r="W589">
        <v>0.68897637795275601</v>
      </c>
    </row>
    <row r="590" spans="1:23" hidden="1" x14ac:dyDescent="0.25">
      <c r="A590" t="s">
        <v>179</v>
      </c>
      <c r="B590">
        <v>10</v>
      </c>
      <c r="C590">
        <v>2025</v>
      </c>
      <c r="D590" t="s">
        <v>88</v>
      </c>
      <c r="E590" t="s">
        <v>89</v>
      </c>
      <c r="F590">
        <v>365</v>
      </c>
      <c r="G590">
        <v>82745.03</v>
      </c>
      <c r="H590">
        <v>951</v>
      </c>
      <c r="I590">
        <v>1.41842913820362</v>
      </c>
      <c r="J590">
        <v>197812.77</v>
      </c>
      <c r="K590">
        <v>1.42950468435065</v>
      </c>
      <c r="L590">
        <v>658</v>
      </c>
      <c r="M590">
        <v>1.9628314888285701</v>
      </c>
      <c r="N590">
        <v>213.189817629179</v>
      </c>
      <c r="O590">
        <v>140278.9</v>
      </c>
      <c r="P590">
        <v>2.0274661202667201</v>
      </c>
      <c r="Q590">
        <v>293</v>
      </c>
      <c r="R590">
        <v>0.87402678757867702</v>
      </c>
      <c r="S590">
        <v>196.36133105802</v>
      </c>
      <c r="T590">
        <v>57533.87</v>
      </c>
      <c r="U590">
        <v>0.83154324843458105</v>
      </c>
      <c r="V590">
        <v>25</v>
      </c>
      <c r="W590">
        <v>1.3426423200859301</v>
      </c>
    </row>
    <row r="591" spans="1:23" hidden="1" x14ac:dyDescent="0.25">
      <c r="A591" t="s">
        <v>179</v>
      </c>
      <c r="B591">
        <v>10</v>
      </c>
      <c r="C591">
        <v>2025</v>
      </c>
      <c r="D591" t="s">
        <v>90</v>
      </c>
      <c r="E591" t="s">
        <v>91</v>
      </c>
      <c r="F591">
        <v>1434</v>
      </c>
      <c r="G591">
        <v>285686.14</v>
      </c>
      <c r="H591">
        <v>4936</v>
      </c>
      <c r="I591">
        <v>7.3621095963965004</v>
      </c>
      <c r="J591">
        <v>1009803.02</v>
      </c>
      <c r="K591">
        <v>7.2973961557761502</v>
      </c>
      <c r="L591">
        <v>3185</v>
      </c>
      <c r="M591">
        <v>9.5009396533723098</v>
      </c>
      <c r="N591">
        <v>203.37349450549399</v>
      </c>
      <c r="O591">
        <v>647744.57999999996</v>
      </c>
      <c r="P591">
        <v>9.3619225025031891</v>
      </c>
      <c r="Q591">
        <v>1751</v>
      </c>
      <c r="R591">
        <v>5.2232795394206999</v>
      </c>
      <c r="S591">
        <v>206.77238149628801</v>
      </c>
      <c r="T591">
        <v>362058.44</v>
      </c>
      <c r="U591">
        <v>5.2328698090491201</v>
      </c>
      <c r="V591">
        <v>207</v>
      </c>
      <c r="W591">
        <v>11.1170784103115</v>
      </c>
    </row>
    <row r="592" spans="1:23" hidden="1" x14ac:dyDescent="0.25">
      <c r="A592" t="s">
        <v>179</v>
      </c>
      <c r="B592">
        <v>10</v>
      </c>
      <c r="C592">
        <v>2025</v>
      </c>
      <c r="D592" t="s">
        <v>102</v>
      </c>
      <c r="E592" t="s">
        <v>103</v>
      </c>
      <c r="F592">
        <v>1210</v>
      </c>
      <c r="G592">
        <v>229690.81000000099</v>
      </c>
      <c r="H592">
        <v>15302</v>
      </c>
      <c r="I592">
        <v>22.8231363541449</v>
      </c>
      <c r="J592">
        <v>3170546.79</v>
      </c>
      <c r="K592">
        <v>22.912127908920699</v>
      </c>
      <c r="L592">
        <v>8256</v>
      </c>
      <c r="M592">
        <v>24.6278674342988</v>
      </c>
      <c r="N592">
        <v>205.92524224806201</v>
      </c>
      <c r="O592">
        <v>1700118.8</v>
      </c>
      <c r="P592">
        <v>24.572000973977602</v>
      </c>
      <c r="Q592">
        <v>7046</v>
      </c>
      <c r="R592">
        <v>21.018405273991</v>
      </c>
      <c r="S592">
        <v>208.68975163213199</v>
      </c>
      <c r="T592">
        <v>1470427.99</v>
      </c>
      <c r="U592">
        <v>21.252254843863799</v>
      </c>
      <c r="V592">
        <v>450</v>
      </c>
      <c r="W592">
        <v>24.1675617615467</v>
      </c>
    </row>
    <row r="593" spans="1:23" hidden="1" x14ac:dyDescent="0.25">
      <c r="A593" t="s">
        <v>179</v>
      </c>
      <c r="B593">
        <v>10</v>
      </c>
      <c r="C593">
        <v>2025</v>
      </c>
      <c r="D593" t="s">
        <v>104</v>
      </c>
      <c r="E593" t="s">
        <v>105</v>
      </c>
      <c r="F593">
        <v>867</v>
      </c>
      <c r="G593">
        <v>186642.6</v>
      </c>
      <c r="H593">
        <v>3179</v>
      </c>
      <c r="I593">
        <v>4.7415207469498597</v>
      </c>
      <c r="J593">
        <v>648801.28000000003</v>
      </c>
      <c r="K593">
        <v>4.6885975509705302</v>
      </c>
      <c r="L593">
        <v>2023</v>
      </c>
      <c r="M593">
        <v>6.0346627688452701</v>
      </c>
      <c r="N593">
        <v>206.48637666831399</v>
      </c>
      <c r="O593">
        <v>417721.94</v>
      </c>
      <c r="P593">
        <v>6.03738039749447</v>
      </c>
      <c r="Q593">
        <v>1156</v>
      </c>
      <c r="R593">
        <v>3.44837872505444</v>
      </c>
      <c r="S593">
        <v>199.89562283737001</v>
      </c>
      <c r="T593">
        <v>231079.34</v>
      </c>
      <c r="U593">
        <v>3.3398147044465998</v>
      </c>
      <c r="V593">
        <v>148</v>
      </c>
      <c r="W593">
        <v>7.9484425349086996</v>
      </c>
    </row>
    <row r="594" spans="1:23" hidden="1" x14ac:dyDescent="0.25">
      <c r="A594" t="s">
        <v>179</v>
      </c>
      <c r="B594">
        <v>10</v>
      </c>
      <c r="C594">
        <v>2025</v>
      </c>
      <c r="D594" t="s">
        <v>106</v>
      </c>
      <c r="E594" t="s">
        <v>107</v>
      </c>
      <c r="F594">
        <v>-483</v>
      </c>
      <c r="G594">
        <v>-88690.01</v>
      </c>
      <c r="H594">
        <v>1303</v>
      </c>
      <c r="I594">
        <v>1.9434418160665801</v>
      </c>
      <c r="J594">
        <v>260173.89</v>
      </c>
      <c r="K594">
        <v>1.88016069185387</v>
      </c>
      <c r="L594">
        <v>410</v>
      </c>
      <c r="M594">
        <v>1.22304089729439</v>
      </c>
      <c r="N594">
        <v>209.12668292682901</v>
      </c>
      <c r="O594">
        <v>85741.94</v>
      </c>
      <c r="P594">
        <v>1.2392375363361301</v>
      </c>
      <c r="Q594">
        <v>893</v>
      </c>
      <c r="R594">
        <v>2.6638427348387701</v>
      </c>
      <c r="S594">
        <v>195.33253079507301</v>
      </c>
      <c r="T594">
        <v>174431.95</v>
      </c>
      <c r="U594">
        <v>2.5210838473716199</v>
      </c>
      <c r="V594">
        <v>53</v>
      </c>
      <c r="W594">
        <v>2.8464017185821699</v>
      </c>
    </row>
    <row r="595" spans="1:23" hidden="1" x14ac:dyDescent="0.25">
      <c r="A595" t="s">
        <v>179</v>
      </c>
      <c r="B595">
        <v>10</v>
      </c>
      <c r="C595">
        <v>2025</v>
      </c>
      <c r="D595" t="s">
        <v>108</v>
      </c>
      <c r="E595" t="s">
        <v>109</v>
      </c>
      <c r="F595">
        <v>-500</v>
      </c>
      <c r="G595">
        <v>-114888.26</v>
      </c>
      <c r="H595">
        <v>500</v>
      </c>
      <c r="I595">
        <v>0.745756644691704</v>
      </c>
      <c r="J595">
        <v>114888.26</v>
      </c>
      <c r="K595">
        <v>0.830246226504463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500</v>
      </c>
      <c r="R595">
        <v>1.49151328938341</v>
      </c>
      <c r="S595">
        <v>229.77652</v>
      </c>
      <c r="T595">
        <v>114888.26</v>
      </c>
      <c r="U595">
        <v>1.66049245300893</v>
      </c>
      <c r="V595">
        <v>10</v>
      </c>
      <c r="W595">
        <v>0.53705692803437199</v>
      </c>
    </row>
    <row r="596" spans="1:23" hidden="1" x14ac:dyDescent="0.25">
      <c r="A596" t="s">
        <v>179</v>
      </c>
      <c r="B596">
        <v>10</v>
      </c>
      <c r="C596">
        <v>2025</v>
      </c>
      <c r="D596" t="s">
        <v>110</v>
      </c>
      <c r="E596" t="s">
        <v>111</v>
      </c>
      <c r="F596">
        <v>706</v>
      </c>
      <c r="G596">
        <v>158324.47</v>
      </c>
      <c r="H596">
        <v>982</v>
      </c>
      <c r="I596">
        <v>1.4646660501745099</v>
      </c>
      <c r="J596">
        <v>212644.57</v>
      </c>
      <c r="K596">
        <v>1.53668748947163</v>
      </c>
      <c r="L596">
        <v>844</v>
      </c>
      <c r="M596">
        <v>2.5176744324791902</v>
      </c>
      <c r="N596">
        <v>219.768388625592</v>
      </c>
      <c r="O596">
        <v>185484.52</v>
      </c>
      <c r="P596">
        <v>2.6808278375004</v>
      </c>
      <c r="Q596">
        <v>138</v>
      </c>
      <c r="R596">
        <v>0.411657667869821</v>
      </c>
      <c r="S596">
        <v>196.81195652173901</v>
      </c>
      <c r="T596">
        <v>27160.05</v>
      </c>
      <c r="U596">
        <v>0.39254714144286901</v>
      </c>
      <c r="V596">
        <v>28</v>
      </c>
      <c r="W596">
        <v>1.5037593984962401</v>
      </c>
    </row>
    <row r="597" spans="1:23" hidden="1" x14ac:dyDescent="0.25">
      <c r="A597" t="s">
        <v>179</v>
      </c>
      <c r="B597">
        <v>10</v>
      </c>
      <c r="C597">
        <v>2025</v>
      </c>
      <c r="D597" t="s">
        <v>118</v>
      </c>
      <c r="E597" t="s">
        <v>119</v>
      </c>
      <c r="F597">
        <v>50</v>
      </c>
      <c r="G597">
        <v>11195</v>
      </c>
      <c r="H597">
        <v>50</v>
      </c>
      <c r="I597">
        <v>7.4575664469170397E-2</v>
      </c>
      <c r="J597">
        <v>11195</v>
      </c>
      <c r="K597">
        <v>8.0901273165051593E-2</v>
      </c>
      <c r="L597">
        <v>50</v>
      </c>
      <c r="M597">
        <v>0.14915132893834099</v>
      </c>
      <c r="N597">
        <v>223.9</v>
      </c>
      <c r="O597">
        <v>11195</v>
      </c>
      <c r="P597">
        <v>0.16180254633010299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1</v>
      </c>
      <c r="W597">
        <v>5.3705692803437198E-2</v>
      </c>
    </row>
    <row r="598" spans="1:23" hidden="1" x14ac:dyDescent="0.25">
      <c r="A598" t="s">
        <v>179</v>
      </c>
      <c r="B598">
        <v>10</v>
      </c>
      <c r="C598">
        <v>2025</v>
      </c>
      <c r="D598" t="s">
        <v>122</v>
      </c>
      <c r="E598" t="s">
        <v>123</v>
      </c>
      <c r="F598">
        <v>-8344</v>
      </c>
      <c r="G598">
        <v>-1717331.52</v>
      </c>
      <c r="H598">
        <v>27278</v>
      </c>
      <c r="I598">
        <v>40.6854995078006</v>
      </c>
      <c r="J598">
        <v>5622100.8200000003</v>
      </c>
      <c r="K598">
        <v>40.628415739194303</v>
      </c>
      <c r="L598">
        <v>9467</v>
      </c>
      <c r="M598">
        <v>28.240312621185499</v>
      </c>
      <c r="N598">
        <v>206.23055350163699</v>
      </c>
      <c r="O598">
        <v>1952384.65</v>
      </c>
      <c r="P598">
        <v>28.218026599893498</v>
      </c>
      <c r="Q598">
        <v>17811</v>
      </c>
      <c r="R598">
        <v>53.130686394415797</v>
      </c>
      <c r="S598">
        <v>206.036503845938</v>
      </c>
      <c r="T598">
        <v>3669716.17</v>
      </c>
      <c r="U598">
        <v>53.038804878495199</v>
      </c>
      <c r="V598">
        <v>591</v>
      </c>
      <c r="W598">
        <v>31.740064446831401</v>
      </c>
    </row>
    <row r="599" spans="1:23" hidden="1" x14ac:dyDescent="0.25">
      <c r="A599" t="s">
        <v>179</v>
      </c>
      <c r="B599">
        <v>10</v>
      </c>
      <c r="C599">
        <v>2025</v>
      </c>
      <c r="D599" t="s">
        <v>126</v>
      </c>
      <c r="E599" t="s">
        <v>127</v>
      </c>
      <c r="F599">
        <v>-5</v>
      </c>
      <c r="G599">
        <v>-632.02999999999895</v>
      </c>
      <c r="H599">
        <v>269</v>
      </c>
      <c r="I599">
        <v>0.40121707484413699</v>
      </c>
      <c r="J599">
        <v>52651.89</v>
      </c>
      <c r="K599">
        <v>0.38049173162539102</v>
      </c>
      <c r="L599">
        <v>132</v>
      </c>
      <c r="M599">
        <v>0.39375950839722001</v>
      </c>
      <c r="N599">
        <v>197.044924242424</v>
      </c>
      <c r="O599">
        <v>26009.93</v>
      </c>
      <c r="P599">
        <v>0.37592433263669001</v>
      </c>
      <c r="Q599">
        <v>137</v>
      </c>
      <c r="R599">
        <v>0.40867464129105402</v>
      </c>
      <c r="S599">
        <v>194.466861313869</v>
      </c>
      <c r="T599">
        <v>26641.96</v>
      </c>
      <c r="U599">
        <v>0.38505913061409203</v>
      </c>
      <c r="V599">
        <v>27</v>
      </c>
      <c r="W599">
        <v>1.4500537056928</v>
      </c>
    </row>
    <row r="600" spans="1:23" hidden="1" x14ac:dyDescent="0.25">
      <c r="A600" t="s">
        <v>179</v>
      </c>
      <c r="B600">
        <v>10</v>
      </c>
      <c r="C600">
        <v>2025</v>
      </c>
      <c r="D600" t="s">
        <v>130</v>
      </c>
      <c r="E600" t="s">
        <v>131</v>
      </c>
      <c r="F600">
        <v>1365</v>
      </c>
      <c r="G600">
        <v>280760.52</v>
      </c>
      <c r="H600">
        <v>2179</v>
      </c>
      <c r="I600">
        <v>3.2500074575664502</v>
      </c>
      <c r="J600">
        <v>448485.84</v>
      </c>
      <c r="K600">
        <v>3.2410071864669598</v>
      </c>
      <c r="L600">
        <v>1772</v>
      </c>
      <c r="M600">
        <v>5.2859230975748002</v>
      </c>
      <c r="N600">
        <v>205.76928893905199</v>
      </c>
      <c r="O600">
        <v>364623.18</v>
      </c>
      <c r="P600">
        <v>5.2699382737811096</v>
      </c>
      <c r="Q600">
        <v>407</v>
      </c>
      <c r="R600">
        <v>1.2140918175580899</v>
      </c>
      <c r="S600">
        <v>206.050761670762</v>
      </c>
      <c r="T600">
        <v>83862.66</v>
      </c>
      <c r="U600">
        <v>1.2120760991528099</v>
      </c>
      <c r="V600">
        <v>53</v>
      </c>
      <c r="W600">
        <v>2.8464017185821699</v>
      </c>
    </row>
    <row r="601" spans="1:23" hidden="1" x14ac:dyDescent="0.25">
      <c r="A601" t="s">
        <v>179</v>
      </c>
      <c r="B601">
        <v>10</v>
      </c>
      <c r="C601">
        <v>2025</v>
      </c>
      <c r="D601" t="s">
        <v>132</v>
      </c>
      <c r="E601" t="s">
        <v>133</v>
      </c>
      <c r="F601">
        <v>1160</v>
      </c>
      <c r="G601">
        <v>238021.03</v>
      </c>
      <c r="H601">
        <v>1228</v>
      </c>
      <c r="I601">
        <v>1.8315783193628301</v>
      </c>
      <c r="J601">
        <v>251875.33</v>
      </c>
      <c r="K601">
        <v>1.8201906990502501</v>
      </c>
      <c r="L601">
        <v>1194</v>
      </c>
      <c r="M601">
        <v>3.56173373504758</v>
      </c>
      <c r="N601">
        <v>205.14922948073701</v>
      </c>
      <c r="O601">
        <v>244948.18</v>
      </c>
      <c r="P601">
        <v>3.5402625496136202</v>
      </c>
      <c r="Q601">
        <v>34</v>
      </c>
      <c r="R601">
        <v>0.101422903678072</v>
      </c>
      <c r="S601">
        <v>203.73970588235301</v>
      </c>
      <c r="T601">
        <v>6927.15</v>
      </c>
      <c r="U601">
        <v>0.10011884848687599</v>
      </c>
      <c r="V601">
        <v>23</v>
      </c>
      <c r="W601">
        <v>1.23523093447905</v>
      </c>
    </row>
    <row r="602" spans="1:23" hidden="1" x14ac:dyDescent="0.25">
      <c r="A602" t="s">
        <v>179</v>
      </c>
      <c r="B602">
        <v>10</v>
      </c>
      <c r="C602">
        <v>2025</v>
      </c>
      <c r="D602" t="s">
        <v>134</v>
      </c>
      <c r="E602" t="s">
        <v>135</v>
      </c>
      <c r="F602">
        <v>-422</v>
      </c>
      <c r="G602">
        <v>-89705.65</v>
      </c>
      <c r="H602">
        <v>440</v>
      </c>
      <c r="I602">
        <v>0.65626584732869997</v>
      </c>
      <c r="J602">
        <v>93887.05</v>
      </c>
      <c r="K602">
        <v>0.67847984624482804</v>
      </c>
      <c r="L602">
        <v>9</v>
      </c>
      <c r="M602">
        <v>2.6847239208901301E-2</v>
      </c>
      <c r="N602">
        <v>232.3</v>
      </c>
      <c r="O602">
        <v>2090.6999999999998</v>
      </c>
      <c r="P602">
        <v>3.02171133195486E-2</v>
      </c>
      <c r="Q602">
        <v>431</v>
      </c>
      <c r="R602">
        <v>1.2856844554485001</v>
      </c>
      <c r="S602">
        <v>212.984570765661</v>
      </c>
      <c r="T602">
        <v>91796.35</v>
      </c>
      <c r="U602">
        <v>1.32674257917011</v>
      </c>
      <c r="V602">
        <v>4</v>
      </c>
      <c r="W602">
        <v>0.21482277121374899</v>
      </c>
    </row>
    <row r="603" spans="1:23" hidden="1" x14ac:dyDescent="0.25">
      <c r="A603" t="s">
        <v>179</v>
      </c>
      <c r="B603">
        <v>10</v>
      </c>
      <c r="C603">
        <v>2025</v>
      </c>
      <c r="D603" t="s">
        <v>136</v>
      </c>
      <c r="E603" t="s">
        <v>137</v>
      </c>
      <c r="F603">
        <v>234</v>
      </c>
      <c r="G603">
        <v>40195.730000000003</v>
      </c>
      <c r="H603">
        <v>620</v>
      </c>
      <c r="I603">
        <v>0.92473823941771305</v>
      </c>
      <c r="J603">
        <v>123165.29</v>
      </c>
      <c r="K603">
        <v>0.89006063159828397</v>
      </c>
      <c r="L603">
        <v>427</v>
      </c>
      <c r="M603">
        <v>1.2737523491334299</v>
      </c>
      <c r="N603">
        <v>191.28925058548</v>
      </c>
      <c r="O603">
        <v>81680.509999999995</v>
      </c>
      <c r="P603">
        <v>1.1805372490881201</v>
      </c>
      <c r="Q603">
        <v>193</v>
      </c>
      <c r="R603">
        <v>0.57572412970199605</v>
      </c>
      <c r="S603">
        <v>214.947046632124</v>
      </c>
      <c r="T603">
        <v>41484.78</v>
      </c>
      <c r="U603">
        <v>0.59958401410845397</v>
      </c>
      <c r="V603">
        <v>20</v>
      </c>
      <c r="W603">
        <v>1.07411385606874</v>
      </c>
    </row>
    <row r="604" spans="1:23" hidden="1" x14ac:dyDescent="0.25">
      <c r="A604" t="s">
        <v>179</v>
      </c>
      <c r="B604">
        <v>10</v>
      </c>
      <c r="C604">
        <v>2025</v>
      </c>
      <c r="D604" t="s">
        <v>138</v>
      </c>
      <c r="E604" t="s">
        <v>139</v>
      </c>
      <c r="F604">
        <v>49</v>
      </c>
      <c r="G604">
        <v>9996</v>
      </c>
      <c r="H604">
        <v>49</v>
      </c>
      <c r="I604">
        <v>7.3084151179787005E-2</v>
      </c>
      <c r="J604">
        <v>9996</v>
      </c>
      <c r="K604">
        <v>7.2236634797486002E-2</v>
      </c>
      <c r="L604">
        <v>49</v>
      </c>
      <c r="M604">
        <v>0.14616830235957401</v>
      </c>
      <c r="N604">
        <v>204</v>
      </c>
      <c r="O604">
        <v>9996</v>
      </c>
      <c r="P604">
        <v>0.144473269594972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2</v>
      </c>
      <c r="W604">
        <v>0.10741138560687399</v>
      </c>
    </row>
    <row r="605" spans="1:23" hidden="1" x14ac:dyDescent="0.25">
      <c r="A605" t="s">
        <v>179</v>
      </c>
      <c r="B605">
        <v>10</v>
      </c>
      <c r="C605">
        <v>2025</v>
      </c>
      <c r="D605" t="s">
        <v>142</v>
      </c>
      <c r="E605" t="s">
        <v>143</v>
      </c>
      <c r="F605">
        <v>2493</v>
      </c>
      <c r="G605">
        <v>516789.66</v>
      </c>
      <c r="H605">
        <v>5681</v>
      </c>
      <c r="I605">
        <v>8.4732869969871398</v>
      </c>
      <c r="J605">
        <v>1183770.3999999999</v>
      </c>
      <c r="K605">
        <v>8.55458083922308</v>
      </c>
      <c r="L605">
        <v>4087</v>
      </c>
      <c r="M605">
        <v>12.191629627419999</v>
      </c>
      <c r="N605">
        <v>208.045028137999</v>
      </c>
      <c r="O605">
        <v>850280.03</v>
      </c>
      <c r="P605">
        <v>12.2891892762516</v>
      </c>
      <c r="Q605">
        <v>1594</v>
      </c>
      <c r="R605">
        <v>4.7549443665543096</v>
      </c>
      <c r="S605">
        <v>209.21604140527</v>
      </c>
      <c r="T605">
        <v>333490.37</v>
      </c>
      <c r="U605">
        <v>4.81997240219457</v>
      </c>
      <c r="V605">
        <v>157</v>
      </c>
      <c r="W605">
        <v>8.4317937701396293</v>
      </c>
    </row>
    <row r="606" spans="1:23" hidden="1" x14ac:dyDescent="0.25">
      <c r="A606" t="s">
        <v>179</v>
      </c>
      <c r="B606">
        <v>10</v>
      </c>
      <c r="C606">
        <v>2025</v>
      </c>
      <c r="D606" t="s">
        <v>146</v>
      </c>
      <c r="E606" t="s">
        <v>147</v>
      </c>
      <c r="F606">
        <v>-341</v>
      </c>
      <c r="G606">
        <v>-64560.53</v>
      </c>
      <c r="H606">
        <v>1133</v>
      </c>
      <c r="I606">
        <v>1.6898845568714</v>
      </c>
      <c r="J606">
        <v>225067.67</v>
      </c>
      <c r="K606">
        <v>1.6264636937285999</v>
      </c>
      <c r="L606">
        <v>396</v>
      </c>
      <c r="M606">
        <v>1.18127852519166</v>
      </c>
      <c r="N606">
        <v>202.66053030302999</v>
      </c>
      <c r="O606">
        <v>80253.570000000007</v>
      </c>
      <c r="P606">
        <v>1.1599135308692401</v>
      </c>
      <c r="Q606">
        <v>737</v>
      </c>
      <c r="R606">
        <v>2.1984905885511399</v>
      </c>
      <c r="S606">
        <v>196.49131614653999</v>
      </c>
      <c r="T606">
        <v>144814.1</v>
      </c>
      <c r="U606">
        <v>2.0930138565879601</v>
      </c>
      <c r="V606">
        <v>33</v>
      </c>
      <c r="W606">
        <v>1.77228786251343</v>
      </c>
    </row>
    <row r="607" spans="1:23" x14ac:dyDescent="0.25">
      <c r="A607" t="s">
        <v>179</v>
      </c>
      <c r="B607">
        <v>10</v>
      </c>
      <c r="C607">
        <v>2025</v>
      </c>
      <c r="D607" t="s">
        <v>148</v>
      </c>
      <c r="E607" t="s">
        <v>148</v>
      </c>
      <c r="F607">
        <v>0</v>
      </c>
      <c r="G607" s="4">
        <v>-2.6011548470705701E-10</v>
      </c>
      <c r="H607">
        <v>67046</v>
      </c>
      <c r="I607">
        <v>0</v>
      </c>
      <c r="J607">
        <v>13837853.92</v>
      </c>
      <c r="K607">
        <v>0</v>
      </c>
      <c r="L607">
        <v>33523</v>
      </c>
      <c r="M607">
        <v>100</v>
      </c>
      <c r="N607">
        <v>206.07789787485001</v>
      </c>
      <c r="O607">
        <v>6918926.96</v>
      </c>
      <c r="P607">
        <v>100</v>
      </c>
      <c r="Q607">
        <v>33523</v>
      </c>
      <c r="R607">
        <v>100</v>
      </c>
      <c r="S607">
        <v>205.65508952980699</v>
      </c>
      <c r="T607">
        <v>6918926.96</v>
      </c>
      <c r="U607">
        <v>100</v>
      </c>
      <c r="V607">
        <v>1862</v>
      </c>
      <c r="W607">
        <v>100</v>
      </c>
    </row>
    <row r="608" spans="1:23" hidden="1" x14ac:dyDescent="0.25">
      <c r="A608" t="s">
        <v>179</v>
      </c>
      <c r="B608">
        <v>10</v>
      </c>
      <c r="C608">
        <v>2025</v>
      </c>
      <c r="D608" t="s">
        <v>149</v>
      </c>
      <c r="E608" t="s">
        <v>150</v>
      </c>
      <c r="F608">
        <v>-51</v>
      </c>
      <c r="G608">
        <v>-9133.2999999999993</v>
      </c>
      <c r="H608">
        <v>651</v>
      </c>
      <c r="I608">
        <v>0.97097515138859902</v>
      </c>
      <c r="J608">
        <v>134968.82</v>
      </c>
      <c r="K608">
        <v>0.97535947973065396</v>
      </c>
      <c r="L608">
        <v>300</v>
      </c>
      <c r="M608">
        <v>0.89490797363004504</v>
      </c>
      <c r="N608">
        <v>209.725866666667</v>
      </c>
      <c r="O608">
        <v>62917.760000000002</v>
      </c>
      <c r="P608">
        <v>0.90935719315643704</v>
      </c>
      <c r="Q608">
        <v>351</v>
      </c>
      <c r="R608">
        <v>1.04704232914715</v>
      </c>
      <c r="S608">
        <v>205.27367521367501</v>
      </c>
      <c r="T608">
        <v>72051.06</v>
      </c>
      <c r="U608">
        <v>1.04136176630487</v>
      </c>
      <c r="V608">
        <v>10</v>
      </c>
      <c r="W608">
        <v>0.53705692803437199</v>
      </c>
    </row>
    <row r="609" spans="1:23" hidden="1" x14ac:dyDescent="0.25">
      <c r="A609" t="s">
        <v>179</v>
      </c>
      <c r="B609">
        <v>10</v>
      </c>
      <c r="C609">
        <v>2025</v>
      </c>
      <c r="D609" t="s">
        <v>153</v>
      </c>
      <c r="E609" t="s">
        <v>154</v>
      </c>
      <c r="F609">
        <v>14</v>
      </c>
      <c r="G609">
        <v>2308.6</v>
      </c>
      <c r="H609">
        <v>54</v>
      </c>
      <c r="I609">
        <v>8.0541717626704104E-2</v>
      </c>
      <c r="J609">
        <v>10550.84</v>
      </c>
      <c r="K609">
        <v>7.6246216075100695E-2</v>
      </c>
      <c r="L609">
        <v>34</v>
      </c>
      <c r="M609">
        <v>0.101422903678072</v>
      </c>
      <c r="N609">
        <v>189.10941176470601</v>
      </c>
      <c r="O609">
        <v>6429.72</v>
      </c>
      <c r="P609">
        <v>9.2929438873567805E-2</v>
      </c>
      <c r="Q609">
        <v>20</v>
      </c>
      <c r="R609">
        <v>5.9660531575336302E-2</v>
      </c>
      <c r="S609">
        <v>206.05600000000001</v>
      </c>
      <c r="T609">
        <v>4121.12</v>
      </c>
      <c r="U609">
        <v>5.9562993276633697E-2</v>
      </c>
      <c r="V609">
        <v>11</v>
      </c>
      <c r="W609">
        <v>0.59076262083780895</v>
      </c>
    </row>
    <row r="610" spans="1:23" hidden="1" x14ac:dyDescent="0.25">
      <c r="A610" t="s">
        <v>179</v>
      </c>
      <c r="B610">
        <v>10</v>
      </c>
      <c r="C610">
        <v>2025</v>
      </c>
      <c r="D610" t="s">
        <v>155</v>
      </c>
      <c r="E610" t="s">
        <v>156</v>
      </c>
      <c r="F610">
        <v>199</v>
      </c>
      <c r="G610">
        <v>42585.71</v>
      </c>
      <c r="H610">
        <v>261</v>
      </c>
      <c r="I610">
        <v>0.38928496852907002</v>
      </c>
      <c r="J610">
        <v>55468.39</v>
      </c>
      <c r="K610">
        <v>0.40084532125195299</v>
      </c>
      <c r="L610">
        <v>230</v>
      </c>
      <c r="M610">
        <v>0.68609611311636798</v>
      </c>
      <c r="N610">
        <v>213.16108695652201</v>
      </c>
      <c r="O610">
        <v>49027.05</v>
      </c>
      <c r="P610">
        <v>0.70859325851302302</v>
      </c>
      <c r="Q610">
        <v>31</v>
      </c>
      <c r="R610">
        <v>9.2473823941771296E-2</v>
      </c>
      <c r="S610">
        <v>207.785161290323</v>
      </c>
      <c r="T610">
        <v>6441.34</v>
      </c>
      <c r="U610">
        <v>9.3097383990884006E-2</v>
      </c>
      <c r="V610">
        <v>9</v>
      </c>
      <c r="W610">
        <v>0.48335123523093398</v>
      </c>
    </row>
    <row r="611" spans="1:23" hidden="1" x14ac:dyDescent="0.25">
      <c r="A611" t="s">
        <v>179</v>
      </c>
      <c r="B611">
        <v>11</v>
      </c>
      <c r="C611">
        <v>2025</v>
      </c>
      <c r="D611" t="s">
        <v>88</v>
      </c>
      <c r="E611" t="s">
        <v>89</v>
      </c>
      <c r="F611">
        <v>209</v>
      </c>
      <c r="G611">
        <v>41553.57</v>
      </c>
      <c r="H611">
        <v>229</v>
      </c>
      <c r="I611">
        <v>1.1332145684877299</v>
      </c>
      <c r="J611">
        <v>45748.97</v>
      </c>
      <c r="K611">
        <v>1.12318670803642</v>
      </c>
      <c r="L611">
        <v>219</v>
      </c>
      <c r="M611">
        <v>2.16745843230404</v>
      </c>
      <c r="N611">
        <v>199.32086757990899</v>
      </c>
      <c r="O611">
        <v>43651.27</v>
      </c>
      <c r="P611">
        <v>2.1433718071864298</v>
      </c>
      <c r="Q611">
        <v>10</v>
      </c>
      <c r="R611">
        <v>9.8970704671417206E-2</v>
      </c>
      <c r="S611">
        <v>209.77</v>
      </c>
      <c r="T611">
        <v>2097.6999999999998</v>
      </c>
      <c r="U611">
        <v>0.103001608886407</v>
      </c>
      <c r="V611">
        <v>6</v>
      </c>
      <c r="W611">
        <v>1.1857707509881401</v>
      </c>
    </row>
    <row r="612" spans="1:23" hidden="1" x14ac:dyDescent="0.25">
      <c r="A612" t="s">
        <v>179</v>
      </c>
      <c r="B612">
        <v>11</v>
      </c>
      <c r="C612">
        <v>2025</v>
      </c>
      <c r="D612" t="s">
        <v>90</v>
      </c>
      <c r="E612" t="s">
        <v>91</v>
      </c>
      <c r="F612">
        <v>281</v>
      </c>
      <c r="G612">
        <v>57629.06</v>
      </c>
      <c r="H612">
        <v>723</v>
      </c>
      <c r="I612">
        <v>3.5777909738717302</v>
      </c>
      <c r="J612">
        <v>145756.6</v>
      </c>
      <c r="K612">
        <v>3.5784822200058501</v>
      </c>
      <c r="L612">
        <v>502</v>
      </c>
      <c r="M612">
        <v>4.9683293745051502</v>
      </c>
      <c r="N612">
        <v>202.57535856573699</v>
      </c>
      <c r="O612">
        <v>101692.83</v>
      </c>
      <c r="P612">
        <v>4.9933379902807502</v>
      </c>
      <c r="Q612">
        <v>221</v>
      </c>
      <c r="R612">
        <v>2.1872525732383199</v>
      </c>
      <c r="S612">
        <v>199.383574660633</v>
      </c>
      <c r="T612">
        <v>44063.77</v>
      </c>
      <c r="U612">
        <v>2.1636264497309501</v>
      </c>
      <c r="V612">
        <v>54</v>
      </c>
      <c r="W612">
        <v>10.671936758893301</v>
      </c>
    </row>
    <row r="613" spans="1:23" hidden="1" x14ac:dyDescent="0.25">
      <c r="A613" t="s">
        <v>179</v>
      </c>
      <c r="B613">
        <v>11</v>
      </c>
      <c r="C613">
        <v>2025</v>
      </c>
      <c r="D613" t="s">
        <v>102</v>
      </c>
      <c r="E613" t="s">
        <v>103</v>
      </c>
      <c r="F613">
        <v>-572</v>
      </c>
      <c r="G613">
        <v>-111403.89</v>
      </c>
      <c r="H613">
        <v>3784</v>
      </c>
      <c r="I613">
        <v>18.7252573238321</v>
      </c>
      <c r="J613">
        <v>760791.21</v>
      </c>
      <c r="K613">
        <v>18.678247284320101</v>
      </c>
      <c r="L613">
        <v>1606</v>
      </c>
      <c r="M613">
        <v>15.8946951702296</v>
      </c>
      <c r="N613">
        <v>202.17537982565401</v>
      </c>
      <c r="O613">
        <v>324693.65999999997</v>
      </c>
      <c r="P613">
        <v>15.943161260054399</v>
      </c>
      <c r="Q613">
        <v>2178</v>
      </c>
      <c r="R613">
        <v>21.555819477434699</v>
      </c>
      <c r="S613">
        <v>200.22844352617099</v>
      </c>
      <c r="T613">
        <v>436097.55</v>
      </c>
      <c r="U613">
        <v>21.413333308585798</v>
      </c>
      <c r="V613">
        <v>103</v>
      </c>
      <c r="W613">
        <v>20.355731225296399</v>
      </c>
    </row>
    <row r="614" spans="1:23" hidden="1" x14ac:dyDescent="0.25">
      <c r="A614" t="s">
        <v>179</v>
      </c>
      <c r="B614">
        <v>11</v>
      </c>
      <c r="C614">
        <v>2025</v>
      </c>
      <c r="D614" t="s">
        <v>104</v>
      </c>
      <c r="E614" t="s">
        <v>105</v>
      </c>
      <c r="F614">
        <v>-170</v>
      </c>
      <c r="G614">
        <v>-33753.53</v>
      </c>
      <c r="H614">
        <v>628</v>
      </c>
      <c r="I614">
        <v>3.1076801266824998</v>
      </c>
      <c r="J614">
        <v>125816.59</v>
      </c>
      <c r="K614">
        <v>3.0889334019644101</v>
      </c>
      <c r="L614">
        <v>229</v>
      </c>
      <c r="M614">
        <v>2.2664291369754599</v>
      </c>
      <c r="N614">
        <v>201.01104803493499</v>
      </c>
      <c r="O614">
        <v>46031.53</v>
      </c>
      <c r="P614">
        <v>2.2602477234604201</v>
      </c>
      <c r="Q614">
        <v>399</v>
      </c>
      <c r="R614">
        <v>3.94893111638955</v>
      </c>
      <c r="S614">
        <v>199.962556390977</v>
      </c>
      <c r="T614">
        <v>79785.06</v>
      </c>
      <c r="U614">
        <v>3.9176190804684001</v>
      </c>
      <c r="V614">
        <v>34</v>
      </c>
      <c r="W614">
        <v>6.7193675889328102</v>
      </c>
    </row>
    <row r="615" spans="1:23" hidden="1" x14ac:dyDescent="0.25">
      <c r="A615" t="s">
        <v>179</v>
      </c>
      <c r="B615">
        <v>11</v>
      </c>
      <c r="C615">
        <v>2025</v>
      </c>
      <c r="D615" t="s">
        <v>106</v>
      </c>
      <c r="E615" t="s">
        <v>107</v>
      </c>
      <c r="F615">
        <v>-61</v>
      </c>
      <c r="G615">
        <v>-11991.5</v>
      </c>
      <c r="H615">
        <v>109</v>
      </c>
      <c r="I615">
        <v>0.53939034045922396</v>
      </c>
      <c r="J615">
        <v>21725.9</v>
      </c>
      <c r="K615">
        <v>0.53339434964608901</v>
      </c>
      <c r="L615">
        <v>24</v>
      </c>
      <c r="M615">
        <v>0.237529691211401</v>
      </c>
      <c r="N615">
        <v>202.8</v>
      </c>
      <c r="O615">
        <v>4867.2</v>
      </c>
      <c r="P615">
        <v>0.238990051376232</v>
      </c>
      <c r="Q615">
        <v>85</v>
      </c>
      <c r="R615">
        <v>0.84125098970704704</v>
      </c>
      <c r="S615">
        <v>198.33764705882399</v>
      </c>
      <c r="T615">
        <v>16858.7</v>
      </c>
      <c r="U615">
        <v>0.82779864791594504</v>
      </c>
      <c r="V615">
        <v>4</v>
      </c>
      <c r="W615">
        <v>0.79051383399209496</v>
      </c>
    </row>
    <row r="616" spans="1:23" hidden="1" x14ac:dyDescent="0.25">
      <c r="A616" t="s">
        <v>179</v>
      </c>
      <c r="B616">
        <v>11</v>
      </c>
      <c r="C616">
        <v>2025</v>
      </c>
      <c r="D616" t="s">
        <v>110</v>
      </c>
      <c r="E616" t="s">
        <v>111</v>
      </c>
      <c r="F616">
        <v>2595</v>
      </c>
      <c r="G616">
        <v>523300.6</v>
      </c>
      <c r="H616">
        <v>2607</v>
      </c>
      <c r="I616">
        <v>12.9008313539192</v>
      </c>
      <c r="J616">
        <v>525685</v>
      </c>
      <c r="K616">
        <v>12.9061354739598</v>
      </c>
      <c r="L616">
        <v>2601</v>
      </c>
      <c r="M616">
        <v>25.742280285035601</v>
      </c>
      <c r="N616">
        <v>201.650442137639</v>
      </c>
      <c r="O616">
        <v>524492.80000000005</v>
      </c>
      <c r="P616">
        <v>25.753731348303699</v>
      </c>
      <c r="Q616">
        <v>6</v>
      </c>
      <c r="R616">
        <v>5.9382422802850401E-2</v>
      </c>
      <c r="S616">
        <v>198.7</v>
      </c>
      <c r="T616">
        <v>1192.2</v>
      </c>
      <c r="U616">
        <v>5.8539599615948401E-2</v>
      </c>
      <c r="V616">
        <v>20</v>
      </c>
      <c r="W616">
        <v>3.9525691699604701</v>
      </c>
    </row>
    <row r="617" spans="1:23" hidden="1" x14ac:dyDescent="0.25">
      <c r="A617" t="s">
        <v>179</v>
      </c>
      <c r="B617">
        <v>11</v>
      </c>
      <c r="C617">
        <v>2025</v>
      </c>
      <c r="D617" t="s">
        <v>163</v>
      </c>
      <c r="E617" t="s">
        <v>164</v>
      </c>
      <c r="F617">
        <v>250</v>
      </c>
      <c r="G617">
        <v>51720</v>
      </c>
      <c r="H617">
        <v>250</v>
      </c>
      <c r="I617">
        <v>1.2371338083927199</v>
      </c>
      <c r="J617">
        <v>51720</v>
      </c>
      <c r="K617">
        <v>1.26978195442747</v>
      </c>
      <c r="L617">
        <v>250</v>
      </c>
      <c r="M617">
        <v>2.4742676167854301</v>
      </c>
      <c r="N617">
        <v>206.88</v>
      </c>
      <c r="O617">
        <v>51720</v>
      </c>
      <c r="P617">
        <v>2.5395639088549302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2</v>
      </c>
      <c r="W617">
        <v>0.39525691699604698</v>
      </c>
    </row>
    <row r="618" spans="1:23" hidden="1" x14ac:dyDescent="0.25">
      <c r="A618" t="s">
        <v>179</v>
      </c>
      <c r="B618">
        <v>11</v>
      </c>
      <c r="C618">
        <v>2025</v>
      </c>
      <c r="D618" t="s">
        <v>122</v>
      </c>
      <c r="E618" t="s">
        <v>123</v>
      </c>
      <c r="F618">
        <v>-3956</v>
      </c>
      <c r="G618">
        <v>-806802.69</v>
      </c>
      <c r="H618">
        <v>9108</v>
      </c>
      <c r="I618">
        <v>45.071258907363401</v>
      </c>
      <c r="J618">
        <v>1836145.27</v>
      </c>
      <c r="K618">
        <v>45.079352852926299</v>
      </c>
      <c r="L618">
        <v>2576</v>
      </c>
      <c r="M618">
        <v>25.494853523357101</v>
      </c>
      <c r="N618">
        <v>199.79475543478301</v>
      </c>
      <c r="O618">
        <v>514671.29</v>
      </c>
      <c r="P618">
        <v>25.271473956067499</v>
      </c>
      <c r="Q618">
        <v>6532</v>
      </c>
      <c r="R618">
        <v>64.647664291369793</v>
      </c>
      <c r="S618">
        <v>202.30771279852999</v>
      </c>
      <c r="T618">
        <v>1321473.98</v>
      </c>
      <c r="U618">
        <v>64.887231749785101</v>
      </c>
      <c r="V618">
        <v>204</v>
      </c>
      <c r="W618">
        <v>40.316205533596801</v>
      </c>
    </row>
    <row r="619" spans="1:23" hidden="1" x14ac:dyDescent="0.25">
      <c r="A619" t="s">
        <v>179</v>
      </c>
      <c r="B619">
        <v>11</v>
      </c>
      <c r="C619">
        <v>2025</v>
      </c>
      <c r="D619" t="s">
        <v>126</v>
      </c>
      <c r="E619" t="s">
        <v>127</v>
      </c>
      <c r="F619">
        <v>-9</v>
      </c>
      <c r="G619">
        <v>-1829.46</v>
      </c>
      <c r="H619">
        <v>57</v>
      </c>
      <c r="I619">
        <v>0.28206650831353902</v>
      </c>
      <c r="J619">
        <v>11293.02</v>
      </c>
      <c r="K619">
        <v>0.27725585860379898</v>
      </c>
      <c r="L619">
        <v>24</v>
      </c>
      <c r="M619">
        <v>0.237529691211401</v>
      </c>
      <c r="N619">
        <v>197.1575</v>
      </c>
      <c r="O619">
        <v>4731.78</v>
      </c>
      <c r="P619">
        <v>0.23234063636197999</v>
      </c>
      <c r="Q619">
        <v>33</v>
      </c>
      <c r="R619">
        <v>0.32660332541567699</v>
      </c>
      <c r="S619">
        <v>198.82545454545499</v>
      </c>
      <c r="T619">
        <v>6561.24</v>
      </c>
      <c r="U619">
        <v>0.32217108084561802</v>
      </c>
      <c r="V619">
        <v>6</v>
      </c>
      <c r="W619">
        <v>1.1857707509881401</v>
      </c>
    </row>
    <row r="620" spans="1:23" hidden="1" x14ac:dyDescent="0.25">
      <c r="A620" t="s">
        <v>179</v>
      </c>
      <c r="B620">
        <v>11</v>
      </c>
      <c r="C620">
        <v>2025</v>
      </c>
      <c r="D620" t="s">
        <v>130</v>
      </c>
      <c r="E620" t="s">
        <v>131</v>
      </c>
      <c r="F620">
        <v>241</v>
      </c>
      <c r="G620">
        <v>49328.75</v>
      </c>
      <c r="H620">
        <v>493</v>
      </c>
      <c r="I620">
        <v>2.4396278701504399</v>
      </c>
      <c r="J620">
        <v>99886.33</v>
      </c>
      <c r="K620">
        <v>2.4523174657383402</v>
      </c>
      <c r="L620">
        <v>367</v>
      </c>
      <c r="M620">
        <v>3.63222486144101</v>
      </c>
      <c r="N620">
        <v>203.29029972751999</v>
      </c>
      <c r="O620">
        <v>74607.539999999994</v>
      </c>
      <c r="P620">
        <v>3.6633916456390301</v>
      </c>
      <c r="Q620">
        <v>126</v>
      </c>
      <c r="R620">
        <v>1.2470308788598601</v>
      </c>
      <c r="S620">
        <v>200.62531746031701</v>
      </c>
      <c r="T620">
        <v>25278.79</v>
      </c>
      <c r="U620">
        <v>1.2412432858376501</v>
      </c>
      <c r="V620">
        <v>14</v>
      </c>
      <c r="W620">
        <v>2.7667984189723298</v>
      </c>
    </row>
    <row r="621" spans="1:23" hidden="1" x14ac:dyDescent="0.25">
      <c r="A621" t="s">
        <v>179</v>
      </c>
      <c r="B621">
        <v>11</v>
      </c>
      <c r="C621">
        <v>2025</v>
      </c>
      <c r="D621" t="s">
        <v>132</v>
      </c>
      <c r="E621" t="s">
        <v>133</v>
      </c>
      <c r="F621">
        <v>369</v>
      </c>
      <c r="G621">
        <v>74337.53</v>
      </c>
      <c r="H621">
        <v>969</v>
      </c>
      <c r="I621">
        <v>4.7951306413301698</v>
      </c>
      <c r="J621">
        <v>194520.79</v>
      </c>
      <c r="K621">
        <v>4.7756958411247998</v>
      </c>
      <c r="L621">
        <v>669</v>
      </c>
      <c r="M621">
        <v>6.6211401425178096</v>
      </c>
      <c r="N621">
        <v>200.94044843049301</v>
      </c>
      <c r="O621">
        <v>134429.16</v>
      </c>
      <c r="P621">
        <v>6.6007626263280201</v>
      </c>
      <c r="Q621">
        <v>300</v>
      </c>
      <c r="R621">
        <v>2.9691211401425202</v>
      </c>
      <c r="S621">
        <v>200.30543333333301</v>
      </c>
      <c r="T621">
        <v>60091.63</v>
      </c>
      <c r="U621">
        <v>2.9506290559215902</v>
      </c>
      <c r="V621">
        <v>18</v>
      </c>
      <c r="W621">
        <v>3.5573122529644299</v>
      </c>
    </row>
    <row r="622" spans="1:23" hidden="1" x14ac:dyDescent="0.25">
      <c r="A622" t="s">
        <v>179</v>
      </c>
      <c r="B622">
        <v>11</v>
      </c>
      <c r="C622">
        <v>2025</v>
      </c>
      <c r="D622" t="s">
        <v>134</v>
      </c>
      <c r="E622" t="s">
        <v>135</v>
      </c>
      <c r="F622">
        <v>370</v>
      </c>
      <c r="G622">
        <v>76026</v>
      </c>
      <c r="H622">
        <v>370</v>
      </c>
      <c r="I622">
        <v>1.8309580364212199</v>
      </c>
      <c r="J622">
        <v>76026</v>
      </c>
      <c r="K622">
        <v>1.86652055041188</v>
      </c>
      <c r="L622">
        <v>370</v>
      </c>
      <c r="M622">
        <v>3.6619160728424398</v>
      </c>
      <c r="N622">
        <v>205.475675675676</v>
      </c>
      <c r="O622">
        <v>76026</v>
      </c>
      <c r="P622">
        <v>3.7330411008237698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3</v>
      </c>
      <c r="W622">
        <v>0.59288537549407105</v>
      </c>
    </row>
    <row r="623" spans="1:23" hidden="1" x14ac:dyDescent="0.25">
      <c r="A623" t="s">
        <v>179</v>
      </c>
      <c r="B623">
        <v>11</v>
      </c>
      <c r="C623">
        <v>2025</v>
      </c>
      <c r="D623" t="s">
        <v>142</v>
      </c>
      <c r="E623" t="s">
        <v>143</v>
      </c>
      <c r="F623">
        <v>-96</v>
      </c>
      <c r="G623">
        <v>-18960.11</v>
      </c>
      <c r="H623">
        <v>256</v>
      </c>
      <c r="I623">
        <v>1.26682501979414</v>
      </c>
      <c r="J623">
        <v>51521.89</v>
      </c>
      <c r="K623">
        <v>1.26491813959778</v>
      </c>
      <c r="L623">
        <v>80</v>
      </c>
      <c r="M623">
        <v>0.79176563737133798</v>
      </c>
      <c r="N623">
        <v>203.51112499999999</v>
      </c>
      <c r="O623">
        <v>16280.89</v>
      </c>
      <c r="P623">
        <v>0.79942692668285398</v>
      </c>
      <c r="Q623">
        <v>176</v>
      </c>
      <c r="R623">
        <v>1.74188440221694</v>
      </c>
      <c r="S623">
        <v>200.23295454545499</v>
      </c>
      <c r="T623">
        <v>35241</v>
      </c>
      <c r="U623">
        <v>1.7304093525127</v>
      </c>
      <c r="V623">
        <v>24</v>
      </c>
      <c r="W623">
        <v>4.7430830039525702</v>
      </c>
    </row>
    <row r="624" spans="1:23" x14ac:dyDescent="0.25">
      <c r="A624" t="s">
        <v>179</v>
      </c>
      <c r="B624">
        <v>11</v>
      </c>
      <c r="C624">
        <v>2025</v>
      </c>
      <c r="D624" t="s">
        <v>148</v>
      </c>
      <c r="E624" t="s">
        <v>148</v>
      </c>
      <c r="F624">
        <v>0</v>
      </c>
      <c r="G624" s="4">
        <v>-2.6648194761946803E-10</v>
      </c>
      <c r="H624">
        <v>20208</v>
      </c>
      <c r="I624">
        <v>0</v>
      </c>
      <c r="J624">
        <v>4073140.26</v>
      </c>
      <c r="K624">
        <v>0</v>
      </c>
      <c r="L624">
        <v>10104</v>
      </c>
      <c r="M624">
        <v>100</v>
      </c>
      <c r="N624">
        <v>201.912910981647</v>
      </c>
      <c r="O624">
        <v>2036570.13</v>
      </c>
      <c r="P624">
        <v>100</v>
      </c>
      <c r="Q624">
        <v>10104</v>
      </c>
      <c r="R624">
        <v>100</v>
      </c>
      <c r="S624">
        <v>199.67306552580499</v>
      </c>
      <c r="T624">
        <v>2036570.13</v>
      </c>
      <c r="U624">
        <v>100</v>
      </c>
      <c r="V624">
        <v>506</v>
      </c>
      <c r="W624">
        <v>100</v>
      </c>
    </row>
    <row r="625" spans="1:23" hidden="1" x14ac:dyDescent="0.25">
      <c r="A625" t="s">
        <v>179</v>
      </c>
      <c r="B625">
        <v>11</v>
      </c>
      <c r="C625">
        <v>2025</v>
      </c>
      <c r="D625" t="s">
        <v>149</v>
      </c>
      <c r="E625" t="s">
        <v>150</v>
      </c>
      <c r="F625">
        <v>174</v>
      </c>
      <c r="G625">
        <v>34852.660000000003</v>
      </c>
      <c r="H625">
        <v>174</v>
      </c>
      <c r="I625">
        <v>0.86104513064133004</v>
      </c>
      <c r="J625">
        <v>34852.660000000003</v>
      </c>
      <c r="K625">
        <v>0.85567050912211895</v>
      </c>
      <c r="L625">
        <v>174</v>
      </c>
      <c r="M625">
        <v>1.7220902612826601</v>
      </c>
      <c r="N625">
        <v>200.30264367816099</v>
      </c>
      <c r="O625">
        <v>34852.660000000003</v>
      </c>
      <c r="P625">
        <v>1.7113410182442399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6</v>
      </c>
      <c r="W625">
        <v>1.1857707509881401</v>
      </c>
    </row>
    <row r="626" spans="1:23" hidden="1" x14ac:dyDescent="0.25">
      <c r="A626" t="s">
        <v>179</v>
      </c>
      <c r="B626">
        <v>11</v>
      </c>
      <c r="C626">
        <v>2025</v>
      </c>
      <c r="D626" t="s">
        <v>153</v>
      </c>
      <c r="E626" t="s">
        <v>154</v>
      </c>
      <c r="F626">
        <v>-12</v>
      </c>
      <c r="G626">
        <v>-2587.27</v>
      </c>
      <c r="H626">
        <v>64</v>
      </c>
      <c r="I626">
        <v>0.31670625494853499</v>
      </c>
      <c r="J626">
        <v>13069.75</v>
      </c>
      <c r="K626">
        <v>0.32087650229849901</v>
      </c>
      <c r="L626">
        <v>26</v>
      </c>
      <c r="M626">
        <v>0.25732383214568499</v>
      </c>
      <c r="N626">
        <v>201.58615384615399</v>
      </c>
      <c r="O626">
        <v>5241.24</v>
      </c>
      <c r="P626">
        <v>0.25735622470314801</v>
      </c>
      <c r="Q626">
        <v>38</v>
      </c>
      <c r="R626">
        <v>0.37608867775138599</v>
      </c>
      <c r="S626">
        <v>206.013421052632</v>
      </c>
      <c r="T626">
        <v>7828.51</v>
      </c>
      <c r="U626">
        <v>0.38439677989385002</v>
      </c>
      <c r="V626">
        <v>4</v>
      </c>
      <c r="W626">
        <v>0.79051383399209496</v>
      </c>
    </row>
    <row r="627" spans="1:23" hidden="1" x14ac:dyDescent="0.25">
      <c r="A627" t="s">
        <v>179</v>
      </c>
      <c r="B627">
        <v>11</v>
      </c>
      <c r="C627">
        <v>2025</v>
      </c>
      <c r="D627" t="s">
        <v>155</v>
      </c>
      <c r="E627" t="s">
        <v>156</v>
      </c>
      <c r="F627">
        <v>387</v>
      </c>
      <c r="G627">
        <v>78580.28</v>
      </c>
      <c r="H627">
        <v>387</v>
      </c>
      <c r="I627">
        <v>1.91508313539192</v>
      </c>
      <c r="J627">
        <v>78580.28</v>
      </c>
      <c r="K627">
        <v>1.9292308878162701</v>
      </c>
      <c r="L627">
        <v>387</v>
      </c>
      <c r="M627">
        <v>3.8301662707838502</v>
      </c>
      <c r="N627">
        <v>203.049819121447</v>
      </c>
      <c r="O627">
        <v>78580.28</v>
      </c>
      <c r="P627">
        <v>3.8584617756325401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4</v>
      </c>
      <c r="W627">
        <v>0.79051383399209496</v>
      </c>
    </row>
    <row r="628" spans="1:23" hidden="1" x14ac:dyDescent="0.25">
      <c r="A628" t="s">
        <v>179</v>
      </c>
      <c r="B628">
        <v>12</v>
      </c>
      <c r="C628">
        <v>2025</v>
      </c>
      <c r="D628" t="s">
        <v>88</v>
      </c>
      <c r="E628" t="s">
        <v>89</v>
      </c>
      <c r="F628">
        <v>472</v>
      </c>
      <c r="G628">
        <v>115637.89</v>
      </c>
      <c r="H628">
        <v>1052</v>
      </c>
      <c r="I628">
        <v>1.7357444561774</v>
      </c>
      <c r="J628">
        <v>253408.79</v>
      </c>
      <c r="K628">
        <v>1.7982360466949501</v>
      </c>
      <c r="L628">
        <v>762</v>
      </c>
      <c r="M628">
        <v>2.5145195353748702</v>
      </c>
      <c r="N628">
        <v>242.15661417322801</v>
      </c>
      <c r="O628">
        <v>184523.34</v>
      </c>
      <c r="P628">
        <v>2.6188240861301399</v>
      </c>
      <c r="Q628">
        <v>290</v>
      </c>
      <c r="R628">
        <v>0.956969376979937</v>
      </c>
      <c r="S628">
        <v>237.53603448275899</v>
      </c>
      <c r="T628">
        <v>68885.45</v>
      </c>
      <c r="U628">
        <v>0.97764800725975098</v>
      </c>
      <c r="V628">
        <v>38</v>
      </c>
      <c r="W628">
        <v>2.4327784891165201</v>
      </c>
    </row>
    <row r="629" spans="1:23" hidden="1" x14ac:dyDescent="0.25">
      <c r="A629" t="s">
        <v>179</v>
      </c>
      <c r="B629">
        <v>12</v>
      </c>
      <c r="C629">
        <v>2025</v>
      </c>
      <c r="D629" t="s">
        <v>90</v>
      </c>
      <c r="E629" t="s">
        <v>91</v>
      </c>
      <c r="F629">
        <v>1563</v>
      </c>
      <c r="G629">
        <v>368068.14</v>
      </c>
      <c r="H629">
        <v>2181</v>
      </c>
      <c r="I629">
        <v>3.5985348468848999</v>
      </c>
      <c r="J629">
        <v>510415.18</v>
      </c>
      <c r="K629">
        <v>3.62200133411429</v>
      </c>
      <c r="L629">
        <v>1872</v>
      </c>
      <c r="M629">
        <v>6.1774023231256603</v>
      </c>
      <c r="N629">
        <v>234.637638888889</v>
      </c>
      <c r="O629">
        <v>439241.66</v>
      </c>
      <c r="P629">
        <v>6.23388151785994</v>
      </c>
      <c r="Q629">
        <v>309</v>
      </c>
      <c r="R629">
        <v>1.0196673706441399</v>
      </c>
      <c r="S629">
        <v>230.33501618123</v>
      </c>
      <c r="T629">
        <v>71173.52</v>
      </c>
      <c r="U629">
        <v>1.01012115036865</v>
      </c>
      <c r="V629">
        <v>132</v>
      </c>
      <c r="W629">
        <v>8.4507042253521103</v>
      </c>
    </row>
    <row r="630" spans="1:23" hidden="1" x14ac:dyDescent="0.25">
      <c r="A630" t="s">
        <v>179</v>
      </c>
      <c r="B630">
        <v>12</v>
      </c>
      <c r="C630">
        <v>2025</v>
      </c>
      <c r="D630" t="s">
        <v>102</v>
      </c>
      <c r="E630" t="s">
        <v>103</v>
      </c>
      <c r="F630">
        <v>2606</v>
      </c>
      <c r="G630">
        <v>539999.32999999996</v>
      </c>
      <c r="H630">
        <v>12388</v>
      </c>
      <c r="I630">
        <v>20.439545934530098</v>
      </c>
      <c r="J630">
        <v>2850349.65</v>
      </c>
      <c r="K630">
        <v>20.2266128428865</v>
      </c>
      <c r="L630">
        <v>7497</v>
      </c>
      <c r="M630">
        <v>24.7393083421331</v>
      </c>
      <c r="N630">
        <v>226.11371081766001</v>
      </c>
      <c r="O630">
        <v>1695174.49</v>
      </c>
      <c r="P630">
        <v>24.058548824259201</v>
      </c>
      <c r="Q630">
        <v>4891</v>
      </c>
      <c r="R630">
        <v>16.139783526927101</v>
      </c>
      <c r="S630">
        <v>236.18383970558199</v>
      </c>
      <c r="T630">
        <v>1155175.1599999999</v>
      </c>
      <c r="U630">
        <v>16.394676861513801</v>
      </c>
      <c r="V630">
        <v>294</v>
      </c>
      <c r="W630">
        <v>18.8220230473752</v>
      </c>
    </row>
    <row r="631" spans="1:23" hidden="1" x14ac:dyDescent="0.25">
      <c r="A631" t="s">
        <v>179</v>
      </c>
      <c r="B631">
        <v>12</v>
      </c>
      <c r="C631">
        <v>2025</v>
      </c>
      <c r="D631" t="s">
        <v>104</v>
      </c>
      <c r="E631" t="s">
        <v>105</v>
      </c>
      <c r="F631">
        <v>836</v>
      </c>
      <c r="G631">
        <v>205390.37</v>
      </c>
      <c r="H631">
        <v>2234</v>
      </c>
      <c r="I631">
        <v>3.6859820485744499</v>
      </c>
      <c r="J631">
        <v>529778.71</v>
      </c>
      <c r="K631">
        <v>3.7594085552184202</v>
      </c>
      <c r="L631">
        <v>1535</v>
      </c>
      <c r="M631">
        <v>5.0653379091869102</v>
      </c>
      <c r="N631">
        <v>239.468755700326</v>
      </c>
      <c r="O631">
        <v>367584.54</v>
      </c>
      <c r="P631">
        <v>5.2168969358622501</v>
      </c>
      <c r="Q631">
        <v>699</v>
      </c>
      <c r="R631">
        <v>2.30662618796199</v>
      </c>
      <c r="S631">
        <v>232.037439198855</v>
      </c>
      <c r="T631">
        <v>162194.17000000001</v>
      </c>
      <c r="U631">
        <v>2.3019201745745899</v>
      </c>
      <c r="V631">
        <v>121</v>
      </c>
      <c r="W631">
        <v>7.7464788732394396</v>
      </c>
    </row>
    <row r="632" spans="1:23" hidden="1" x14ac:dyDescent="0.25">
      <c r="A632" t="s">
        <v>179</v>
      </c>
      <c r="B632">
        <v>12</v>
      </c>
      <c r="C632">
        <v>2025</v>
      </c>
      <c r="D632" t="s">
        <v>106</v>
      </c>
      <c r="E632" t="s">
        <v>107</v>
      </c>
      <c r="F632">
        <v>-534</v>
      </c>
      <c r="G632">
        <v>-174794.96</v>
      </c>
      <c r="H632">
        <v>2184</v>
      </c>
      <c r="I632">
        <v>3.6034846884899698</v>
      </c>
      <c r="J632">
        <v>542230.12</v>
      </c>
      <c r="K632">
        <v>3.84776608336169</v>
      </c>
      <c r="L632">
        <v>825</v>
      </c>
      <c r="M632">
        <v>2.7224128827877498</v>
      </c>
      <c r="N632">
        <v>222.687975757576</v>
      </c>
      <c r="O632">
        <v>183717.58</v>
      </c>
      <c r="P632">
        <v>2.6073884395846099</v>
      </c>
      <c r="Q632">
        <v>1359</v>
      </c>
      <c r="R632">
        <v>4.4845564941921898</v>
      </c>
      <c r="S632">
        <v>263.80613686534201</v>
      </c>
      <c r="T632">
        <v>358512.54</v>
      </c>
      <c r="U632">
        <v>5.0881437271387702</v>
      </c>
      <c r="V632">
        <v>32</v>
      </c>
      <c r="W632">
        <v>2.0486555697823299</v>
      </c>
    </row>
    <row r="633" spans="1:23" hidden="1" x14ac:dyDescent="0.25">
      <c r="A633" t="s">
        <v>179</v>
      </c>
      <c r="B633">
        <v>12</v>
      </c>
      <c r="C633">
        <v>2025</v>
      </c>
      <c r="D633" t="s">
        <v>108</v>
      </c>
      <c r="E633" t="s">
        <v>109</v>
      </c>
      <c r="F633">
        <v>150</v>
      </c>
      <c r="G633">
        <v>38760</v>
      </c>
      <c r="H633">
        <v>150</v>
      </c>
      <c r="I633">
        <v>0.247492080253432</v>
      </c>
      <c r="J633">
        <v>38760</v>
      </c>
      <c r="K633">
        <v>0.27504819059313701</v>
      </c>
      <c r="L633">
        <v>150</v>
      </c>
      <c r="M633">
        <v>0.494984160506864</v>
      </c>
      <c r="N633">
        <v>258.39999999999998</v>
      </c>
      <c r="O633">
        <v>38760</v>
      </c>
      <c r="P633">
        <v>0.55009638118627302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2</v>
      </c>
      <c r="W633">
        <v>0.12804097311139601</v>
      </c>
    </row>
    <row r="634" spans="1:23" hidden="1" x14ac:dyDescent="0.25">
      <c r="A634" t="s">
        <v>179</v>
      </c>
      <c r="B634">
        <v>12</v>
      </c>
      <c r="C634">
        <v>2025</v>
      </c>
      <c r="D634" t="s">
        <v>110</v>
      </c>
      <c r="E634" t="s">
        <v>111</v>
      </c>
      <c r="F634">
        <v>142</v>
      </c>
      <c r="G634">
        <v>30962.1</v>
      </c>
      <c r="H634">
        <v>1224</v>
      </c>
      <c r="I634">
        <v>2.0195353748680001</v>
      </c>
      <c r="J634">
        <v>280947.68</v>
      </c>
      <c r="K634">
        <v>1.9936571474545799</v>
      </c>
      <c r="L634">
        <v>683</v>
      </c>
      <c r="M634">
        <v>2.2538278775079199</v>
      </c>
      <c r="N634">
        <v>228.338052708638</v>
      </c>
      <c r="O634">
        <v>155954.89000000001</v>
      </c>
      <c r="P634">
        <v>2.21336998496654</v>
      </c>
      <c r="Q634">
        <v>541</v>
      </c>
      <c r="R634">
        <v>1.78524287222809</v>
      </c>
      <c r="S634">
        <v>231.040277264325</v>
      </c>
      <c r="T634">
        <v>124992.79</v>
      </c>
      <c r="U634">
        <v>1.77394430994262</v>
      </c>
      <c r="V634">
        <v>29</v>
      </c>
      <c r="W634">
        <v>1.8565941101152399</v>
      </c>
    </row>
    <row r="635" spans="1:23" hidden="1" x14ac:dyDescent="0.25">
      <c r="A635" t="s">
        <v>179</v>
      </c>
      <c r="B635">
        <v>12</v>
      </c>
      <c r="C635">
        <v>2025</v>
      </c>
      <c r="D635" t="s">
        <v>118</v>
      </c>
      <c r="E635" t="s">
        <v>119</v>
      </c>
      <c r="F635">
        <v>49</v>
      </c>
      <c r="G635">
        <v>1197.3999999999901</v>
      </c>
      <c r="H635">
        <v>1249</v>
      </c>
      <c r="I635">
        <v>2.0607840549102399</v>
      </c>
      <c r="J635">
        <v>301603.8</v>
      </c>
      <c r="K635">
        <v>2.1402368283285398</v>
      </c>
      <c r="L635">
        <v>649</v>
      </c>
      <c r="M635">
        <v>2.1416314677930299</v>
      </c>
      <c r="N635">
        <v>233.282896764253</v>
      </c>
      <c r="O635">
        <v>151400.6</v>
      </c>
      <c r="P635">
        <v>2.1487338021008902</v>
      </c>
      <c r="Q635">
        <v>600</v>
      </c>
      <c r="R635">
        <v>1.97993664202746</v>
      </c>
      <c r="S635">
        <v>250.338666666667</v>
      </c>
      <c r="T635">
        <v>150203.20000000001</v>
      </c>
      <c r="U635">
        <v>2.1317398545561899</v>
      </c>
      <c r="V635">
        <v>12</v>
      </c>
      <c r="W635">
        <v>0.76824583866837404</v>
      </c>
    </row>
    <row r="636" spans="1:23" hidden="1" x14ac:dyDescent="0.25">
      <c r="A636" t="s">
        <v>179</v>
      </c>
      <c r="B636">
        <v>12</v>
      </c>
      <c r="C636">
        <v>2025</v>
      </c>
      <c r="D636" t="s">
        <v>122</v>
      </c>
      <c r="E636" t="s">
        <v>123</v>
      </c>
      <c r="F636">
        <v>-7827</v>
      </c>
      <c r="G636">
        <v>-1688628.17</v>
      </c>
      <c r="H636">
        <v>27325</v>
      </c>
      <c r="I636">
        <v>45.0848072861668</v>
      </c>
      <c r="J636">
        <v>6342596.8700000001</v>
      </c>
      <c r="K636">
        <v>45.008250587079203</v>
      </c>
      <c r="L636">
        <v>9749</v>
      </c>
      <c r="M636">
        <v>32.170670538542801</v>
      </c>
      <c r="N636">
        <v>238.689542517181</v>
      </c>
      <c r="O636">
        <v>2326984.35</v>
      </c>
      <c r="P636">
        <v>33.025430082871303</v>
      </c>
      <c r="Q636">
        <v>17576</v>
      </c>
      <c r="R636">
        <v>57.998944033790899</v>
      </c>
      <c r="S636">
        <v>228.47135411925399</v>
      </c>
      <c r="T636">
        <v>4015612.52</v>
      </c>
      <c r="U636">
        <v>56.991071091287097</v>
      </c>
      <c r="V636">
        <v>618</v>
      </c>
      <c r="W636">
        <v>39.564660691421302</v>
      </c>
    </row>
    <row r="637" spans="1:23" hidden="1" x14ac:dyDescent="0.25">
      <c r="A637" t="s">
        <v>179</v>
      </c>
      <c r="B637">
        <v>12</v>
      </c>
      <c r="C637">
        <v>2025</v>
      </c>
      <c r="D637" t="s">
        <v>126</v>
      </c>
      <c r="E637" t="s">
        <v>127</v>
      </c>
      <c r="F637">
        <v>84</v>
      </c>
      <c r="G637">
        <v>16729.009999999998</v>
      </c>
      <c r="H637">
        <v>256</v>
      </c>
      <c r="I637">
        <v>0.42238648363252401</v>
      </c>
      <c r="J637">
        <v>60318.39</v>
      </c>
      <c r="K637">
        <v>0.42803054770359</v>
      </c>
      <c r="L637">
        <v>170</v>
      </c>
      <c r="M637">
        <v>0.560982048574446</v>
      </c>
      <c r="N637">
        <v>226.61</v>
      </c>
      <c r="O637">
        <v>38523.699999999997</v>
      </c>
      <c r="P637">
        <v>0.54674272342377805</v>
      </c>
      <c r="Q637">
        <v>86</v>
      </c>
      <c r="R637">
        <v>0.28379091869060202</v>
      </c>
      <c r="S637">
        <v>253.42662790697699</v>
      </c>
      <c r="T637">
        <v>21794.69</v>
      </c>
      <c r="U637">
        <v>0.30931837198340201</v>
      </c>
      <c r="V637">
        <v>17</v>
      </c>
      <c r="W637">
        <v>1.08834827144686</v>
      </c>
    </row>
    <row r="638" spans="1:23" hidden="1" x14ac:dyDescent="0.25">
      <c r="A638" t="s">
        <v>179</v>
      </c>
      <c r="B638">
        <v>12</v>
      </c>
      <c r="C638">
        <v>2025</v>
      </c>
      <c r="D638" t="s">
        <v>130</v>
      </c>
      <c r="E638" t="s">
        <v>131</v>
      </c>
      <c r="F638">
        <v>546</v>
      </c>
      <c r="G638">
        <v>124626.63</v>
      </c>
      <c r="H638">
        <v>1646</v>
      </c>
      <c r="I638">
        <v>2.7158130939809899</v>
      </c>
      <c r="J638">
        <v>380091.37</v>
      </c>
      <c r="K638">
        <v>2.6971992667328801</v>
      </c>
      <c r="L638">
        <v>1096</v>
      </c>
      <c r="M638">
        <v>3.6166842661034799</v>
      </c>
      <c r="N638">
        <v>230.254562043796</v>
      </c>
      <c r="O638">
        <v>252359</v>
      </c>
      <c r="P638">
        <v>3.5815730820378402</v>
      </c>
      <c r="Q638">
        <v>550</v>
      </c>
      <c r="R638">
        <v>1.8149419218584999</v>
      </c>
      <c r="S638">
        <v>232.24067272727299</v>
      </c>
      <c r="T638">
        <v>127732.37</v>
      </c>
      <c r="U638">
        <v>1.8128254514279201</v>
      </c>
      <c r="V638">
        <v>50</v>
      </c>
      <c r="W638">
        <v>3.2010243277848902</v>
      </c>
    </row>
    <row r="639" spans="1:23" hidden="1" x14ac:dyDescent="0.25">
      <c r="A639" t="s">
        <v>179</v>
      </c>
      <c r="B639">
        <v>12</v>
      </c>
      <c r="C639">
        <v>2025</v>
      </c>
      <c r="D639" t="s">
        <v>132</v>
      </c>
      <c r="E639" t="s">
        <v>133</v>
      </c>
      <c r="F639">
        <v>482</v>
      </c>
      <c r="G639">
        <v>100941.16</v>
      </c>
      <c r="H639">
        <v>916</v>
      </c>
      <c r="I639">
        <v>1.5113516367476201</v>
      </c>
      <c r="J639">
        <v>203274.66</v>
      </c>
      <c r="K639">
        <v>1.4424749078027601</v>
      </c>
      <c r="L639">
        <v>699</v>
      </c>
      <c r="M639">
        <v>2.30662618796199</v>
      </c>
      <c r="N639">
        <v>217.60788268955599</v>
      </c>
      <c r="O639">
        <v>152107.91</v>
      </c>
      <c r="P639">
        <v>2.15877220951515</v>
      </c>
      <c r="Q639">
        <v>217</v>
      </c>
      <c r="R639">
        <v>0.71607708553326299</v>
      </c>
      <c r="S639">
        <v>235.79147465437799</v>
      </c>
      <c r="T639">
        <v>51166.75</v>
      </c>
      <c r="U639">
        <v>0.72617760609036996</v>
      </c>
      <c r="V639">
        <v>21</v>
      </c>
      <c r="W639">
        <v>1.3444302176696501</v>
      </c>
    </row>
    <row r="640" spans="1:23" hidden="1" x14ac:dyDescent="0.25">
      <c r="A640" t="s">
        <v>179</v>
      </c>
      <c r="B640">
        <v>12</v>
      </c>
      <c r="C640">
        <v>2025</v>
      </c>
      <c r="D640" t="s">
        <v>134</v>
      </c>
      <c r="E640" t="s">
        <v>135</v>
      </c>
      <c r="F640">
        <v>405</v>
      </c>
      <c r="G640">
        <v>92001</v>
      </c>
      <c r="H640">
        <v>1305</v>
      </c>
      <c r="I640">
        <v>2.1531810982048598</v>
      </c>
      <c r="J640">
        <v>298492</v>
      </c>
      <c r="K640">
        <v>2.1181549150290602</v>
      </c>
      <c r="L640">
        <v>855</v>
      </c>
      <c r="M640">
        <v>2.82140971488912</v>
      </c>
      <c r="N640">
        <v>228.35847953216401</v>
      </c>
      <c r="O640">
        <v>195246.5</v>
      </c>
      <c r="P640">
        <v>2.77101117361418</v>
      </c>
      <c r="Q640">
        <v>450</v>
      </c>
      <c r="R640">
        <v>1.4849524815205899</v>
      </c>
      <c r="S640">
        <v>229.43444444444401</v>
      </c>
      <c r="T640">
        <v>103245.5</v>
      </c>
      <c r="U640">
        <v>1.4652986564439501</v>
      </c>
      <c r="V640">
        <v>10</v>
      </c>
      <c r="W640">
        <v>0.64020486555697798</v>
      </c>
    </row>
    <row r="641" spans="1:23" hidden="1" x14ac:dyDescent="0.25">
      <c r="A641" t="s">
        <v>179</v>
      </c>
      <c r="B641">
        <v>12</v>
      </c>
      <c r="C641">
        <v>2025</v>
      </c>
      <c r="D641" t="s">
        <v>136</v>
      </c>
      <c r="E641" t="s">
        <v>137</v>
      </c>
      <c r="F641">
        <v>-57</v>
      </c>
      <c r="G641">
        <v>-14915.19</v>
      </c>
      <c r="H641">
        <v>57</v>
      </c>
      <c r="I641">
        <v>9.4046990496304106E-2</v>
      </c>
      <c r="J641">
        <v>14915.19</v>
      </c>
      <c r="K641">
        <v>0.10584097063603801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57</v>
      </c>
      <c r="R641">
        <v>0.18809398099260799</v>
      </c>
      <c r="S641">
        <v>261.67</v>
      </c>
      <c r="T641">
        <v>14915.19</v>
      </c>
      <c r="U641">
        <v>0.21168194127207601</v>
      </c>
      <c r="V641">
        <v>2</v>
      </c>
      <c r="W641">
        <v>0.12804097311139601</v>
      </c>
    </row>
    <row r="642" spans="1:23" hidden="1" x14ac:dyDescent="0.25">
      <c r="A642" t="s">
        <v>179</v>
      </c>
      <c r="B642">
        <v>12</v>
      </c>
      <c r="C642">
        <v>2025</v>
      </c>
      <c r="D642" t="s">
        <v>138</v>
      </c>
      <c r="E642" t="s">
        <v>139</v>
      </c>
      <c r="F642">
        <v>-49</v>
      </c>
      <c r="G642">
        <v>-11515</v>
      </c>
      <c r="H642">
        <v>49</v>
      </c>
      <c r="I642">
        <v>8.0847412882787795E-2</v>
      </c>
      <c r="J642">
        <v>11515</v>
      </c>
      <c r="K642">
        <v>8.17125880980384E-2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49</v>
      </c>
      <c r="R642">
        <v>0.16169482576557601</v>
      </c>
      <c r="S642">
        <v>235</v>
      </c>
      <c r="T642">
        <v>11515</v>
      </c>
      <c r="U642">
        <v>0.16342517619607699</v>
      </c>
      <c r="V642">
        <v>1</v>
      </c>
      <c r="W642">
        <v>6.4020486555697795E-2</v>
      </c>
    </row>
    <row r="643" spans="1:23" hidden="1" x14ac:dyDescent="0.25">
      <c r="A643" t="s">
        <v>179</v>
      </c>
      <c r="B643">
        <v>12</v>
      </c>
      <c r="C643">
        <v>2025</v>
      </c>
      <c r="D643" t="s">
        <v>142</v>
      </c>
      <c r="E643" t="s">
        <v>143</v>
      </c>
      <c r="F643">
        <v>1123</v>
      </c>
      <c r="G643">
        <v>252979.17</v>
      </c>
      <c r="H643">
        <v>3671</v>
      </c>
      <c r="I643">
        <v>6.05695617740232</v>
      </c>
      <c r="J643">
        <v>843038.45</v>
      </c>
      <c r="K643">
        <v>5.98235810817705</v>
      </c>
      <c r="L643">
        <v>2397</v>
      </c>
      <c r="M643">
        <v>7.9098468848996797</v>
      </c>
      <c r="N643">
        <v>228.622782644973</v>
      </c>
      <c r="O643">
        <v>548008.81000000006</v>
      </c>
      <c r="P643">
        <v>7.7775454912073201</v>
      </c>
      <c r="Q643">
        <v>1274</v>
      </c>
      <c r="R643">
        <v>4.2040654699049602</v>
      </c>
      <c r="S643">
        <v>231.57742543171099</v>
      </c>
      <c r="T643">
        <v>295029.64</v>
      </c>
      <c r="U643">
        <v>4.1871707251467702</v>
      </c>
      <c r="V643">
        <v>117</v>
      </c>
      <c r="W643">
        <v>7.4903969270166497</v>
      </c>
    </row>
    <row r="644" spans="1:23" hidden="1" x14ac:dyDescent="0.25">
      <c r="A644" t="s">
        <v>179</v>
      </c>
      <c r="B644">
        <v>12</v>
      </c>
      <c r="C644">
        <v>2025</v>
      </c>
      <c r="D644" t="s">
        <v>146</v>
      </c>
      <c r="E644" t="s">
        <v>147</v>
      </c>
      <c r="F644">
        <v>78</v>
      </c>
      <c r="G644">
        <v>19156.099999999999</v>
      </c>
      <c r="H644">
        <v>572</v>
      </c>
      <c r="I644">
        <v>0.94376979936642003</v>
      </c>
      <c r="J644">
        <v>132157.24</v>
      </c>
      <c r="K644">
        <v>0.93781242868376902</v>
      </c>
      <c r="L644">
        <v>325</v>
      </c>
      <c r="M644">
        <v>1.0724656810982001</v>
      </c>
      <c r="N644">
        <v>232.78975384615401</v>
      </c>
      <c r="O644">
        <v>75656.67</v>
      </c>
      <c r="P644">
        <v>1.07374768781228</v>
      </c>
      <c r="Q644">
        <v>247</v>
      </c>
      <c r="R644">
        <v>0.81507391763463599</v>
      </c>
      <c r="S644">
        <v>228.74724696356299</v>
      </c>
      <c r="T644">
        <v>56500.57</v>
      </c>
      <c r="U644">
        <v>0.80187716955525501</v>
      </c>
      <c r="V644">
        <v>20</v>
      </c>
      <c r="W644">
        <v>1.2804097311139599</v>
      </c>
    </row>
    <row r="645" spans="1:23" x14ac:dyDescent="0.25">
      <c r="A645" t="s">
        <v>179</v>
      </c>
      <c r="B645">
        <v>12</v>
      </c>
      <c r="C645">
        <v>2025</v>
      </c>
      <c r="D645" t="s">
        <v>148</v>
      </c>
      <c r="E645" t="s">
        <v>148</v>
      </c>
      <c r="F645">
        <v>0</v>
      </c>
      <c r="G645" s="4">
        <v>-3.0922819860279599E-11</v>
      </c>
      <c r="H645">
        <v>60608</v>
      </c>
      <c r="I645">
        <v>0</v>
      </c>
      <c r="J645">
        <v>14092075.98</v>
      </c>
      <c r="K645">
        <v>0</v>
      </c>
      <c r="L645">
        <v>30304</v>
      </c>
      <c r="M645">
        <v>100</v>
      </c>
      <c r="N645">
        <v>230.42957864094501</v>
      </c>
      <c r="O645">
        <v>7046037.9900000002</v>
      </c>
      <c r="P645">
        <v>100</v>
      </c>
      <c r="Q645">
        <v>30304</v>
      </c>
      <c r="R645">
        <v>100</v>
      </c>
      <c r="S645">
        <v>232.15560497815099</v>
      </c>
      <c r="T645">
        <v>7046037.9900000002</v>
      </c>
      <c r="U645">
        <v>100</v>
      </c>
      <c r="V645">
        <v>1562</v>
      </c>
      <c r="W645">
        <v>100</v>
      </c>
    </row>
    <row r="646" spans="1:23" hidden="1" x14ac:dyDescent="0.25">
      <c r="A646" t="s">
        <v>179</v>
      </c>
      <c r="B646">
        <v>12</v>
      </c>
      <c r="C646">
        <v>2025</v>
      </c>
      <c r="D646" t="s">
        <v>149</v>
      </c>
      <c r="E646" t="s">
        <v>150</v>
      </c>
      <c r="F646">
        <v>-221</v>
      </c>
      <c r="G646">
        <v>-52518.98</v>
      </c>
      <c r="H646">
        <v>1901</v>
      </c>
      <c r="I646">
        <v>3.1365496304118299</v>
      </c>
      <c r="J646">
        <v>439934.7</v>
      </c>
      <c r="K646">
        <v>3.1218587000550699</v>
      </c>
      <c r="L646">
        <v>840</v>
      </c>
      <c r="M646">
        <v>2.77191129883844</v>
      </c>
      <c r="N646">
        <v>230.60459523809499</v>
      </c>
      <c r="O646">
        <v>193707.86</v>
      </c>
      <c r="P646">
        <v>2.7491742206743299</v>
      </c>
      <c r="Q646">
        <v>1061</v>
      </c>
      <c r="R646">
        <v>3.5011879619852202</v>
      </c>
      <c r="S646">
        <v>232.07053722902899</v>
      </c>
      <c r="T646">
        <v>246226.84</v>
      </c>
      <c r="U646">
        <v>3.4945431794358002</v>
      </c>
      <c r="V646">
        <v>20</v>
      </c>
      <c r="W646">
        <v>1.2804097311139599</v>
      </c>
    </row>
    <row r="647" spans="1:23" hidden="1" x14ac:dyDescent="0.25">
      <c r="A647" t="s">
        <v>179</v>
      </c>
      <c r="B647">
        <v>12</v>
      </c>
      <c r="C647">
        <v>2025</v>
      </c>
      <c r="D647" t="s">
        <v>153</v>
      </c>
      <c r="E647" t="s">
        <v>154</v>
      </c>
      <c r="F647">
        <v>98</v>
      </c>
      <c r="G647">
        <v>22592.13</v>
      </c>
      <c r="H647">
        <v>136</v>
      </c>
      <c r="I647">
        <v>0.22439281942977801</v>
      </c>
      <c r="J647">
        <v>31908.05</v>
      </c>
      <c r="K647">
        <v>0.22642547517686601</v>
      </c>
      <c r="L647">
        <v>117</v>
      </c>
      <c r="M647">
        <v>0.38608764519535399</v>
      </c>
      <c r="N647">
        <v>232.906752136752</v>
      </c>
      <c r="O647">
        <v>27250.09</v>
      </c>
      <c r="P647">
        <v>0.38674344416925299</v>
      </c>
      <c r="Q647">
        <v>19</v>
      </c>
      <c r="R647">
        <v>6.26979936642027E-2</v>
      </c>
      <c r="S647">
        <v>245.155789473684</v>
      </c>
      <c r="T647">
        <v>4657.96</v>
      </c>
      <c r="U647">
        <v>6.6107506184479206E-2</v>
      </c>
      <c r="V647">
        <v>18</v>
      </c>
      <c r="W647">
        <v>1.1523687580025599</v>
      </c>
    </row>
    <row r="648" spans="1:23" hidden="1" x14ac:dyDescent="0.25">
      <c r="A648" t="s">
        <v>179</v>
      </c>
      <c r="B648">
        <v>12</v>
      </c>
      <c r="C648">
        <v>2025</v>
      </c>
      <c r="D648" t="s">
        <v>155</v>
      </c>
      <c r="E648" t="s">
        <v>156</v>
      </c>
      <c r="F648">
        <v>54</v>
      </c>
      <c r="G648">
        <v>13331.87</v>
      </c>
      <c r="H648">
        <v>112</v>
      </c>
      <c r="I648">
        <v>0.184794086589229</v>
      </c>
      <c r="J648">
        <v>26340.13</v>
      </c>
      <c r="K648">
        <v>0.18691447617358101</v>
      </c>
      <c r="L648">
        <v>83</v>
      </c>
      <c r="M648">
        <v>0.27389123548046501</v>
      </c>
      <c r="N648">
        <v>238.987951807229</v>
      </c>
      <c r="O648">
        <v>19836</v>
      </c>
      <c r="P648">
        <v>0.28151991272473997</v>
      </c>
      <c r="Q648">
        <v>29</v>
      </c>
      <c r="R648">
        <v>9.56969376979937E-2</v>
      </c>
      <c r="S648">
        <v>224.28034482758599</v>
      </c>
      <c r="T648">
        <v>6504.13</v>
      </c>
      <c r="U648">
        <v>9.2309039622421901E-2</v>
      </c>
      <c r="V648">
        <v>8</v>
      </c>
      <c r="W648">
        <v>0.51216389244558302</v>
      </c>
    </row>
    <row r="649" spans="1:23" hidden="1" x14ac:dyDescent="0.25">
      <c r="A649" t="s">
        <v>179</v>
      </c>
      <c r="B649">
        <v>1</v>
      </c>
      <c r="C649">
        <v>2026</v>
      </c>
      <c r="D649" t="s">
        <v>88</v>
      </c>
      <c r="E649" t="s">
        <v>89</v>
      </c>
      <c r="F649">
        <v>388</v>
      </c>
      <c r="G649">
        <v>96199.11</v>
      </c>
      <c r="H649">
        <v>830</v>
      </c>
      <c r="I649">
        <v>1.65220160840831</v>
      </c>
      <c r="J649">
        <v>199722.47</v>
      </c>
      <c r="K649">
        <v>1.6170934601128399</v>
      </c>
      <c r="L649">
        <v>609</v>
      </c>
      <c r="M649">
        <v>2.4245560952305101</v>
      </c>
      <c r="N649">
        <v>242.95696223316901</v>
      </c>
      <c r="O649">
        <v>147960.79</v>
      </c>
      <c r="P649">
        <v>2.3959890528304602</v>
      </c>
      <c r="Q649">
        <v>221</v>
      </c>
      <c r="R649">
        <v>0.879847121586113</v>
      </c>
      <c r="S649">
        <v>234.21574660633499</v>
      </c>
      <c r="T649">
        <v>51761.68</v>
      </c>
      <c r="U649">
        <v>0.83819786739522795</v>
      </c>
      <c r="V649">
        <v>21</v>
      </c>
      <c r="W649">
        <v>1.35135135135135</v>
      </c>
    </row>
    <row r="650" spans="1:23" hidden="1" x14ac:dyDescent="0.25">
      <c r="A650" t="s">
        <v>179</v>
      </c>
      <c r="B650">
        <v>1</v>
      </c>
      <c r="C650">
        <v>2026</v>
      </c>
      <c r="D650" t="s">
        <v>90</v>
      </c>
      <c r="E650" t="s">
        <v>91</v>
      </c>
      <c r="F650">
        <v>976</v>
      </c>
      <c r="G650">
        <v>234761.43</v>
      </c>
      <c r="H650">
        <v>2374</v>
      </c>
      <c r="I650">
        <v>4.7256947209172697</v>
      </c>
      <c r="J650">
        <v>582352.53</v>
      </c>
      <c r="K650">
        <v>4.7151352962096302</v>
      </c>
      <c r="L650">
        <v>1675</v>
      </c>
      <c r="M650">
        <v>6.66852456405765</v>
      </c>
      <c r="N650">
        <v>243.914614925373</v>
      </c>
      <c r="O650">
        <v>408556.98</v>
      </c>
      <c r="P650">
        <v>6.6159287980110904</v>
      </c>
      <c r="Q650">
        <v>699</v>
      </c>
      <c r="R650">
        <v>2.7828648777768898</v>
      </c>
      <c r="S650">
        <v>248.634549356223</v>
      </c>
      <c r="T650">
        <v>173795.55</v>
      </c>
      <c r="U650">
        <v>2.8143417944081599</v>
      </c>
      <c r="V650">
        <v>156</v>
      </c>
      <c r="W650">
        <v>10.038610038610001</v>
      </c>
    </row>
    <row r="651" spans="1:23" hidden="1" x14ac:dyDescent="0.25">
      <c r="A651" t="s">
        <v>179</v>
      </c>
      <c r="B651">
        <v>1</v>
      </c>
      <c r="C651">
        <v>2026</v>
      </c>
      <c r="D651" t="s">
        <v>102</v>
      </c>
      <c r="E651" t="s">
        <v>103</v>
      </c>
      <c r="F651">
        <v>397</v>
      </c>
      <c r="G651">
        <v>134911.62</v>
      </c>
      <c r="H651">
        <v>7233</v>
      </c>
      <c r="I651">
        <v>14.3980412453221</v>
      </c>
      <c r="J651">
        <v>1765168.96</v>
      </c>
      <c r="K651">
        <v>14.292048266828401</v>
      </c>
      <c r="L651">
        <v>3815</v>
      </c>
      <c r="M651">
        <v>15.1883111712716</v>
      </c>
      <c r="N651">
        <v>249.027598951507</v>
      </c>
      <c r="O651">
        <v>950040.29</v>
      </c>
      <c r="P651">
        <v>15.384387543401701</v>
      </c>
      <c r="Q651">
        <v>3418</v>
      </c>
      <c r="R651">
        <v>13.607771319372601</v>
      </c>
      <c r="S651">
        <v>238.48117905207701</v>
      </c>
      <c r="T651">
        <v>815128.67</v>
      </c>
      <c r="U651">
        <v>13.1997089902551</v>
      </c>
      <c r="V651">
        <v>292</v>
      </c>
      <c r="W651">
        <v>18.790218790218798</v>
      </c>
    </row>
    <row r="652" spans="1:23" hidden="1" x14ac:dyDescent="0.25">
      <c r="A652" t="s">
        <v>179</v>
      </c>
      <c r="B652">
        <v>1</v>
      </c>
      <c r="C652">
        <v>2026</v>
      </c>
      <c r="D652" t="s">
        <v>104</v>
      </c>
      <c r="E652" t="s">
        <v>105</v>
      </c>
      <c r="F652">
        <v>-362</v>
      </c>
      <c r="G652">
        <v>-84489.97</v>
      </c>
      <c r="H652">
        <v>3410</v>
      </c>
      <c r="I652">
        <v>6.78796082490644</v>
      </c>
      <c r="J652">
        <v>837961.05</v>
      </c>
      <c r="K652">
        <v>6.78472148769385</v>
      </c>
      <c r="L652">
        <v>1524</v>
      </c>
      <c r="M652">
        <v>6.0673620511187201</v>
      </c>
      <c r="N652">
        <v>247.20179790026199</v>
      </c>
      <c r="O652">
        <v>376735.54</v>
      </c>
      <c r="P652">
        <v>6.1006313203124298</v>
      </c>
      <c r="Q652">
        <v>1886</v>
      </c>
      <c r="R652">
        <v>7.50855959869416</v>
      </c>
      <c r="S652">
        <v>244.55223223754001</v>
      </c>
      <c r="T652">
        <v>461225.51</v>
      </c>
      <c r="U652">
        <v>7.4688116550752701</v>
      </c>
      <c r="V652">
        <v>183</v>
      </c>
      <c r="W652">
        <v>11.7760617760618</v>
      </c>
    </row>
    <row r="653" spans="1:23" hidden="1" x14ac:dyDescent="0.25">
      <c r="A653" t="s">
        <v>179</v>
      </c>
      <c r="B653">
        <v>1</v>
      </c>
      <c r="C653">
        <v>2026</v>
      </c>
      <c r="D653" t="s">
        <v>106</v>
      </c>
      <c r="E653" t="s">
        <v>107</v>
      </c>
      <c r="F653">
        <v>-19</v>
      </c>
      <c r="G653">
        <v>-7392.9299999999903</v>
      </c>
      <c r="H653">
        <v>999</v>
      </c>
      <c r="I653">
        <v>1.98861374313242</v>
      </c>
      <c r="J653">
        <v>244867.35</v>
      </c>
      <c r="K653">
        <v>1.9826181314509199</v>
      </c>
      <c r="L653">
        <v>490</v>
      </c>
      <c r="M653">
        <v>1.9507922605303001</v>
      </c>
      <c r="N653">
        <v>242.32083673469401</v>
      </c>
      <c r="O653">
        <v>118737.21</v>
      </c>
      <c r="P653">
        <v>1.92275977523255</v>
      </c>
      <c r="Q653">
        <v>509</v>
      </c>
      <c r="R653">
        <v>2.0264352257345299</v>
      </c>
      <c r="S653">
        <v>247.799882121807</v>
      </c>
      <c r="T653">
        <v>126130.14</v>
      </c>
      <c r="U653">
        <v>2.04247648766929</v>
      </c>
      <c r="V653">
        <v>27</v>
      </c>
      <c r="W653">
        <v>1.73745173745174</v>
      </c>
    </row>
    <row r="654" spans="1:23" hidden="1" x14ac:dyDescent="0.25">
      <c r="A654" t="s">
        <v>179</v>
      </c>
      <c r="B654">
        <v>1</v>
      </c>
      <c r="C654">
        <v>2026</v>
      </c>
      <c r="D654" t="s">
        <v>110</v>
      </c>
      <c r="E654" t="s">
        <v>111</v>
      </c>
      <c r="F654">
        <v>-10</v>
      </c>
      <c r="G654">
        <v>-11251.38</v>
      </c>
      <c r="H654">
        <v>1474</v>
      </c>
      <c r="I654">
        <v>2.93415080818537</v>
      </c>
      <c r="J654">
        <v>357605.6</v>
      </c>
      <c r="K654">
        <v>2.89542622349768</v>
      </c>
      <c r="L654">
        <v>732</v>
      </c>
      <c r="M654">
        <v>2.91424476471057</v>
      </c>
      <c r="N654">
        <v>236.58075136612001</v>
      </c>
      <c r="O654">
        <v>173177.11</v>
      </c>
      <c r="P654">
        <v>2.8043271447848799</v>
      </c>
      <c r="Q654">
        <v>742</v>
      </c>
      <c r="R654">
        <v>2.9540568516601602</v>
      </c>
      <c r="S654">
        <v>248.55591644204799</v>
      </c>
      <c r="T654">
        <v>184428.49</v>
      </c>
      <c r="U654">
        <v>2.9865253022104801</v>
      </c>
      <c r="V654">
        <v>23</v>
      </c>
      <c r="W654">
        <v>1.4800514800514799</v>
      </c>
    </row>
    <row r="655" spans="1:23" hidden="1" x14ac:dyDescent="0.25">
      <c r="A655" t="s">
        <v>179</v>
      </c>
      <c r="B655">
        <v>1</v>
      </c>
      <c r="C655">
        <v>2026</v>
      </c>
      <c r="D655" t="s">
        <v>118</v>
      </c>
      <c r="E655" t="s">
        <v>119</v>
      </c>
      <c r="F655">
        <v>-40</v>
      </c>
      <c r="G655">
        <v>-9766.4</v>
      </c>
      <c r="H655">
        <v>40</v>
      </c>
      <c r="I655">
        <v>7.9624173899195794E-2</v>
      </c>
      <c r="J655">
        <v>9766.4</v>
      </c>
      <c r="K655">
        <v>7.9075637152124498E-2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40</v>
      </c>
      <c r="R655">
        <v>0.159248347798392</v>
      </c>
      <c r="S655">
        <v>244.16</v>
      </c>
      <c r="T655">
        <v>9766.4</v>
      </c>
      <c r="U655">
        <v>0.158151274304249</v>
      </c>
      <c r="V655">
        <v>1</v>
      </c>
      <c r="W655">
        <v>6.4350064350064407E-2</v>
      </c>
    </row>
    <row r="656" spans="1:23" hidden="1" x14ac:dyDescent="0.25">
      <c r="A656" t="s">
        <v>179</v>
      </c>
      <c r="B656">
        <v>1</v>
      </c>
      <c r="C656">
        <v>2026</v>
      </c>
      <c r="D656" t="s">
        <v>122</v>
      </c>
      <c r="E656" t="s">
        <v>123</v>
      </c>
      <c r="F656">
        <v>-4046</v>
      </c>
      <c r="G656">
        <v>-1006299.55</v>
      </c>
      <c r="H656">
        <v>22032</v>
      </c>
      <c r="I656">
        <v>43.856994983676998</v>
      </c>
      <c r="J656">
        <v>5406164.5300000003</v>
      </c>
      <c r="K656">
        <v>43.772106892915097</v>
      </c>
      <c r="L656">
        <v>8993</v>
      </c>
      <c r="M656">
        <v>35.803009793773398</v>
      </c>
      <c r="N656">
        <v>244.62720894028701</v>
      </c>
      <c r="O656">
        <v>2199932.4900000002</v>
      </c>
      <c r="P656">
        <v>35.624398619431901</v>
      </c>
      <c r="Q656">
        <v>13039</v>
      </c>
      <c r="R656">
        <v>51.910980173580697</v>
      </c>
      <c r="S656">
        <v>245.89554720454001</v>
      </c>
      <c r="T656">
        <v>3206232.04</v>
      </c>
      <c r="U656">
        <v>51.919815166398202</v>
      </c>
      <c r="V656">
        <v>541</v>
      </c>
      <c r="W656">
        <v>34.813384813384801</v>
      </c>
    </row>
    <row r="657" spans="1:23" hidden="1" x14ac:dyDescent="0.25">
      <c r="A657" t="s">
        <v>179</v>
      </c>
      <c r="B657">
        <v>1</v>
      </c>
      <c r="C657">
        <v>2026</v>
      </c>
      <c r="D657" t="s">
        <v>126</v>
      </c>
      <c r="E657" t="s">
        <v>127</v>
      </c>
      <c r="F657">
        <v>-125</v>
      </c>
      <c r="G657">
        <v>-29763.7</v>
      </c>
      <c r="H657">
        <v>135</v>
      </c>
      <c r="I657">
        <v>0.26873158690978599</v>
      </c>
      <c r="J657">
        <v>32061.599999999999</v>
      </c>
      <c r="K657">
        <v>0.25959324296737302</v>
      </c>
      <c r="L657">
        <v>5</v>
      </c>
      <c r="M657">
        <v>1.99060434747989E-2</v>
      </c>
      <c r="N657">
        <v>229.79</v>
      </c>
      <c r="O657">
        <v>1148.95</v>
      </c>
      <c r="P657">
        <v>1.8605413111470601E-2</v>
      </c>
      <c r="Q657">
        <v>130</v>
      </c>
      <c r="R657">
        <v>0.51755713034477302</v>
      </c>
      <c r="S657">
        <v>237.78961538461499</v>
      </c>
      <c r="T657">
        <v>30912.65</v>
      </c>
      <c r="U657">
        <v>0.50058107282327602</v>
      </c>
      <c r="V657">
        <v>9</v>
      </c>
      <c r="W657">
        <v>0.57915057915057899</v>
      </c>
    </row>
    <row r="658" spans="1:23" hidden="1" x14ac:dyDescent="0.25">
      <c r="A658" t="s">
        <v>179</v>
      </c>
      <c r="B658">
        <v>1</v>
      </c>
      <c r="C658">
        <v>2026</v>
      </c>
      <c r="D658" t="s">
        <v>175</v>
      </c>
      <c r="E658" t="s">
        <v>176</v>
      </c>
      <c r="F658">
        <v>-200</v>
      </c>
      <c r="G658">
        <v>-53937.99</v>
      </c>
      <c r="H658">
        <v>200</v>
      </c>
      <c r="I658">
        <v>0.39812086949597902</v>
      </c>
      <c r="J658">
        <v>53937.99</v>
      </c>
      <c r="K658">
        <v>0.43671986872900098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200</v>
      </c>
      <c r="R658">
        <v>0.79624173899195805</v>
      </c>
      <c r="S658">
        <v>269.68995000000001</v>
      </c>
      <c r="T658">
        <v>53937.99</v>
      </c>
      <c r="U658">
        <v>0.87343973745800296</v>
      </c>
      <c r="V658">
        <v>2</v>
      </c>
      <c r="W658">
        <v>0.12870012870012901</v>
      </c>
    </row>
    <row r="659" spans="1:23" hidden="1" x14ac:dyDescent="0.25">
      <c r="A659" t="s">
        <v>179</v>
      </c>
      <c r="B659">
        <v>1</v>
      </c>
      <c r="C659">
        <v>2026</v>
      </c>
      <c r="D659" t="s">
        <v>130</v>
      </c>
      <c r="E659" t="s">
        <v>131</v>
      </c>
      <c r="F659">
        <v>642</v>
      </c>
      <c r="G659">
        <v>158441.1</v>
      </c>
      <c r="H659">
        <v>1052</v>
      </c>
      <c r="I659">
        <v>2.0941157735488498</v>
      </c>
      <c r="J659">
        <v>261249.7</v>
      </c>
      <c r="K659">
        <v>2.1152611487652999</v>
      </c>
      <c r="L659">
        <v>847</v>
      </c>
      <c r="M659">
        <v>3.3720837646309398</v>
      </c>
      <c r="N659">
        <v>247.75135773317601</v>
      </c>
      <c r="O659">
        <v>209845.4</v>
      </c>
      <c r="P659">
        <v>3.3981116293501001</v>
      </c>
      <c r="Q659">
        <v>205</v>
      </c>
      <c r="R659">
        <v>0.81614778246675701</v>
      </c>
      <c r="S659">
        <v>250.75268292682901</v>
      </c>
      <c r="T659">
        <v>51404.3</v>
      </c>
      <c r="U659">
        <v>0.83241066818048703</v>
      </c>
      <c r="V659">
        <v>36</v>
      </c>
      <c r="W659">
        <v>2.31660231660232</v>
      </c>
    </row>
    <row r="660" spans="1:23" hidden="1" x14ac:dyDescent="0.25">
      <c r="A660" t="s">
        <v>179</v>
      </c>
      <c r="B660">
        <v>1</v>
      </c>
      <c r="C660">
        <v>2026</v>
      </c>
      <c r="D660" t="s">
        <v>132</v>
      </c>
      <c r="E660" t="s">
        <v>133</v>
      </c>
      <c r="F660">
        <v>942</v>
      </c>
      <c r="G660">
        <v>216140.99</v>
      </c>
      <c r="H660">
        <v>2582</v>
      </c>
      <c r="I660">
        <v>5.1397404251930903</v>
      </c>
      <c r="J660">
        <v>618515.18999999994</v>
      </c>
      <c r="K660">
        <v>5.0079336027110601</v>
      </c>
      <c r="L660">
        <v>1762</v>
      </c>
      <c r="M660">
        <v>7.0148897205191503</v>
      </c>
      <c r="N660">
        <v>236.84908626560701</v>
      </c>
      <c r="O660">
        <v>417328.09</v>
      </c>
      <c r="P660">
        <v>6.7579629378745798</v>
      </c>
      <c r="Q660">
        <v>820</v>
      </c>
      <c r="R660">
        <v>3.2645911298670298</v>
      </c>
      <c r="S660">
        <v>245.35012195121999</v>
      </c>
      <c r="T660">
        <v>201187.1</v>
      </c>
      <c r="U660">
        <v>3.2579042675475498</v>
      </c>
      <c r="V660">
        <v>37</v>
      </c>
      <c r="W660">
        <v>2.38095238095238</v>
      </c>
    </row>
    <row r="661" spans="1:23" hidden="1" x14ac:dyDescent="0.25">
      <c r="A661" t="s">
        <v>179</v>
      </c>
      <c r="B661">
        <v>1</v>
      </c>
      <c r="C661">
        <v>2026</v>
      </c>
      <c r="D661" t="s">
        <v>134</v>
      </c>
      <c r="E661" t="s">
        <v>135</v>
      </c>
      <c r="F661">
        <v>1535</v>
      </c>
      <c r="G661">
        <v>385729.87</v>
      </c>
      <c r="H661">
        <v>3335</v>
      </c>
      <c r="I661">
        <v>6.6386654988454499</v>
      </c>
      <c r="J661">
        <v>840754.11</v>
      </c>
      <c r="K661">
        <v>6.8073360641093297</v>
      </c>
      <c r="L661">
        <v>2435</v>
      </c>
      <c r="M661">
        <v>9.6942431722270896</v>
      </c>
      <c r="N661">
        <v>251.844759753593</v>
      </c>
      <c r="O661">
        <v>613241.99</v>
      </c>
      <c r="P661">
        <v>9.9304761401717592</v>
      </c>
      <c r="Q661">
        <v>900</v>
      </c>
      <c r="R661">
        <v>3.5830878254638101</v>
      </c>
      <c r="S661">
        <v>252.791244444444</v>
      </c>
      <c r="T661">
        <v>227512.12</v>
      </c>
      <c r="U661">
        <v>3.6841959880469002</v>
      </c>
      <c r="V661">
        <v>35</v>
      </c>
      <c r="W661">
        <v>2.2522522522522501</v>
      </c>
    </row>
    <row r="662" spans="1:23" hidden="1" x14ac:dyDescent="0.25">
      <c r="A662" t="s">
        <v>179</v>
      </c>
      <c r="B662">
        <v>1</v>
      </c>
      <c r="C662">
        <v>2026</v>
      </c>
      <c r="D662" t="s">
        <v>136</v>
      </c>
      <c r="E662" t="s">
        <v>137</v>
      </c>
      <c r="F662">
        <v>-161</v>
      </c>
      <c r="G662">
        <v>-37458.61</v>
      </c>
      <c r="H662">
        <v>263</v>
      </c>
      <c r="I662">
        <v>0.52352894338721201</v>
      </c>
      <c r="J662">
        <v>63722.35</v>
      </c>
      <c r="K662">
        <v>0.51594092266143898</v>
      </c>
      <c r="L662">
        <v>51</v>
      </c>
      <c r="M662">
        <v>0.203041643442949</v>
      </c>
      <c r="N662">
        <v>257.487647058824</v>
      </c>
      <c r="O662">
        <v>13131.87</v>
      </c>
      <c r="P662">
        <v>0.21264969430882799</v>
      </c>
      <c r="Q662">
        <v>212</v>
      </c>
      <c r="R662">
        <v>0.84401624333147596</v>
      </c>
      <c r="S662">
        <v>238.63433962264099</v>
      </c>
      <c r="T662">
        <v>50590.48</v>
      </c>
      <c r="U662">
        <v>0.81923215101405</v>
      </c>
      <c r="V662">
        <v>11</v>
      </c>
      <c r="W662">
        <v>0.70785070785070803</v>
      </c>
    </row>
    <row r="663" spans="1:23" hidden="1" x14ac:dyDescent="0.25">
      <c r="A663" t="s">
        <v>179</v>
      </c>
      <c r="B663">
        <v>1</v>
      </c>
      <c r="C663">
        <v>2026</v>
      </c>
      <c r="D663" t="s">
        <v>142</v>
      </c>
      <c r="E663" t="s">
        <v>143</v>
      </c>
      <c r="F663">
        <v>267</v>
      </c>
      <c r="G663">
        <v>67234.780000000101</v>
      </c>
      <c r="H663">
        <v>3193</v>
      </c>
      <c r="I663">
        <v>6.3559996815033104</v>
      </c>
      <c r="J663">
        <v>804505.64</v>
      </c>
      <c r="K663">
        <v>6.5138429795500601</v>
      </c>
      <c r="L663">
        <v>1730</v>
      </c>
      <c r="M663">
        <v>6.8874910422804403</v>
      </c>
      <c r="N663">
        <v>251.94809826589599</v>
      </c>
      <c r="O663">
        <v>435870.21</v>
      </c>
      <c r="P663">
        <v>7.0582230036411202</v>
      </c>
      <c r="Q663">
        <v>1463</v>
      </c>
      <c r="R663">
        <v>5.8245083207261699</v>
      </c>
      <c r="S663">
        <v>251.97226930963799</v>
      </c>
      <c r="T663">
        <v>368635.43</v>
      </c>
      <c r="U663">
        <v>5.969462955459</v>
      </c>
      <c r="V663">
        <v>134</v>
      </c>
      <c r="W663">
        <v>8.6229086229086196</v>
      </c>
    </row>
    <row r="664" spans="1:23" hidden="1" x14ac:dyDescent="0.25">
      <c r="A664" t="s">
        <v>179</v>
      </c>
      <c r="B664">
        <v>1</v>
      </c>
      <c r="C664">
        <v>2026</v>
      </c>
      <c r="D664" t="s">
        <v>146</v>
      </c>
      <c r="E664" t="s">
        <v>147</v>
      </c>
      <c r="F664">
        <v>-4</v>
      </c>
      <c r="G664">
        <v>-1543.27</v>
      </c>
      <c r="H664">
        <v>230</v>
      </c>
      <c r="I664">
        <v>0.45783899992037602</v>
      </c>
      <c r="J664">
        <v>57131.73</v>
      </c>
      <c r="K664">
        <v>0.46257863197832799</v>
      </c>
      <c r="L664">
        <v>113</v>
      </c>
      <c r="M664">
        <v>0.44987658253045598</v>
      </c>
      <c r="N664">
        <v>245.966637168142</v>
      </c>
      <c r="O664">
        <v>27794.23</v>
      </c>
      <c r="P664">
        <v>0.45008323361785202</v>
      </c>
      <c r="Q664">
        <v>117</v>
      </c>
      <c r="R664">
        <v>0.46580141731029501</v>
      </c>
      <c r="S664">
        <v>250.74786324786299</v>
      </c>
      <c r="T664">
        <v>29337.5</v>
      </c>
      <c r="U664">
        <v>0.47507403033880502</v>
      </c>
      <c r="V664">
        <v>8</v>
      </c>
      <c r="W664">
        <v>0.51480051480051503</v>
      </c>
    </row>
    <row r="665" spans="1:23" x14ac:dyDescent="0.25">
      <c r="A665" t="s">
        <v>179</v>
      </c>
      <c r="B665">
        <v>1</v>
      </c>
      <c r="C665">
        <v>2026</v>
      </c>
      <c r="D665" t="s">
        <v>148</v>
      </c>
      <c r="E665" t="s">
        <v>148</v>
      </c>
      <c r="F665">
        <v>0</v>
      </c>
      <c r="G665" s="4">
        <v>4.4929038267582701E-10</v>
      </c>
      <c r="H665">
        <v>50236</v>
      </c>
      <c r="I665">
        <v>0</v>
      </c>
      <c r="J665">
        <v>12350706.68</v>
      </c>
      <c r="K665">
        <v>0</v>
      </c>
      <c r="L665">
        <v>25118</v>
      </c>
      <c r="M665">
        <v>100</v>
      </c>
      <c r="N665">
        <v>244.27091193282999</v>
      </c>
      <c r="O665">
        <v>6175353.3399999999</v>
      </c>
      <c r="P665">
        <v>100</v>
      </c>
      <c r="Q665">
        <v>25118</v>
      </c>
      <c r="R665">
        <v>100</v>
      </c>
      <c r="S665">
        <v>246.847714663174</v>
      </c>
      <c r="T665">
        <v>6175353.3399999999</v>
      </c>
      <c r="U665">
        <v>100</v>
      </c>
      <c r="V665">
        <v>1554</v>
      </c>
      <c r="W665">
        <v>100</v>
      </c>
    </row>
    <row r="666" spans="1:23" hidden="1" x14ac:dyDescent="0.25">
      <c r="A666" t="s">
        <v>179</v>
      </c>
      <c r="B666">
        <v>1</v>
      </c>
      <c r="C666">
        <v>2026</v>
      </c>
      <c r="D666" t="s">
        <v>149</v>
      </c>
      <c r="E666" t="s">
        <v>150</v>
      </c>
      <c r="F666">
        <v>-174</v>
      </c>
      <c r="G666">
        <v>-50303.3</v>
      </c>
      <c r="H666">
        <v>638</v>
      </c>
      <c r="I666">
        <v>1.27000557369217</v>
      </c>
      <c r="J666">
        <v>162317.92000000001</v>
      </c>
      <c r="K666">
        <v>1.31423993950766</v>
      </c>
      <c r="L666">
        <v>232</v>
      </c>
      <c r="M666">
        <v>0.92364041723067103</v>
      </c>
      <c r="N666">
        <v>241.410818965517</v>
      </c>
      <c r="O666">
        <v>56007.31</v>
      </c>
      <c r="P666">
        <v>0.90694907507916001</v>
      </c>
      <c r="Q666">
        <v>406</v>
      </c>
      <c r="R666">
        <v>1.6163707301536701</v>
      </c>
      <c r="S666">
        <v>261.84879310344797</v>
      </c>
      <c r="T666">
        <v>106310.61</v>
      </c>
      <c r="U666">
        <v>1.7215308039361501</v>
      </c>
      <c r="V666">
        <v>8</v>
      </c>
      <c r="W666">
        <v>0.51480051480051503</v>
      </c>
    </row>
    <row r="667" spans="1:23" hidden="1" x14ac:dyDescent="0.25">
      <c r="A667" t="s">
        <v>179</v>
      </c>
      <c r="B667">
        <v>1</v>
      </c>
      <c r="C667">
        <v>2026</v>
      </c>
      <c r="D667" t="s">
        <v>153</v>
      </c>
      <c r="E667" t="s">
        <v>154</v>
      </c>
      <c r="F667">
        <v>-6</v>
      </c>
      <c r="G667">
        <v>-1211.8</v>
      </c>
      <c r="H667">
        <v>216</v>
      </c>
      <c r="I667">
        <v>0.42997053905565702</v>
      </c>
      <c r="J667">
        <v>52901.56</v>
      </c>
      <c r="K667">
        <v>0.42832820315995102</v>
      </c>
      <c r="L667">
        <v>105</v>
      </c>
      <c r="M667">
        <v>0.41802691297077799</v>
      </c>
      <c r="N667">
        <v>246.14171428571399</v>
      </c>
      <c r="O667">
        <v>25844.880000000001</v>
      </c>
      <c r="P667">
        <v>0.41851661884014602</v>
      </c>
      <c r="Q667">
        <v>111</v>
      </c>
      <c r="R667">
        <v>0.441914165140537</v>
      </c>
      <c r="S667">
        <v>243.753873873874</v>
      </c>
      <c r="T667">
        <v>27056.68</v>
      </c>
      <c r="U667">
        <v>0.43813978747975602</v>
      </c>
      <c r="V667">
        <v>30</v>
      </c>
      <c r="W667">
        <v>1.93050193050193</v>
      </c>
    </row>
    <row r="668" spans="1:23" hidden="1" x14ac:dyDescent="0.25">
      <c r="A668" t="s">
        <v>180</v>
      </c>
      <c r="B668">
        <v>2</v>
      </c>
      <c r="C668">
        <v>2025</v>
      </c>
      <c r="D668" t="s">
        <v>88</v>
      </c>
      <c r="E668" t="s">
        <v>89</v>
      </c>
      <c r="F668">
        <v>119</v>
      </c>
      <c r="G668">
        <v>32475.599999999999</v>
      </c>
      <c r="H668">
        <v>1103</v>
      </c>
      <c r="I668">
        <v>4.6058125939535701</v>
      </c>
      <c r="J668">
        <v>298324.52</v>
      </c>
      <c r="K668">
        <v>4.5858019114049702</v>
      </c>
      <c r="L668">
        <v>611</v>
      </c>
      <c r="M668">
        <v>5.1027225655587101</v>
      </c>
      <c r="N668">
        <v>270.70386252045802</v>
      </c>
      <c r="O668">
        <v>165400.06</v>
      </c>
      <c r="P668">
        <v>5.0850121960775896</v>
      </c>
      <c r="Q668">
        <v>492</v>
      </c>
      <c r="R668">
        <v>4.1089026223484204</v>
      </c>
      <c r="S668">
        <v>270.17166666666702</v>
      </c>
      <c r="T668">
        <v>132924.46</v>
      </c>
      <c r="U668">
        <v>4.0865916267323499</v>
      </c>
      <c r="V668">
        <v>15</v>
      </c>
      <c r="W668">
        <v>2.1613832853025898</v>
      </c>
    </row>
    <row r="669" spans="1:23" hidden="1" x14ac:dyDescent="0.25">
      <c r="A669" t="s">
        <v>180</v>
      </c>
      <c r="B669">
        <v>2</v>
      </c>
      <c r="C669">
        <v>2025</v>
      </c>
      <c r="D669" t="s">
        <v>90</v>
      </c>
      <c r="E669" t="s">
        <v>91</v>
      </c>
      <c r="F669">
        <v>39</v>
      </c>
      <c r="G669">
        <v>10962.38</v>
      </c>
      <c r="H669">
        <v>309</v>
      </c>
      <c r="I669">
        <v>1.2902956405545301</v>
      </c>
      <c r="J669">
        <v>84284.42</v>
      </c>
      <c r="K669">
        <v>1.29560806579915</v>
      </c>
      <c r="L669">
        <v>174</v>
      </c>
      <c r="M669">
        <v>1.45314848839152</v>
      </c>
      <c r="N669">
        <v>273.69770114942497</v>
      </c>
      <c r="O669">
        <v>47623.4</v>
      </c>
      <c r="P669">
        <v>1.4641202053897799</v>
      </c>
      <c r="Q669">
        <v>135</v>
      </c>
      <c r="R669">
        <v>1.1274427927175501</v>
      </c>
      <c r="S669">
        <v>271.56311111111103</v>
      </c>
      <c r="T669">
        <v>36661.019999999997</v>
      </c>
      <c r="U669">
        <v>1.1270959262085201</v>
      </c>
      <c r="V669">
        <v>19</v>
      </c>
      <c r="W669">
        <v>2.7377521613832898</v>
      </c>
    </row>
    <row r="670" spans="1:23" hidden="1" x14ac:dyDescent="0.25">
      <c r="A670" t="s">
        <v>180</v>
      </c>
      <c r="B670">
        <v>2</v>
      </c>
      <c r="C670">
        <v>2025</v>
      </c>
      <c r="D670" t="s">
        <v>94</v>
      </c>
      <c r="E670" t="s">
        <v>95</v>
      </c>
      <c r="F670">
        <v>1404</v>
      </c>
      <c r="G670">
        <v>378274.48</v>
      </c>
      <c r="H670">
        <v>4376</v>
      </c>
      <c r="I670">
        <v>18.272924670118599</v>
      </c>
      <c r="J670">
        <v>1189098.3999999999</v>
      </c>
      <c r="K670">
        <v>18.278650764504999</v>
      </c>
      <c r="L670">
        <v>2890</v>
      </c>
      <c r="M670">
        <v>24.135627192249899</v>
      </c>
      <c r="N670">
        <v>271.17177854671303</v>
      </c>
      <c r="O670">
        <v>783686.44</v>
      </c>
      <c r="P670">
        <v>24.093432041685102</v>
      </c>
      <c r="Q670">
        <v>1486</v>
      </c>
      <c r="R670">
        <v>12.4102221479873</v>
      </c>
      <c r="S670">
        <v>272.82096904441499</v>
      </c>
      <c r="T670">
        <v>405411.96</v>
      </c>
      <c r="U670">
        <v>12.463869487325001</v>
      </c>
      <c r="V670">
        <v>145</v>
      </c>
      <c r="W670">
        <v>20.893371757925099</v>
      </c>
    </row>
    <row r="671" spans="1:23" hidden="1" x14ac:dyDescent="0.25">
      <c r="A671" t="s">
        <v>180</v>
      </c>
      <c r="B671">
        <v>2</v>
      </c>
      <c r="C671">
        <v>2025</v>
      </c>
      <c r="D671" t="s">
        <v>102</v>
      </c>
      <c r="E671" t="s">
        <v>103</v>
      </c>
      <c r="F671">
        <v>-227</v>
      </c>
      <c r="G671">
        <v>-61594.9</v>
      </c>
      <c r="H671">
        <v>1103</v>
      </c>
      <c r="I671">
        <v>4.6058125939535701</v>
      </c>
      <c r="J671">
        <v>299199.12</v>
      </c>
      <c r="K671">
        <v>4.5992461376848501</v>
      </c>
      <c r="L671">
        <v>438</v>
      </c>
      <c r="M671">
        <v>3.6579255052613999</v>
      </c>
      <c r="N671">
        <v>271.23769406392699</v>
      </c>
      <c r="O671">
        <v>118802.11</v>
      </c>
      <c r="P671">
        <v>3.6524181325553999</v>
      </c>
      <c r="Q671">
        <v>665</v>
      </c>
      <c r="R671">
        <v>5.5536996826457301</v>
      </c>
      <c r="S671">
        <v>271.27369924812001</v>
      </c>
      <c r="T671">
        <v>180397.01</v>
      </c>
      <c r="U671">
        <v>5.5460741428142901</v>
      </c>
      <c r="V671">
        <v>49</v>
      </c>
      <c r="W671">
        <v>7.0605187319884699</v>
      </c>
    </row>
    <row r="672" spans="1:23" hidden="1" x14ac:dyDescent="0.25">
      <c r="A672" t="s">
        <v>180</v>
      </c>
      <c r="B672">
        <v>2</v>
      </c>
      <c r="C672">
        <v>2025</v>
      </c>
      <c r="D672" t="s">
        <v>104</v>
      </c>
      <c r="E672" t="s">
        <v>105</v>
      </c>
      <c r="F672">
        <v>605</v>
      </c>
      <c r="G672">
        <v>165235.32999999999</v>
      </c>
      <c r="H672">
        <v>607</v>
      </c>
      <c r="I672">
        <v>2.53465842659095</v>
      </c>
      <c r="J672">
        <v>165779.85</v>
      </c>
      <c r="K672">
        <v>2.5483441756729501</v>
      </c>
      <c r="L672">
        <v>606</v>
      </c>
      <c r="M672">
        <v>5.0609654250876899</v>
      </c>
      <c r="N672">
        <v>273.11483498349799</v>
      </c>
      <c r="O672">
        <v>165507.59</v>
      </c>
      <c r="P672">
        <v>5.0883180676803299</v>
      </c>
      <c r="Q672">
        <v>1</v>
      </c>
      <c r="R672">
        <v>8.3514280942041108E-3</v>
      </c>
      <c r="S672">
        <v>272.26</v>
      </c>
      <c r="T672">
        <v>272.26</v>
      </c>
      <c r="U672">
        <v>8.3702836655808101E-3</v>
      </c>
      <c r="V672">
        <v>24</v>
      </c>
      <c r="W672">
        <v>3.4582132564841501</v>
      </c>
    </row>
    <row r="673" spans="1:23" hidden="1" x14ac:dyDescent="0.25">
      <c r="A673" t="s">
        <v>180</v>
      </c>
      <c r="B673">
        <v>2</v>
      </c>
      <c r="C673">
        <v>2025</v>
      </c>
      <c r="D673" t="s">
        <v>106</v>
      </c>
      <c r="E673" t="s">
        <v>107</v>
      </c>
      <c r="F673">
        <v>38</v>
      </c>
      <c r="G673">
        <v>10341.33</v>
      </c>
      <c r="H673">
        <v>158</v>
      </c>
      <c r="I673">
        <v>0.659762819442125</v>
      </c>
      <c r="J673">
        <v>43242.57</v>
      </c>
      <c r="K673">
        <v>0.66471860965388696</v>
      </c>
      <c r="L673">
        <v>98</v>
      </c>
      <c r="M673">
        <v>0.81843995323200303</v>
      </c>
      <c r="N673">
        <v>273.38724489795902</v>
      </c>
      <c r="O673">
        <v>26791.95</v>
      </c>
      <c r="P673">
        <v>0.82368405734980399</v>
      </c>
      <c r="Q673">
        <v>60</v>
      </c>
      <c r="R673">
        <v>0.50108568565224698</v>
      </c>
      <c r="S673">
        <v>274.17700000000002</v>
      </c>
      <c r="T673">
        <v>16450.62</v>
      </c>
      <c r="U673">
        <v>0.50575316195797004</v>
      </c>
      <c r="V673">
        <v>8</v>
      </c>
      <c r="W673">
        <v>1.15273775216138</v>
      </c>
    </row>
    <row r="674" spans="1:23" hidden="1" x14ac:dyDescent="0.25">
      <c r="A674" t="s">
        <v>180</v>
      </c>
      <c r="B674">
        <v>2</v>
      </c>
      <c r="C674">
        <v>2025</v>
      </c>
      <c r="D674" t="s">
        <v>110</v>
      </c>
      <c r="E674" t="s">
        <v>111</v>
      </c>
      <c r="F674">
        <v>19</v>
      </c>
      <c r="G674">
        <v>5466.94</v>
      </c>
      <c r="H674">
        <v>213</v>
      </c>
      <c r="I674">
        <v>0.88942709203273795</v>
      </c>
      <c r="J674">
        <v>57891.88</v>
      </c>
      <c r="K674">
        <v>0.88990571059605605</v>
      </c>
      <c r="L674">
        <v>116</v>
      </c>
      <c r="M674">
        <v>0.96876565892767696</v>
      </c>
      <c r="N674">
        <v>273.09836206896603</v>
      </c>
      <c r="O674">
        <v>31679.41</v>
      </c>
      <c r="P674">
        <v>0.97394273142671495</v>
      </c>
      <c r="Q674">
        <v>97</v>
      </c>
      <c r="R674">
        <v>0.81008852513779805</v>
      </c>
      <c r="S674">
        <v>270.23164948453598</v>
      </c>
      <c r="T674">
        <v>26212.47</v>
      </c>
      <c r="U674">
        <v>0.80586868976539705</v>
      </c>
      <c r="V674">
        <v>4</v>
      </c>
      <c r="W674">
        <v>0.57636887608069198</v>
      </c>
    </row>
    <row r="675" spans="1:23" hidden="1" x14ac:dyDescent="0.25">
      <c r="A675" t="s">
        <v>180</v>
      </c>
      <c r="B675">
        <v>2</v>
      </c>
      <c r="C675">
        <v>2025</v>
      </c>
      <c r="D675" t="s">
        <v>112</v>
      </c>
      <c r="E675" t="s">
        <v>113</v>
      </c>
      <c r="F675">
        <v>40</v>
      </c>
      <c r="G675">
        <v>10804.4</v>
      </c>
      <c r="H675">
        <v>40</v>
      </c>
      <c r="I675">
        <v>0.16702856188408199</v>
      </c>
      <c r="J675">
        <v>10804.4</v>
      </c>
      <c r="K675">
        <v>0.16608369359509501</v>
      </c>
      <c r="L675">
        <v>40</v>
      </c>
      <c r="M675">
        <v>0.33405712376816399</v>
      </c>
      <c r="N675">
        <v>270.11</v>
      </c>
      <c r="O675">
        <v>10804.4</v>
      </c>
      <c r="P675">
        <v>0.33216738719019101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1</v>
      </c>
      <c r="W675">
        <v>0.144092219020173</v>
      </c>
    </row>
    <row r="676" spans="1:23" hidden="1" x14ac:dyDescent="0.25">
      <c r="A676" t="s">
        <v>180</v>
      </c>
      <c r="B676">
        <v>2</v>
      </c>
      <c r="C676">
        <v>2025</v>
      </c>
      <c r="D676" t="s">
        <v>114</v>
      </c>
      <c r="E676" t="s">
        <v>115</v>
      </c>
      <c r="F676">
        <v>9</v>
      </c>
      <c r="G676">
        <v>2446.02</v>
      </c>
      <c r="H676">
        <v>9</v>
      </c>
      <c r="I676">
        <v>3.7581426423918499E-2</v>
      </c>
      <c r="J676">
        <v>2446.02</v>
      </c>
      <c r="K676">
        <v>3.7599870072144201E-2</v>
      </c>
      <c r="L676">
        <v>9</v>
      </c>
      <c r="M676">
        <v>7.5162852847836997E-2</v>
      </c>
      <c r="N676">
        <v>271.77999999999997</v>
      </c>
      <c r="O676">
        <v>2446.02</v>
      </c>
      <c r="P676">
        <v>7.5199740144288402E-2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1</v>
      </c>
      <c r="W676">
        <v>0.144092219020173</v>
      </c>
    </row>
    <row r="677" spans="1:23" hidden="1" x14ac:dyDescent="0.25">
      <c r="A677" t="s">
        <v>180</v>
      </c>
      <c r="B677">
        <v>2</v>
      </c>
      <c r="C677">
        <v>2025</v>
      </c>
      <c r="D677" t="s">
        <v>163</v>
      </c>
      <c r="E677" t="s">
        <v>164</v>
      </c>
      <c r="F677">
        <v>-7</v>
      </c>
      <c r="G677">
        <v>-1900.16</v>
      </c>
      <c r="H677">
        <v>7</v>
      </c>
      <c r="I677">
        <v>2.9229998329714402E-2</v>
      </c>
      <c r="J677">
        <v>1900.16</v>
      </c>
      <c r="K677">
        <v>2.9208988117957101E-2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7</v>
      </c>
      <c r="R677">
        <v>5.8459996659428803E-2</v>
      </c>
      <c r="S677">
        <v>271.45142857142901</v>
      </c>
      <c r="T677">
        <v>1900.16</v>
      </c>
      <c r="U677">
        <v>5.8417976235914298E-2</v>
      </c>
      <c r="V677">
        <v>2</v>
      </c>
      <c r="W677">
        <v>0.28818443804034599</v>
      </c>
    </row>
    <row r="678" spans="1:23" hidden="1" x14ac:dyDescent="0.25">
      <c r="A678" t="s">
        <v>180</v>
      </c>
      <c r="B678">
        <v>2</v>
      </c>
      <c r="C678">
        <v>2025</v>
      </c>
      <c r="D678" t="s">
        <v>116</v>
      </c>
      <c r="E678" t="s">
        <v>117</v>
      </c>
      <c r="F678">
        <v>-931</v>
      </c>
      <c r="G678">
        <v>-251319.94</v>
      </c>
      <c r="H678">
        <v>1331</v>
      </c>
      <c r="I678">
        <v>5.5578753966928298</v>
      </c>
      <c r="J678">
        <v>360027.94</v>
      </c>
      <c r="K678">
        <v>5.5342980704743798</v>
      </c>
      <c r="L678">
        <v>200</v>
      </c>
      <c r="M678">
        <v>1.6702856188408199</v>
      </c>
      <c r="N678">
        <v>271.77</v>
      </c>
      <c r="O678">
        <v>54354</v>
      </c>
      <c r="P678">
        <v>1.67104384911107</v>
      </c>
      <c r="Q678">
        <v>1131</v>
      </c>
      <c r="R678">
        <v>9.4454651745448501</v>
      </c>
      <c r="S678">
        <v>270.26873563218402</v>
      </c>
      <c r="T678">
        <v>305673.94</v>
      </c>
      <c r="U678">
        <v>9.3975522918376804</v>
      </c>
      <c r="V678">
        <v>16</v>
      </c>
      <c r="W678">
        <v>2.3054755043227702</v>
      </c>
    </row>
    <row r="679" spans="1:23" hidden="1" x14ac:dyDescent="0.25">
      <c r="A679" t="s">
        <v>180</v>
      </c>
      <c r="B679">
        <v>2</v>
      </c>
      <c r="C679">
        <v>2025</v>
      </c>
      <c r="D679" t="s">
        <v>118</v>
      </c>
      <c r="E679" t="s">
        <v>119</v>
      </c>
      <c r="F679">
        <v>659</v>
      </c>
      <c r="G679">
        <v>179575.74</v>
      </c>
      <c r="H679">
        <v>749</v>
      </c>
      <c r="I679">
        <v>3.1276098212794401</v>
      </c>
      <c r="J679">
        <v>203837.94</v>
      </c>
      <c r="K679">
        <v>3.1333676992720898</v>
      </c>
      <c r="L679">
        <v>704</v>
      </c>
      <c r="M679">
        <v>5.8794053783196896</v>
      </c>
      <c r="N679">
        <v>272.310852272727</v>
      </c>
      <c r="O679">
        <v>191706.84</v>
      </c>
      <c r="P679">
        <v>5.8937803255421803</v>
      </c>
      <c r="Q679">
        <v>45</v>
      </c>
      <c r="R679">
        <v>0.37581426423918501</v>
      </c>
      <c r="S679">
        <v>269.58</v>
      </c>
      <c r="T679">
        <v>12131.1</v>
      </c>
      <c r="U679">
        <v>0.37295507300200997</v>
      </c>
      <c r="V679">
        <v>5</v>
      </c>
      <c r="W679">
        <v>0.72046109510086498</v>
      </c>
    </row>
    <row r="680" spans="1:23" hidden="1" x14ac:dyDescent="0.25">
      <c r="A680" t="s">
        <v>180</v>
      </c>
      <c r="B680">
        <v>2</v>
      </c>
      <c r="C680">
        <v>2025</v>
      </c>
      <c r="D680" t="s">
        <v>120</v>
      </c>
      <c r="E680" t="s">
        <v>121</v>
      </c>
      <c r="F680">
        <v>-159</v>
      </c>
      <c r="G680">
        <v>-43020.73</v>
      </c>
      <c r="H680">
        <v>159</v>
      </c>
      <c r="I680">
        <v>0.66393853348922705</v>
      </c>
      <c r="J680">
        <v>43020.73</v>
      </c>
      <c r="K680">
        <v>0.66130851685955006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159</v>
      </c>
      <c r="R680">
        <v>1.3278770669784501</v>
      </c>
      <c r="S680">
        <v>270.57062893081797</v>
      </c>
      <c r="T680">
        <v>43020.73</v>
      </c>
      <c r="U680">
        <v>1.3226170337191001</v>
      </c>
      <c r="V680">
        <v>4</v>
      </c>
      <c r="W680">
        <v>0.57636887608069198</v>
      </c>
    </row>
    <row r="681" spans="1:23" hidden="1" x14ac:dyDescent="0.25">
      <c r="A681" t="s">
        <v>180</v>
      </c>
      <c r="B681">
        <v>2</v>
      </c>
      <c r="C681">
        <v>2025</v>
      </c>
      <c r="D681" t="s">
        <v>122</v>
      </c>
      <c r="E681" t="s">
        <v>123</v>
      </c>
      <c r="F681">
        <v>-627</v>
      </c>
      <c r="G681">
        <v>-173538.49</v>
      </c>
      <c r="H681">
        <v>6849</v>
      </c>
      <c r="I681">
        <v>28.599465508602002</v>
      </c>
      <c r="J681">
        <v>1861286.29</v>
      </c>
      <c r="K681">
        <v>28.611427000214</v>
      </c>
      <c r="L681">
        <v>3111</v>
      </c>
      <c r="M681">
        <v>25.981292801068999</v>
      </c>
      <c r="N681">
        <v>271.25486981677898</v>
      </c>
      <c r="O681">
        <v>843873.9</v>
      </c>
      <c r="P681">
        <v>25.9438181186365</v>
      </c>
      <c r="Q681">
        <v>3738</v>
      </c>
      <c r="R681">
        <v>31.217638216135001</v>
      </c>
      <c r="S681">
        <v>272.18094970572503</v>
      </c>
      <c r="T681">
        <v>1017412.39</v>
      </c>
      <c r="U681">
        <v>31.279035881791401</v>
      </c>
      <c r="V681">
        <v>130</v>
      </c>
      <c r="W681">
        <v>18.731988472622501</v>
      </c>
    </row>
    <row r="682" spans="1:23" hidden="1" x14ac:dyDescent="0.25">
      <c r="A682" t="s">
        <v>180</v>
      </c>
      <c r="B682">
        <v>2</v>
      </c>
      <c r="C682">
        <v>2025</v>
      </c>
      <c r="D682" t="s">
        <v>124</v>
      </c>
      <c r="E682" t="s">
        <v>125</v>
      </c>
      <c r="F682">
        <v>-45</v>
      </c>
      <c r="G682">
        <v>-12107.23</v>
      </c>
      <c r="H682">
        <v>45</v>
      </c>
      <c r="I682">
        <v>0.18790713211959201</v>
      </c>
      <c r="J682">
        <v>12107.23</v>
      </c>
      <c r="K682">
        <v>0.186110610270385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45</v>
      </c>
      <c r="R682">
        <v>0.37581426423918501</v>
      </c>
      <c r="S682">
        <v>269.04955555555603</v>
      </c>
      <c r="T682">
        <v>12107.23</v>
      </c>
      <c r="U682">
        <v>0.37222122054077</v>
      </c>
      <c r="V682">
        <v>4</v>
      </c>
      <c r="W682">
        <v>0.57636887608069198</v>
      </c>
    </row>
    <row r="683" spans="1:23" hidden="1" x14ac:dyDescent="0.25">
      <c r="A683" t="s">
        <v>180</v>
      </c>
      <c r="B683">
        <v>2</v>
      </c>
      <c r="C683">
        <v>2025</v>
      </c>
      <c r="D683" t="s">
        <v>126</v>
      </c>
      <c r="E683" t="s">
        <v>127</v>
      </c>
      <c r="F683">
        <v>-397</v>
      </c>
      <c r="G683">
        <v>-106868.63</v>
      </c>
      <c r="H683">
        <v>397</v>
      </c>
      <c r="I683">
        <v>1.6577584766995199</v>
      </c>
      <c r="J683">
        <v>106868.63</v>
      </c>
      <c r="K683">
        <v>1.6427693161904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397</v>
      </c>
      <c r="R683">
        <v>3.3155169533990301</v>
      </c>
      <c r="S683">
        <v>269.19050377833798</v>
      </c>
      <c r="T683">
        <v>106868.63</v>
      </c>
      <c r="U683">
        <v>3.2855386323808098</v>
      </c>
      <c r="V683">
        <v>84</v>
      </c>
      <c r="W683">
        <v>12.103746397694501</v>
      </c>
    </row>
    <row r="684" spans="1:23" hidden="1" x14ac:dyDescent="0.25">
      <c r="A684" t="s">
        <v>180</v>
      </c>
      <c r="B684">
        <v>2</v>
      </c>
      <c r="C684">
        <v>2025</v>
      </c>
      <c r="D684" t="s">
        <v>128</v>
      </c>
      <c r="E684" t="s">
        <v>129</v>
      </c>
      <c r="F684">
        <v>-75</v>
      </c>
      <c r="G684">
        <v>-20409.599999999999</v>
      </c>
      <c r="H684">
        <v>75</v>
      </c>
      <c r="I684">
        <v>0.313178553532654</v>
      </c>
      <c r="J684">
        <v>20409.599999999999</v>
      </c>
      <c r="K684">
        <v>0.31373345607330899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75</v>
      </c>
      <c r="R684">
        <v>0.62635710706530801</v>
      </c>
      <c r="S684">
        <v>272.12799999999999</v>
      </c>
      <c r="T684">
        <v>20409.599999999999</v>
      </c>
      <c r="U684">
        <v>0.62746691214661698</v>
      </c>
      <c r="V684">
        <v>2</v>
      </c>
      <c r="W684">
        <v>0.28818443804034599</v>
      </c>
    </row>
    <row r="685" spans="1:23" hidden="1" x14ac:dyDescent="0.25">
      <c r="A685" t="s">
        <v>180</v>
      </c>
      <c r="B685">
        <v>2</v>
      </c>
      <c r="C685">
        <v>2025</v>
      </c>
      <c r="D685" t="s">
        <v>130</v>
      </c>
      <c r="E685" t="s">
        <v>131</v>
      </c>
      <c r="F685">
        <v>-25</v>
      </c>
      <c r="G685">
        <v>-6790.25</v>
      </c>
      <c r="H685">
        <v>25</v>
      </c>
      <c r="I685">
        <v>0.104392851177551</v>
      </c>
      <c r="J685">
        <v>6790.25</v>
      </c>
      <c r="K685">
        <v>0.104378753140766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25</v>
      </c>
      <c r="R685">
        <v>0.20878570235510299</v>
      </c>
      <c r="S685">
        <v>271.61</v>
      </c>
      <c r="T685">
        <v>6790.25</v>
      </c>
      <c r="U685">
        <v>0.208757506281533</v>
      </c>
      <c r="V685">
        <v>1</v>
      </c>
      <c r="W685">
        <v>0.144092219020173</v>
      </c>
    </row>
    <row r="686" spans="1:23" hidden="1" x14ac:dyDescent="0.25">
      <c r="A686" t="s">
        <v>180</v>
      </c>
      <c r="B686">
        <v>2</v>
      </c>
      <c r="C686">
        <v>2025</v>
      </c>
      <c r="D686" t="s">
        <v>132</v>
      </c>
      <c r="E686" t="s">
        <v>133</v>
      </c>
      <c r="F686">
        <v>-20</v>
      </c>
      <c r="G686">
        <v>-5391.6</v>
      </c>
      <c r="H686">
        <v>30</v>
      </c>
      <c r="I686">
        <v>0.125271421413062</v>
      </c>
      <c r="J686">
        <v>8108.4</v>
      </c>
      <c r="K686">
        <v>0.124641166667883</v>
      </c>
      <c r="L686">
        <v>5</v>
      </c>
      <c r="M686">
        <v>4.1757140471020499E-2</v>
      </c>
      <c r="N686">
        <v>271.68</v>
      </c>
      <c r="O686">
        <v>1358.4</v>
      </c>
      <c r="P686">
        <v>4.1762261556324697E-2</v>
      </c>
      <c r="Q686">
        <v>25</v>
      </c>
      <c r="R686">
        <v>0.20878570235510299</v>
      </c>
      <c r="S686">
        <v>270</v>
      </c>
      <c r="T686">
        <v>6750</v>
      </c>
      <c r="U686">
        <v>0.20752007177944001</v>
      </c>
      <c r="V686">
        <v>3</v>
      </c>
      <c r="W686">
        <v>0.43227665706051899</v>
      </c>
    </row>
    <row r="687" spans="1:23" hidden="1" x14ac:dyDescent="0.25">
      <c r="A687" t="s">
        <v>180</v>
      </c>
      <c r="B687">
        <v>2</v>
      </c>
      <c r="C687">
        <v>2025</v>
      </c>
      <c r="D687" t="s">
        <v>134</v>
      </c>
      <c r="E687" t="s">
        <v>135</v>
      </c>
      <c r="F687">
        <v>-969</v>
      </c>
      <c r="G687">
        <v>-263015.82</v>
      </c>
      <c r="H687">
        <v>969</v>
      </c>
      <c r="I687">
        <v>4.0462669116418901</v>
      </c>
      <c r="J687">
        <v>263015.82</v>
      </c>
      <c r="K687">
        <v>4.0430416181872904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969</v>
      </c>
      <c r="R687">
        <v>8.0925338232837802</v>
      </c>
      <c r="S687">
        <v>271.43015479876198</v>
      </c>
      <c r="T687">
        <v>263015.82</v>
      </c>
      <c r="U687">
        <v>8.0860832363745807</v>
      </c>
      <c r="V687">
        <v>5</v>
      </c>
      <c r="W687">
        <v>0.72046109510086498</v>
      </c>
    </row>
    <row r="688" spans="1:23" hidden="1" x14ac:dyDescent="0.25">
      <c r="A688" t="s">
        <v>180</v>
      </c>
      <c r="B688">
        <v>2</v>
      </c>
      <c r="C688">
        <v>2025</v>
      </c>
      <c r="D688" t="s">
        <v>136</v>
      </c>
      <c r="E688" t="s">
        <v>137</v>
      </c>
      <c r="F688">
        <v>29</v>
      </c>
      <c r="G688">
        <v>7957.31</v>
      </c>
      <c r="H688">
        <v>29</v>
      </c>
      <c r="I688">
        <v>0.12109570736596</v>
      </c>
      <c r="J688">
        <v>7957.31</v>
      </c>
      <c r="K688">
        <v>0.122318632768241</v>
      </c>
      <c r="L688">
        <v>29</v>
      </c>
      <c r="M688">
        <v>0.24219141473191899</v>
      </c>
      <c r="N688">
        <v>274.39</v>
      </c>
      <c r="O688">
        <v>7957.31</v>
      </c>
      <c r="P688">
        <v>0.24463726553648299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1</v>
      </c>
      <c r="W688">
        <v>0.144092219020173</v>
      </c>
    </row>
    <row r="689" spans="1:23" hidden="1" x14ac:dyDescent="0.25">
      <c r="A689" t="s">
        <v>180</v>
      </c>
      <c r="B689">
        <v>2</v>
      </c>
      <c r="C689">
        <v>2025</v>
      </c>
      <c r="D689" t="s">
        <v>142</v>
      </c>
      <c r="E689" t="s">
        <v>143</v>
      </c>
      <c r="F689">
        <v>-356</v>
      </c>
      <c r="G689">
        <v>-97716.98</v>
      </c>
      <c r="H689">
        <v>2504</v>
      </c>
      <c r="I689">
        <v>10.4559879739435</v>
      </c>
      <c r="J689">
        <v>681810.32</v>
      </c>
      <c r="K689">
        <v>10.4806908552862</v>
      </c>
      <c r="L689">
        <v>1074</v>
      </c>
      <c r="M689">
        <v>8.9694337731752096</v>
      </c>
      <c r="N689">
        <v>271.92427374301701</v>
      </c>
      <c r="O689">
        <v>292046.67</v>
      </c>
      <c r="P689">
        <v>8.9785993957550492</v>
      </c>
      <c r="Q689">
        <v>1430</v>
      </c>
      <c r="R689">
        <v>11.9425421747119</v>
      </c>
      <c r="S689">
        <v>272.56199300699302</v>
      </c>
      <c r="T689">
        <v>389763.65</v>
      </c>
      <c r="U689">
        <v>11.9827823148173</v>
      </c>
      <c r="V689">
        <v>114</v>
      </c>
      <c r="W689">
        <v>16.426512968299701</v>
      </c>
    </row>
    <row r="690" spans="1:23" hidden="1" x14ac:dyDescent="0.25">
      <c r="A690" t="s">
        <v>180</v>
      </c>
      <c r="B690">
        <v>2</v>
      </c>
      <c r="C690">
        <v>2025</v>
      </c>
      <c r="D690" t="s">
        <v>146</v>
      </c>
      <c r="E690" t="s">
        <v>147</v>
      </c>
      <c r="F690">
        <v>93</v>
      </c>
      <c r="G690">
        <v>25781.66</v>
      </c>
      <c r="H690">
        <v>383</v>
      </c>
      <c r="I690">
        <v>1.59929848004009</v>
      </c>
      <c r="J690">
        <v>103983.34</v>
      </c>
      <c r="K690">
        <v>1.5984170504196999</v>
      </c>
      <c r="L690">
        <v>238</v>
      </c>
      <c r="M690">
        <v>1.98763988642058</v>
      </c>
      <c r="N690">
        <v>272.615546218487</v>
      </c>
      <c r="O690">
        <v>64882.5</v>
      </c>
      <c r="P690">
        <v>1.99472904551549</v>
      </c>
      <c r="Q690">
        <v>145</v>
      </c>
      <c r="R690">
        <v>1.2109570736596</v>
      </c>
      <c r="S690">
        <v>269.66096551724098</v>
      </c>
      <c r="T690">
        <v>39100.839999999997</v>
      </c>
      <c r="U690">
        <v>1.2021050553239101</v>
      </c>
      <c r="V690">
        <v>12</v>
      </c>
      <c r="W690">
        <v>1.7291066282420799</v>
      </c>
    </row>
    <row r="691" spans="1:23" x14ac:dyDescent="0.25">
      <c r="A691" t="s">
        <v>180</v>
      </c>
      <c r="B691">
        <v>2</v>
      </c>
      <c r="C691">
        <v>2025</v>
      </c>
      <c r="D691" t="s">
        <v>148</v>
      </c>
      <c r="E691" t="s">
        <v>148</v>
      </c>
      <c r="F691">
        <v>0</v>
      </c>
      <c r="G691" s="4">
        <v>-4.1245584725402301E-10</v>
      </c>
      <c r="H691">
        <v>23948</v>
      </c>
      <c r="I691">
        <v>0</v>
      </c>
      <c r="J691">
        <v>6505394.8200000003</v>
      </c>
      <c r="K691">
        <v>0</v>
      </c>
      <c r="L691">
        <v>11974</v>
      </c>
      <c r="M691">
        <v>100</v>
      </c>
      <c r="N691">
        <v>271.46743490838998</v>
      </c>
      <c r="O691">
        <v>3252697.41</v>
      </c>
      <c r="P691">
        <v>100</v>
      </c>
      <c r="Q691">
        <v>11974</v>
      </c>
      <c r="R691">
        <v>100</v>
      </c>
      <c r="S691">
        <v>270.71817751145397</v>
      </c>
      <c r="T691">
        <v>3252697.41</v>
      </c>
      <c r="U691">
        <v>100</v>
      </c>
      <c r="V691">
        <v>694</v>
      </c>
      <c r="W691">
        <v>100</v>
      </c>
    </row>
    <row r="692" spans="1:23" hidden="1" x14ac:dyDescent="0.25">
      <c r="A692" t="s">
        <v>180</v>
      </c>
      <c r="B692">
        <v>2</v>
      </c>
      <c r="C692">
        <v>2025</v>
      </c>
      <c r="D692" t="s">
        <v>149</v>
      </c>
      <c r="E692" t="s">
        <v>150</v>
      </c>
      <c r="F692">
        <v>784</v>
      </c>
      <c r="G692">
        <v>214353.14</v>
      </c>
      <c r="H692">
        <v>2478</v>
      </c>
      <c r="I692">
        <v>10.347419408718901</v>
      </c>
      <c r="J692">
        <v>673199.68</v>
      </c>
      <c r="K692">
        <v>10.348329327073801</v>
      </c>
      <c r="L692">
        <v>1631</v>
      </c>
      <c r="M692">
        <v>13.6211792216469</v>
      </c>
      <c r="N692">
        <v>272.08854077253199</v>
      </c>
      <c r="O692">
        <v>443776.41</v>
      </c>
      <c r="P692">
        <v>13.643335178847799</v>
      </c>
      <c r="Q692">
        <v>847</v>
      </c>
      <c r="R692">
        <v>7.0736595957908799</v>
      </c>
      <c r="S692">
        <v>270.86572609208997</v>
      </c>
      <c r="T692">
        <v>229423.27</v>
      </c>
      <c r="U692">
        <v>7.0533234752998402</v>
      </c>
      <c r="V692">
        <v>45</v>
      </c>
      <c r="W692">
        <v>6.4841498559077797</v>
      </c>
    </row>
    <row r="693" spans="1:23" hidden="1" x14ac:dyDescent="0.25">
      <c r="A693" t="s">
        <v>180</v>
      </c>
      <c r="B693">
        <v>3</v>
      </c>
      <c r="C693">
        <v>2025</v>
      </c>
      <c r="D693" t="s">
        <v>88</v>
      </c>
      <c r="E693" t="s">
        <v>89</v>
      </c>
      <c r="F693">
        <v>-188</v>
      </c>
      <c r="G693">
        <v>-54018.48</v>
      </c>
      <c r="H693">
        <v>1012</v>
      </c>
      <c r="I693">
        <v>2.2939523075528201</v>
      </c>
      <c r="J693">
        <v>283957.26</v>
      </c>
      <c r="K693">
        <v>2.3010448247022399</v>
      </c>
      <c r="L693">
        <v>412</v>
      </c>
      <c r="M693">
        <v>1.8678030646477499</v>
      </c>
      <c r="N693">
        <v>279.05191747572798</v>
      </c>
      <c r="O693">
        <v>114969.39</v>
      </c>
      <c r="P693">
        <v>1.86330660920095</v>
      </c>
      <c r="Q693">
        <v>600</v>
      </c>
      <c r="R693">
        <v>2.7201015504578798</v>
      </c>
      <c r="S693">
        <v>281.64645000000002</v>
      </c>
      <c r="T693">
        <v>168987.87</v>
      </c>
      <c r="U693">
        <v>2.7387830409129799</v>
      </c>
      <c r="V693">
        <v>10</v>
      </c>
      <c r="W693">
        <v>1.40056022408964</v>
      </c>
    </row>
    <row r="694" spans="1:23" hidden="1" x14ac:dyDescent="0.25">
      <c r="A694" t="s">
        <v>180</v>
      </c>
      <c r="B694">
        <v>3</v>
      </c>
      <c r="C694">
        <v>2025</v>
      </c>
      <c r="D694" t="s">
        <v>90</v>
      </c>
      <c r="E694" t="s">
        <v>91</v>
      </c>
      <c r="F694">
        <v>49</v>
      </c>
      <c r="G694">
        <v>14141.05</v>
      </c>
      <c r="H694">
        <v>229</v>
      </c>
      <c r="I694">
        <v>0.51908604587904605</v>
      </c>
      <c r="J694">
        <v>64620.15</v>
      </c>
      <c r="K694">
        <v>0.52364874111330195</v>
      </c>
      <c r="L694">
        <v>139</v>
      </c>
      <c r="M694">
        <v>0.63015685918941</v>
      </c>
      <c r="N694">
        <v>283.31366906474801</v>
      </c>
      <c r="O694">
        <v>39380.6</v>
      </c>
      <c r="P694">
        <v>0.63824059825227397</v>
      </c>
      <c r="Q694">
        <v>90</v>
      </c>
      <c r="R694">
        <v>0.408015232568683</v>
      </c>
      <c r="S694">
        <v>280.43944444444401</v>
      </c>
      <c r="T694">
        <v>25239.55</v>
      </c>
      <c r="U694">
        <v>0.40905688378861299</v>
      </c>
      <c r="V694">
        <v>16</v>
      </c>
      <c r="W694">
        <v>2.2408963585434201</v>
      </c>
    </row>
    <row r="695" spans="1:23" hidden="1" x14ac:dyDescent="0.25">
      <c r="A695" t="s">
        <v>180</v>
      </c>
      <c r="B695">
        <v>3</v>
      </c>
      <c r="C695">
        <v>2025</v>
      </c>
      <c r="D695" t="s">
        <v>94</v>
      </c>
      <c r="E695" t="s">
        <v>95</v>
      </c>
      <c r="F695">
        <v>-5728</v>
      </c>
      <c r="G695">
        <v>-1567531.13</v>
      </c>
      <c r="H695">
        <v>12826</v>
      </c>
      <c r="I695">
        <v>29.073352071810699</v>
      </c>
      <c r="J695">
        <v>3598655.99</v>
      </c>
      <c r="K695">
        <v>29.161672928078101</v>
      </c>
      <c r="L695">
        <v>3549</v>
      </c>
      <c r="M695">
        <v>16.089400670958401</v>
      </c>
      <c r="N695">
        <v>286.15453085376203</v>
      </c>
      <c r="O695">
        <v>1015562.43</v>
      </c>
      <c r="P695">
        <v>16.4592000346803</v>
      </c>
      <c r="Q695">
        <v>9277</v>
      </c>
      <c r="R695">
        <v>42.057303472663001</v>
      </c>
      <c r="S695">
        <v>278.44061226689701</v>
      </c>
      <c r="T695">
        <v>2583093.56</v>
      </c>
      <c r="U695">
        <v>41.864145842062698</v>
      </c>
      <c r="V695">
        <v>188</v>
      </c>
      <c r="W695">
        <v>26.330532212885199</v>
      </c>
    </row>
    <row r="696" spans="1:23" hidden="1" x14ac:dyDescent="0.25">
      <c r="A696" t="s">
        <v>180</v>
      </c>
      <c r="B696">
        <v>3</v>
      </c>
      <c r="C696">
        <v>2025</v>
      </c>
      <c r="D696" t="s">
        <v>96</v>
      </c>
      <c r="E696" t="s">
        <v>97</v>
      </c>
      <c r="F696">
        <v>44</v>
      </c>
      <c r="G696">
        <v>12454.2</v>
      </c>
      <c r="H696">
        <v>44</v>
      </c>
      <c r="I696">
        <v>9.9737056850122394E-2</v>
      </c>
      <c r="J696">
        <v>12454.2</v>
      </c>
      <c r="K696">
        <v>0.100922485502947</v>
      </c>
      <c r="L696">
        <v>44</v>
      </c>
      <c r="M696">
        <v>0.19947411370024501</v>
      </c>
      <c r="N696">
        <v>283.05</v>
      </c>
      <c r="O696">
        <v>12454.2</v>
      </c>
      <c r="P696">
        <v>0.20184497084233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1</v>
      </c>
      <c r="W696">
        <v>0.140056022408964</v>
      </c>
    </row>
    <row r="697" spans="1:23" hidden="1" x14ac:dyDescent="0.25">
      <c r="A697" t="s">
        <v>180</v>
      </c>
      <c r="B697">
        <v>3</v>
      </c>
      <c r="C697">
        <v>2025</v>
      </c>
      <c r="D697" t="s">
        <v>102</v>
      </c>
      <c r="E697" t="s">
        <v>103</v>
      </c>
      <c r="F697">
        <v>222</v>
      </c>
      <c r="G697">
        <v>62756.44</v>
      </c>
      <c r="H697">
        <v>344</v>
      </c>
      <c r="I697">
        <v>0.77976244446459297</v>
      </c>
      <c r="J697">
        <v>97003.199999999997</v>
      </c>
      <c r="K697">
        <v>0.78606446385472495</v>
      </c>
      <c r="L697">
        <v>283</v>
      </c>
      <c r="M697">
        <v>1.2829812312993001</v>
      </c>
      <c r="N697">
        <v>282.26084805653699</v>
      </c>
      <c r="O697">
        <v>79879.820000000007</v>
      </c>
      <c r="P697">
        <v>1.29461064851942</v>
      </c>
      <c r="Q697">
        <v>61</v>
      </c>
      <c r="R697">
        <v>0.27654365762988498</v>
      </c>
      <c r="S697">
        <v>280.71114754098397</v>
      </c>
      <c r="T697">
        <v>17123.38</v>
      </c>
      <c r="U697">
        <v>0.27751827836582899</v>
      </c>
      <c r="V697">
        <v>38</v>
      </c>
      <c r="W697">
        <v>5.3221288515406204</v>
      </c>
    </row>
    <row r="698" spans="1:23" hidden="1" x14ac:dyDescent="0.25">
      <c r="A698" t="s">
        <v>180</v>
      </c>
      <c r="B698">
        <v>3</v>
      </c>
      <c r="C698">
        <v>2025</v>
      </c>
      <c r="D698" t="s">
        <v>104</v>
      </c>
      <c r="E698" t="s">
        <v>105</v>
      </c>
      <c r="F698">
        <v>989</v>
      </c>
      <c r="G698">
        <v>279250.02</v>
      </c>
      <c r="H698">
        <v>1013</v>
      </c>
      <c r="I698">
        <v>2.2962190588448599</v>
      </c>
      <c r="J698">
        <v>285808.62</v>
      </c>
      <c r="K698">
        <v>2.3160473019999199</v>
      </c>
      <c r="L698">
        <v>1001</v>
      </c>
      <c r="M698">
        <v>4.5380360866805702</v>
      </c>
      <c r="N698">
        <v>282.24707292707302</v>
      </c>
      <c r="O698">
        <v>282529.32</v>
      </c>
      <c r="P698">
        <v>4.5789470505936398</v>
      </c>
      <c r="Q698">
        <v>12</v>
      </c>
      <c r="R698">
        <v>5.4402031009157699E-2</v>
      </c>
      <c r="S698">
        <v>273.27499999999998</v>
      </c>
      <c r="T698">
        <v>3279.3</v>
      </c>
      <c r="U698">
        <v>5.3147549738723501E-2</v>
      </c>
      <c r="V698">
        <v>31</v>
      </c>
      <c r="W698">
        <v>4.3417366946778699</v>
      </c>
    </row>
    <row r="699" spans="1:23" hidden="1" x14ac:dyDescent="0.25">
      <c r="A699" t="s">
        <v>180</v>
      </c>
      <c r="B699">
        <v>3</v>
      </c>
      <c r="C699">
        <v>2025</v>
      </c>
      <c r="D699" t="s">
        <v>106</v>
      </c>
      <c r="E699" t="s">
        <v>107</v>
      </c>
      <c r="F699">
        <v>79</v>
      </c>
      <c r="G699">
        <v>23126.97</v>
      </c>
      <c r="H699">
        <v>181</v>
      </c>
      <c r="I699">
        <v>0.410281983860731</v>
      </c>
      <c r="J699">
        <v>51849.23</v>
      </c>
      <c r="K699">
        <v>0.42015971824878301</v>
      </c>
      <c r="L699">
        <v>130</v>
      </c>
      <c r="M699">
        <v>0.58935533593254197</v>
      </c>
      <c r="N699">
        <v>288.37</v>
      </c>
      <c r="O699">
        <v>37488.1</v>
      </c>
      <c r="P699">
        <v>0.60756888852229396</v>
      </c>
      <c r="Q699">
        <v>51</v>
      </c>
      <c r="R699">
        <v>0.23120863178892001</v>
      </c>
      <c r="S699">
        <v>281.59078431372501</v>
      </c>
      <c r="T699">
        <v>14361.13</v>
      </c>
      <c r="U699">
        <v>0.23275054767153799</v>
      </c>
      <c r="V699">
        <v>5</v>
      </c>
      <c r="W699">
        <v>0.70028011204481799</v>
      </c>
    </row>
    <row r="700" spans="1:23" hidden="1" x14ac:dyDescent="0.25">
      <c r="A700" t="s">
        <v>180</v>
      </c>
      <c r="B700">
        <v>3</v>
      </c>
      <c r="C700">
        <v>2025</v>
      </c>
      <c r="D700" t="s">
        <v>110</v>
      </c>
      <c r="E700" t="s">
        <v>111</v>
      </c>
      <c r="F700">
        <v>32</v>
      </c>
      <c r="G700">
        <v>8932.1299999999992</v>
      </c>
      <c r="H700">
        <v>54</v>
      </c>
      <c r="I700">
        <v>0.122404569770605</v>
      </c>
      <c r="J700">
        <v>15163.63</v>
      </c>
      <c r="K700">
        <v>0.122878324488691</v>
      </c>
      <c r="L700">
        <v>43</v>
      </c>
      <c r="M700">
        <v>0.19494061111614799</v>
      </c>
      <c r="N700">
        <v>280.183255813953</v>
      </c>
      <c r="O700">
        <v>12047.88</v>
      </c>
      <c r="P700">
        <v>0.19525975071155899</v>
      </c>
      <c r="Q700">
        <v>11</v>
      </c>
      <c r="R700">
        <v>4.9868528425061197E-2</v>
      </c>
      <c r="S700">
        <v>283.25</v>
      </c>
      <c r="T700">
        <v>3115.75</v>
      </c>
      <c r="U700">
        <v>5.0496898148515698E-2</v>
      </c>
      <c r="V700">
        <v>8</v>
      </c>
      <c r="W700">
        <v>1.12044817927171</v>
      </c>
    </row>
    <row r="701" spans="1:23" hidden="1" x14ac:dyDescent="0.25">
      <c r="A701" t="s">
        <v>180</v>
      </c>
      <c r="B701">
        <v>3</v>
      </c>
      <c r="C701">
        <v>2025</v>
      </c>
      <c r="D701" t="s">
        <v>112</v>
      </c>
      <c r="E701" t="s">
        <v>113</v>
      </c>
      <c r="F701">
        <v>-2</v>
      </c>
      <c r="G701">
        <v>-580.36</v>
      </c>
      <c r="H701">
        <v>8</v>
      </c>
      <c r="I701">
        <v>1.8134010336385901E-2</v>
      </c>
      <c r="J701">
        <v>2239.3200000000002</v>
      </c>
      <c r="K701">
        <v>1.8146307288823101E-2</v>
      </c>
      <c r="L701">
        <v>3</v>
      </c>
      <c r="M701">
        <v>1.36005077522894E-2</v>
      </c>
      <c r="N701">
        <v>276.493333333333</v>
      </c>
      <c r="O701">
        <v>829.48</v>
      </c>
      <c r="P701">
        <v>1.3443365805454899E-2</v>
      </c>
      <c r="Q701">
        <v>5</v>
      </c>
      <c r="R701">
        <v>2.2667512920482399E-2</v>
      </c>
      <c r="S701">
        <v>281.96800000000002</v>
      </c>
      <c r="T701">
        <v>1409.84</v>
      </c>
      <c r="U701">
        <v>2.28492487798133E-2</v>
      </c>
      <c r="V701">
        <v>4</v>
      </c>
      <c r="W701">
        <v>0.56022408963585402</v>
      </c>
    </row>
    <row r="702" spans="1:23" hidden="1" x14ac:dyDescent="0.25">
      <c r="A702" t="s">
        <v>180</v>
      </c>
      <c r="B702">
        <v>3</v>
      </c>
      <c r="C702">
        <v>2025</v>
      </c>
      <c r="D702" t="s">
        <v>114</v>
      </c>
      <c r="E702" t="s">
        <v>115</v>
      </c>
      <c r="F702">
        <v>7</v>
      </c>
      <c r="G702">
        <v>1980.44</v>
      </c>
      <c r="H702">
        <v>7</v>
      </c>
      <c r="I702">
        <v>1.5867259044337698E-2</v>
      </c>
      <c r="J702">
        <v>1980.44</v>
      </c>
      <c r="K702">
        <v>1.60484757904528E-2</v>
      </c>
      <c r="L702">
        <v>7</v>
      </c>
      <c r="M702">
        <v>3.1734518088675299E-2</v>
      </c>
      <c r="N702">
        <v>282.92</v>
      </c>
      <c r="O702">
        <v>1980.44</v>
      </c>
      <c r="P702">
        <v>3.2096951554895899E-2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1</v>
      </c>
      <c r="W702">
        <v>0.140056022408964</v>
      </c>
    </row>
    <row r="703" spans="1:23" hidden="1" x14ac:dyDescent="0.25">
      <c r="A703" t="s">
        <v>180</v>
      </c>
      <c r="B703">
        <v>3</v>
      </c>
      <c r="C703">
        <v>2025</v>
      </c>
      <c r="D703" t="s">
        <v>116</v>
      </c>
      <c r="E703" t="s">
        <v>117</v>
      </c>
      <c r="F703">
        <v>-2980</v>
      </c>
      <c r="G703">
        <v>-873353.53</v>
      </c>
      <c r="H703">
        <v>5852</v>
      </c>
      <c r="I703">
        <v>13.2650285610663</v>
      </c>
      <c r="J703">
        <v>1663764.37</v>
      </c>
      <c r="K703">
        <v>13.482297980733</v>
      </c>
      <c r="L703">
        <v>1436</v>
      </c>
      <c r="M703">
        <v>6.5101097107625296</v>
      </c>
      <c r="N703">
        <v>275.212688022284</v>
      </c>
      <c r="O703">
        <v>395205.42</v>
      </c>
      <c r="P703">
        <v>6.4050863545334797</v>
      </c>
      <c r="Q703">
        <v>4416</v>
      </c>
      <c r="R703">
        <v>20.019947411370001</v>
      </c>
      <c r="S703">
        <v>287.26425498188399</v>
      </c>
      <c r="T703">
        <v>1268558.95</v>
      </c>
      <c r="U703">
        <v>20.5595096184027</v>
      </c>
      <c r="V703">
        <v>36</v>
      </c>
      <c r="W703">
        <v>5.0420168067226898</v>
      </c>
    </row>
    <row r="704" spans="1:23" hidden="1" x14ac:dyDescent="0.25">
      <c r="A704" t="s">
        <v>180</v>
      </c>
      <c r="B704">
        <v>3</v>
      </c>
      <c r="C704">
        <v>2025</v>
      </c>
      <c r="D704" t="s">
        <v>118</v>
      </c>
      <c r="E704" t="s">
        <v>119</v>
      </c>
      <c r="F704">
        <v>2323</v>
      </c>
      <c r="G704">
        <v>647530.79</v>
      </c>
      <c r="H704">
        <v>2323</v>
      </c>
      <c r="I704">
        <v>5.2656632514280499</v>
      </c>
      <c r="J704">
        <v>647530.79</v>
      </c>
      <c r="K704">
        <v>5.2472592993919402</v>
      </c>
      <c r="L704">
        <v>2323</v>
      </c>
      <c r="M704">
        <v>10.5313265028561</v>
      </c>
      <c r="N704">
        <v>278.74764959104601</v>
      </c>
      <c r="O704">
        <v>647530.79</v>
      </c>
      <c r="P704">
        <v>10.4945185902797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28</v>
      </c>
      <c r="W704">
        <v>3.9215686274509798</v>
      </c>
    </row>
    <row r="705" spans="1:23" hidden="1" x14ac:dyDescent="0.25">
      <c r="A705" t="s">
        <v>180</v>
      </c>
      <c r="B705">
        <v>3</v>
      </c>
      <c r="C705">
        <v>2025</v>
      </c>
      <c r="D705" t="s">
        <v>120</v>
      </c>
      <c r="E705" t="s">
        <v>121</v>
      </c>
      <c r="F705">
        <v>430</v>
      </c>
      <c r="G705">
        <v>123312.04</v>
      </c>
      <c r="H705">
        <v>778</v>
      </c>
      <c r="I705">
        <v>1.76353250521353</v>
      </c>
      <c r="J705">
        <v>218180.76</v>
      </c>
      <c r="K705">
        <v>1.7680256128954099</v>
      </c>
      <c r="L705">
        <v>604</v>
      </c>
      <c r="M705">
        <v>2.7382355607942701</v>
      </c>
      <c r="N705">
        <v>282.69271523178799</v>
      </c>
      <c r="O705">
        <v>170746.4</v>
      </c>
      <c r="P705">
        <v>2.7672834970879601</v>
      </c>
      <c r="Q705">
        <v>174</v>
      </c>
      <c r="R705">
        <v>0.78882944963278601</v>
      </c>
      <c r="S705">
        <v>272.61126436781598</v>
      </c>
      <c r="T705">
        <v>47434.36</v>
      </c>
      <c r="U705">
        <v>0.76876772708337604</v>
      </c>
      <c r="V705">
        <v>11</v>
      </c>
      <c r="W705">
        <v>1.5406162464986</v>
      </c>
    </row>
    <row r="706" spans="1:23" hidden="1" x14ac:dyDescent="0.25">
      <c r="A706" t="s">
        <v>180</v>
      </c>
      <c r="B706">
        <v>3</v>
      </c>
      <c r="C706">
        <v>2025</v>
      </c>
      <c r="D706" t="s">
        <v>122</v>
      </c>
      <c r="E706" t="s">
        <v>123</v>
      </c>
      <c r="F706">
        <v>-95</v>
      </c>
      <c r="G706">
        <v>-20123.950000000201</v>
      </c>
      <c r="H706">
        <v>10541</v>
      </c>
      <c r="I706">
        <v>23.893825369480499</v>
      </c>
      <c r="J706">
        <v>2930756.79</v>
      </c>
      <c r="K706">
        <v>23.749358421371099</v>
      </c>
      <c r="L706">
        <v>5223</v>
      </c>
      <c r="M706">
        <v>23.678483996735899</v>
      </c>
      <c r="N706">
        <v>278.63611334482101</v>
      </c>
      <c r="O706">
        <v>1455316.42</v>
      </c>
      <c r="P706">
        <v>23.5862841741151</v>
      </c>
      <c r="Q706">
        <v>5318</v>
      </c>
      <c r="R706">
        <v>24.109166742225</v>
      </c>
      <c r="S706">
        <v>277.44271718691198</v>
      </c>
      <c r="T706">
        <v>1475440.37</v>
      </c>
      <c r="U706">
        <v>23.912432668891402</v>
      </c>
      <c r="V706">
        <v>118</v>
      </c>
      <c r="W706">
        <v>16.526610644257701</v>
      </c>
    </row>
    <row r="707" spans="1:23" hidden="1" x14ac:dyDescent="0.25">
      <c r="A707" t="s">
        <v>180</v>
      </c>
      <c r="B707">
        <v>3</v>
      </c>
      <c r="C707">
        <v>2025</v>
      </c>
      <c r="D707" t="s">
        <v>126</v>
      </c>
      <c r="E707" t="s">
        <v>127</v>
      </c>
      <c r="F707">
        <v>-3</v>
      </c>
      <c r="G707">
        <v>-849.96</v>
      </c>
      <c r="H707">
        <v>3</v>
      </c>
      <c r="I707">
        <v>6.8002538761447098E-3</v>
      </c>
      <c r="J707">
        <v>849.96</v>
      </c>
      <c r="K707">
        <v>6.8876423839415802E-3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3</v>
      </c>
      <c r="R707">
        <v>1.36005077522894E-2</v>
      </c>
      <c r="S707">
        <v>283.32</v>
      </c>
      <c r="T707">
        <v>849.96</v>
      </c>
      <c r="U707">
        <v>1.3775284779046E-2</v>
      </c>
      <c r="V707">
        <v>3</v>
      </c>
      <c r="W707">
        <v>0.42016806722689098</v>
      </c>
    </row>
    <row r="708" spans="1:23" hidden="1" x14ac:dyDescent="0.25">
      <c r="A708" t="s">
        <v>180</v>
      </c>
      <c r="B708">
        <v>3</v>
      </c>
      <c r="C708">
        <v>2025</v>
      </c>
      <c r="D708" t="s">
        <v>128</v>
      </c>
      <c r="E708" t="s">
        <v>129</v>
      </c>
      <c r="F708">
        <v>164</v>
      </c>
      <c r="G708">
        <v>46492.04</v>
      </c>
      <c r="H708">
        <v>236</v>
      </c>
      <c r="I708">
        <v>0.534953304923384</v>
      </c>
      <c r="J708">
        <v>66243.960000000006</v>
      </c>
      <c r="K708">
        <v>0.53680726925517797</v>
      </c>
      <c r="L708">
        <v>200</v>
      </c>
      <c r="M708">
        <v>0.90670051681929498</v>
      </c>
      <c r="N708">
        <v>281.83999999999997</v>
      </c>
      <c r="O708">
        <v>56368</v>
      </c>
      <c r="P708">
        <v>0.91355505102218304</v>
      </c>
      <c r="Q708">
        <v>36</v>
      </c>
      <c r="R708">
        <v>0.16320609302747299</v>
      </c>
      <c r="S708">
        <v>274.33222222222201</v>
      </c>
      <c r="T708">
        <v>9875.9599999999991</v>
      </c>
      <c r="U708">
        <v>0.16005948687757901</v>
      </c>
      <c r="V708">
        <v>4</v>
      </c>
      <c r="W708">
        <v>0.56022408963585402</v>
      </c>
    </row>
    <row r="709" spans="1:23" hidden="1" x14ac:dyDescent="0.25">
      <c r="A709" t="s">
        <v>180</v>
      </c>
      <c r="B709">
        <v>3</v>
      </c>
      <c r="C709">
        <v>2025</v>
      </c>
      <c r="D709" t="s">
        <v>130</v>
      </c>
      <c r="E709" t="s">
        <v>131</v>
      </c>
      <c r="F709">
        <v>-180</v>
      </c>
      <c r="G709">
        <v>-46344.480000000003</v>
      </c>
      <c r="H709">
        <v>576</v>
      </c>
      <c r="I709">
        <v>1.3056487442197799</v>
      </c>
      <c r="J709">
        <v>157586.20000000001</v>
      </c>
      <c r="K709">
        <v>1.27699820020271</v>
      </c>
      <c r="L709">
        <v>198</v>
      </c>
      <c r="M709">
        <v>0.89763351165110195</v>
      </c>
      <c r="N709">
        <v>280.91343434343401</v>
      </c>
      <c r="O709">
        <v>55620.86</v>
      </c>
      <c r="P709">
        <v>0.90144616795340704</v>
      </c>
      <c r="Q709">
        <v>378</v>
      </c>
      <c r="R709">
        <v>1.71366397678847</v>
      </c>
      <c r="S709">
        <v>269.74957671957702</v>
      </c>
      <c r="T709">
        <v>101965.34</v>
      </c>
      <c r="U709">
        <v>1.6525502330606701</v>
      </c>
      <c r="V709">
        <v>14</v>
      </c>
      <c r="W709">
        <v>1.9607843137254899</v>
      </c>
    </row>
    <row r="710" spans="1:23" hidden="1" x14ac:dyDescent="0.25">
      <c r="A710" t="s">
        <v>180</v>
      </c>
      <c r="B710">
        <v>3</v>
      </c>
      <c r="C710">
        <v>2025</v>
      </c>
      <c r="D710" t="s">
        <v>138</v>
      </c>
      <c r="E710" t="s">
        <v>139</v>
      </c>
      <c r="F710">
        <v>-150</v>
      </c>
      <c r="G710">
        <v>-40911</v>
      </c>
      <c r="H710">
        <v>150</v>
      </c>
      <c r="I710">
        <v>0.34001269380723498</v>
      </c>
      <c r="J710">
        <v>40911</v>
      </c>
      <c r="K710">
        <v>0.33152188052312298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150</v>
      </c>
      <c r="R710">
        <v>0.68002538761447096</v>
      </c>
      <c r="S710">
        <v>272.74</v>
      </c>
      <c r="T710">
        <v>40911</v>
      </c>
      <c r="U710">
        <v>0.66304376158354394</v>
      </c>
      <c r="V710">
        <v>1</v>
      </c>
      <c r="W710">
        <v>0.140056022408964</v>
      </c>
    </row>
    <row r="711" spans="1:23" hidden="1" x14ac:dyDescent="0.25">
      <c r="A711" t="s">
        <v>180</v>
      </c>
      <c r="B711">
        <v>3</v>
      </c>
      <c r="C711">
        <v>2025</v>
      </c>
      <c r="D711" t="s">
        <v>142</v>
      </c>
      <c r="E711" t="s">
        <v>143</v>
      </c>
      <c r="F711">
        <v>2037</v>
      </c>
      <c r="G711">
        <v>555883.93999999994</v>
      </c>
      <c r="H711">
        <v>3573</v>
      </c>
      <c r="I711">
        <v>8.0991023664883492</v>
      </c>
      <c r="J711">
        <v>979439.74</v>
      </c>
      <c r="K711">
        <v>7.93688016582042</v>
      </c>
      <c r="L711">
        <v>2805</v>
      </c>
      <c r="M711">
        <v>12.716474748390601</v>
      </c>
      <c r="N711">
        <v>273.67623529411799</v>
      </c>
      <c r="O711">
        <v>767661.84</v>
      </c>
      <c r="P711">
        <v>12.4414801200856</v>
      </c>
      <c r="Q711">
        <v>768</v>
      </c>
      <c r="R711">
        <v>3.4817299845860901</v>
      </c>
      <c r="S711">
        <v>275.75247395833298</v>
      </c>
      <c r="T711">
        <v>211777.9</v>
      </c>
      <c r="U711">
        <v>3.43228020425469</v>
      </c>
      <c r="V711">
        <v>103</v>
      </c>
      <c r="W711">
        <v>14.4257703081232</v>
      </c>
    </row>
    <row r="712" spans="1:23" hidden="1" x14ac:dyDescent="0.25">
      <c r="A712" t="s">
        <v>180</v>
      </c>
      <c r="B712">
        <v>3</v>
      </c>
      <c r="C712">
        <v>2025</v>
      </c>
      <c r="D712" t="s">
        <v>146</v>
      </c>
      <c r="E712" t="s">
        <v>147</v>
      </c>
      <c r="F712">
        <v>-119</v>
      </c>
      <c r="G712">
        <v>-33386.22</v>
      </c>
      <c r="H712">
        <v>561</v>
      </c>
      <c r="I712">
        <v>1.27164747483906</v>
      </c>
      <c r="J712">
        <v>155941.5</v>
      </c>
      <c r="K712">
        <v>1.2636703901541599</v>
      </c>
      <c r="L712">
        <v>221</v>
      </c>
      <c r="M712">
        <v>1.00190407108532</v>
      </c>
      <c r="N712">
        <v>277.27438914027101</v>
      </c>
      <c r="O712">
        <v>61277.64</v>
      </c>
      <c r="P712">
        <v>0.99312548851686999</v>
      </c>
      <c r="Q712">
        <v>340</v>
      </c>
      <c r="R712">
        <v>1.5413908785928001</v>
      </c>
      <c r="S712">
        <v>278.42311764705897</v>
      </c>
      <c r="T712">
        <v>94663.86</v>
      </c>
      <c r="U712">
        <v>1.5342152922299099</v>
      </c>
      <c r="V712">
        <v>26</v>
      </c>
      <c r="W712">
        <v>3.6414565826330501</v>
      </c>
    </row>
    <row r="713" spans="1:23" x14ac:dyDescent="0.25">
      <c r="A713" t="s">
        <v>180</v>
      </c>
      <c r="B713">
        <v>3</v>
      </c>
      <c r="C713">
        <v>2025</v>
      </c>
      <c r="D713" t="s">
        <v>148</v>
      </c>
      <c r="E713" t="s">
        <v>148</v>
      </c>
      <c r="F713">
        <v>0</v>
      </c>
      <c r="G713">
        <v>9.9999998174098402E-3</v>
      </c>
      <c r="H713">
        <v>44116</v>
      </c>
      <c r="I713">
        <v>0</v>
      </c>
      <c r="J713">
        <v>12340361.949999999</v>
      </c>
      <c r="K713">
        <v>0</v>
      </c>
      <c r="L713">
        <v>22058</v>
      </c>
      <c r="M713">
        <v>100</v>
      </c>
      <c r="N713">
        <v>280.58626839699002</v>
      </c>
      <c r="O713">
        <v>6170180.9800000004</v>
      </c>
      <c r="P713">
        <v>100</v>
      </c>
      <c r="Q713">
        <v>22058</v>
      </c>
      <c r="R713">
        <v>100</v>
      </c>
      <c r="S713">
        <v>277.43452435432602</v>
      </c>
      <c r="T713">
        <v>6170180.9699999997</v>
      </c>
      <c r="U713">
        <v>100</v>
      </c>
      <c r="V713">
        <v>714</v>
      </c>
      <c r="W713">
        <v>100</v>
      </c>
    </row>
    <row r="714" spans="1:23" hidden="1" x14ac:dyDescent="0.25">
      <c r="A714" t="s">
        <v>180</v>
      </c>
      <c r="B714">
        <v>3</v>
      </c>
      <c r="C714">
        <v>2025</v>
      </c>
      <c r="D714" t="s">
        <v>149</v>
      </c>
      <c r="E714" t="s">
        <v>150</v>
      </c>
      <c r="F714">
        <v>3019</v>
      </c>
      <c r="G714">
        <v>847144.69</v>
      </c>
      <c r="H714">
        <v>3755</v>
      </c>
      <c r="I714">
        <v>8.5116511016411298</v>
      </c>
      <c r="J714">
        <v>1051330.47</v>
      </c>
      <c r="K714">
        <v>8.5194459794593005</v>
      </c>
      <c r="L714">
        <v>3387</v>
      </c>
      <c r="M714">
        <v>15.354973252334799</v>
      </c>
      <c r="N714">
        <v>280.25910245054598</v>
      </c>
      <c r="O714">
        <v>949237.58</v>
      </c>
      <c r="P714">
        <v>15.3842745144244</v>
      </c>
      <c r="Q714">
        <v>368</v>
      </c>
      <c r="R714">
        <v>1.6683289509474999</v>
      </c>
      <c r="S714">
        <v>277.42633152173897</v>
      </c>
      <c r="T714">
        <v>102092.89</v>
      </c>
      <c r="U714">
        <v>1.6546174333684101</v>
      </c>
      <c r="V714">
        <v>62</v>
      </c>
      <c r="W714">
        <v>8.6834733893557399</v>
      </c>
    </row>
    <row r="715" spans="1:23" hidden="1" x14ac:dyDescent="0.25">
      <c r="A715" t="s">
        <v>180</v>
      </c>
      <c r="B715">
        <v>3</v>
      </c>
      <c r="C715">
        <v>2025</v>
      </c>
      <c r="D715" t="s">
        <v>153</v>
      </c>
      <c r="E715" t="s">
        <v>154</v>
      </c>
      <c r="F715">
        <v>50</v>
      </c>
      <c r="G715">
        <v>14094.37</v>
      </c>
      <c r="H715">
        <v>50</v>
      </c>
      <c r="I715">
        <v>0.113337564602412</v>
      </c>
      <c r="J715">
        <v>14094.37</v>
      </c>
      <c r="K715">
        <v>0.114213586741676</v>
      </c>
      <c r="L715">
        <v>50</v>
      </c>
      <c r="M715">
        <v>0.22667512920482399</v>
      </c>
      <c r="N715">
        <v>281.88740000000001</v>
      </c>
      <c r="O715">
        <v>14094.37</v>
      </c>
      <c r="P715">
        <v>0.22842717329824599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6</v>
      </c>
      <c r="W715">
        <v>0.84033613445378197</v>
      </c>
    </row>
    <row r="716" spans="1:23" hidden="1" x14ac:dyDescent="0.25">
      <c r="A716" t="s">
        <v>180</v>
      </c>
      <c r="B716">
        <v>4</v>
      </c>
      <c r="C716">
        <v>2025</v>
      </c>
      <c r="D716" t="s">
        <v>88</v>
      </c>
      <c r="E716" t="s">
        <v>89</v>
      </c>
      <c r="F716">
        <v>1145</v>
      </c>
      <c r="G716">
        <v>335763.86</v>
      </c>
      <c r="H716">
        <v>1145</v>
      </c>
      <c r="I716">
        <v>2.4234855860813602</v>
      </c>
      <c r="J716">
        <v>335763.86</v>
      </c>
      <c r="K716">
        <v>2.4436162198998801</v>
      </c>
      <c r="L716">
        <v>1145</v>
      </c>
      <c r="M716">
        <v>4.8469711721627204</v>
      </c>
      <c r="N716">
        <v>293.24354585152798</v>
      </c>
      <c r="O716">
        <v>335763.86</v>
      </c>
      <c r="P716">
        <v>4.8872324397997504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21</v>
      </c>
      <c r="W716">
        <v>2.1739130434782599</v>
      </c>
    </row>
    <row r="717" spans="1:23" hidden="1" x14ac:dyDescent="0.25">
      <c r="A717" t="s">
        <v>180</v>
      </c>
      <c r="B717">
        <v>4</v>
      </c>
      <c r="C717">
        <v>2025</v>
      </c>
      <c r="D717" t="s">
        <v>90</v>
      </c>
      <c r="E717" t="s">
        <v>91</v>
      </c>
      <c r="F717">
        <v>98</v>
      </c>
      <c r="G717">
        <v>28528.98</v>
      </c>
      <c r="H717">
        <v>314</v>
      </c>
      <c r="I717">
        <v>0.664606527536723</v>
      </c>
      <c r="J717">
        <v>91299.5</v>
      </c>
      <c r="K717">
        <v>0.66445786949420005</v>
      </c>
      <c r="L717">
        <v>206</v>
      </c>
      <c r="M717">
        <v>0.87203149472971297</v>
      </c>
      <c r="N717">
        <v>290.84582524271798</v>
      </c>
      <c r="O717">
        <v>59914.239999999998</v>
      </c>
      <c r="P717">
        <v>0.87208557029916101</v>
      </c>
      <c r="Q717">
        <v>108</v>
      </c>
      <c r="R717">
        <v>0.45718156034373297</v>
      </c>
      <c r="S717">
        <v>290.60425925925898</v>
      </c>
      <c r="T717">
        <v>31385.26</v>
      </c>
      <c r="U717">
        <v>0.45683016868923698</v>
      </c>
      <c r="V717">
        <v>24</v>
      </c>
      <c r="W717">
        <v>2.4844720496894399</v>
      </c>
    </row>
    <row r="718" spans="1:23" hidden="1" x14ac:dyDescent="0.25">
      <c r="A718" t="s">
        <v>180</v>
      </c>
      <c r="B718">
        <v>4</v>
      </c>
      <c r="C718">
        <v>2025</v>
      </c>
      <c r="D718" t="s">
        <v>94</v>
      </c>
      <c r="E718" t="s">
        <v>95</v>
      </c>
      <c r="F718">
        <v>-5918</v>
      </c>
      <c r="G718">
        <v>-1744935.03</v>
      </c>
      <c r="H718">
        <v>11258</v>
      </c>
      <c r="I718">
        <v>23.8284722516192</v>
      </c>
      <c r="J718">
        <v>3273223.11</v>
      </c>
      <c r="K718">
        <v>23.821804654459001</v>
      </c>
      <c r="L718">
        <v>2670</v>
      </c>
      <c r="M718">
        <v>11.302544130720101</v>
      </c>
      <c r="N718">
        <v>286.196269662921</v>
      </c>
      <c r="O718">
        <v>764144.04</v>
      </c>
      <c r="P718">
        <v>11.1225476767143</v>
      </c>
      <c r="Q718">
        <v>8588</v>
      </c>
      <c r="R718">
        <v>36.354400372518299</v>
      </c>
      <c r="S718">
        <v>292.16104680950201</v>
      </c>
      <c r="T718">
        <v>2509079.0699999998</v>
      </c>
      <c r="U718">
        <v>36.521061632203597</v>
      </c>
      <c r="V718">
        <v>210</v>
      </c>
      <c r="W718">
        <v>21.739130434782599</v>
      </c>
    </row>
    <row r="719" spans="1:23" hidden="1" x14ac:dyDescent="0.25">
      <c r="A719" t="s">
        <v>180</v>
      </c>
      <c r="B719">
        <v>4</v>
      </c>
      <c r="C719">
        <v>2025</v>
      </c>
      <c r="D719" t="s">
        <v>102</v>
      </c>
      <c r="E719" t="s">
        <v>103</v>
      </c>
      <c r="F719">
        <v>770</v>
      </c>
      <c r="G719">
        <v>223162.19</v>
      </c>
      <c r="H719">
        <v>878</v>
      </c>
      <c r="I719">
        <v>1.85835837954536</v>
      </c>
      <c r="J719">
        <v>254782.39</v>
      </c>
      <c r="K719">
        <v>1.8542507247470199</v>
      </c>
      <c r="L719">
        <v>824</v>
      </c>
      <c r="M719">
        <v>3.4881259789188501</v>
      </c>
      <c r="N719">
        <v>290.01491504854403</v>
      </c>
      <c r="O719">
        <v>238972.29</v>
      </c>
      <c r="P719">
        <v>3.47837652301601</v>
      </c>
      <c r="Q719">
        <v>54</v>
      </c>
      <c r="R719">
        <v>0.22859078017186599</v>
      </c>
      <c r="S719">
        <v>292.77962962962999</v>
      </c>
      <c r="T719">
        <v>15810.1</v>
      </c>
      <c r="U719">
        <v>0.23012492647802499</v>
      </c>
      <c r="V719">
        <v>60</v>
      </c>
      <c r="W719">
        <v>6.2111801242236</v>
      </c>
    </row>
    <row r="720" spans="1:23" hidden="1" x14ac:dyDescent="0.25">
      <c r="A720" t="s">
        <v>180</v>
      </c>
      <c r="B720">
        <v>4</v>
      </c>
      <c r="C720">
        <v>2025</v>
      </c>
      <c r="D720" t="s">
        <v>104</v>
      </c>
      <c r="E720" t="s">
        <v>105</v>
      </c>
      <c r="F720">
        <v>932</v>
      </c>
      <c r="G720">
        <v>277551.51</v>
      </c>
      <c r="H720">
        <v>1122</v>
      </c>
      <c r="I720">
        <v>2.3748042162299501</v>
      </c>
      <c r="J720">
        <v>332095.09000000003</v>
      </c>
      <c r="K720">
        <v>2.4169157111581598</v>
      </c>
      <c r="L720">
        <v>1027</v>
      </c>
      <c r="M720">
        <v>4.3474579858612401</v>
      </c>
      <c r="N720">
        <v>296.80944498539401</v>
      </c>
      <c r="O720">
        <v>304823.3</v>
      </c>
      <c r="P720">
        <v>4.4368751305361203</v>
      </c>
      <c r="Q720">
        <v>95</v>
      </c>
      <c r="R720">
        <v>0.40215044659865401</v>
      </c>
      <c r="S720">
        <v>287.07147368421101</v>
      </c>
      <c r="T720">
        <v>27271.79</v>
      </c>
      <c r="U720">
        <v>0.39695629178020098</v>
      </c>
      <c r="V720">
        <v>35</v>
      </c>
      <c r="W720">
        <v>3.6231884057971002</v>
      </c>
    </row>
    <row r="721" spans="1:23" hidden="1" x14ac:dyDescent="0.25">
      <c r="A721" t="s">
        <v>180</v>
      </c>
      <c r="B721">
        <v>4</v>
      </c>
      <c r="C721">
        <v>2025</v>
      </c>
      <c r="D721" t="s">
        <v>106</v>
      </c>
      <c r="E721" t="s">
        <v>107</v>
      </c>
      <c r="F721">
        <v>-248</v>
      </c>
      <c r="G721">
        <v>-69946.55</v>
      </c>
      <c r="H721">
        <v>258</v>
      </c>
      <c r="I721">
        <v>0.54607797485501397</v>
      </c>
      <c r="J721">
        <v>72794.05</v>
      </c>
      <c r="K721">
        <v>0.52977923619356304</v>
      </c>
      <c r="L721">
        <v>5</v>
      </c>
      <c r="M721">
        <v>2.11658129788765E-2</v>
      </c>
      <c r="N721">
        <v>284.75</v>
      </c>
      <c r="O721">
        <v>1423.75</v>
      </c>
      <c r="P721">
        <v>2.07234846125634E-2</v>
      </c>
      <c r="Q721">
        <v>253</v>
      </c>
      <c r="R721">
        <v>1.0709901367311501</v>
      </c>
      <c r="S721">
        <v>282.09604743083003</v>
      </c>
      <c r="T721">
        <v>71370.3</v>
      </c>
      <c r="U721">
        <v>1.03883498777456</v>
      </c>
      <c r="V721">
        <v>6</v>
      </c>
      <c r="W721">
        <v>0.62111801242235998</v>
      </c>
    </row>
    <row r="722" spans="1:23" hidden="1" x14ac:dyDescent="0.25">
      <c r="A722" t="s">
        <v>180</v>
      </c>
      <c r="B722">
        <v>4</v>
      </c>
      <c r="C722">
        <v>2025</v>
      </c>
      <c r="D722" t="s">
        <v>110</v>
      </c>
      <c r="E722" t="s">
        <v>111</v>
      </c>
      <c r="F722">
        <v>-128</v>
      </c>
      <c r="G722">
        <v>-37901.620000000003</v>
      </c>
      <c r="H722">
        <v>132</v>
      </c>
      <c r="I722">
        <v>0.27938873132116998</v>
      </c>
      <c r="J722">
        <v>39064.379999999997</v>
      </c>
      <c r="K722">
        <v>0.28430204664770198</v>
      </c>
      <c r="L722">
        <v>2</v>
      </c>
      <c r="M722">
        <v>8.4663251915506107E-3</v>
      </c>
      <c r="N722">
        <v>290.69</v>
      </c>
      <c r="O722">
        <v>581.38</v>
      </c>
      <c r="P722">
        <v>8.4623139484123703E-3</v>
      </c>
      <c r="Q722">
        <v>130</v>
      </c>
      <c r="R722">
        <v>0.55031113745078997</v>
      </c>
      <c r="S722">
        <v>296.02307692307699</v>
      </c>
      <c r="T722">
        <v>38483</v>
      </c>
      <c r="U722">
        <v>0.56014177934699005</v>
      </c>
      <c r="V722">
        <v>8</v>
      </c>
      <c r="W722">
        <v>0.82815734989648004</v>
      </c>
    </row>
    <row r="723" spans="1:23" hidden="1" x14ac:dyDescent="0.25">
      <c r="A723" t="s">
        <v>180</v>
      </c>
      <c r="B723">
        <v>4</v>
      </c>
      <c r="C723">
        <v>2025</v>
      </c>
      <c r="D723" t="s">
        <v>114</v>
      </c>
      <c r="E723" t="s">
        <v>115</v>
      </c>
      <c r="F723">
        <v>14</v>
      </c>
      <c r="G723">
        <v>4098.3599999999997</v>
      </c>
      <c r="H723">
        <v>14</v>
      </c>
      <c r="I723">
        <v>2.9632138170427098E-2</v>
      </c>
      <c r="J723">
        <v>4098.3599999999997</v>
      </c>
      <c r="K723">
        <v>2.9826971166547998E-2</v>
      </c>
      <c r="L723">
        <v>14</v>
      </c>
      <c r="M723">
        <v>5.9264276340854301E-2</v>
      </c>
      <c r="N723">
        <v>292.74</v>
      </c>
      <c r="O723">
        <v>4098.3599999999997</v>
      </c>
      <c r="P723">
        <v>5.9653942333095997E-2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2</v>
      </c>
      <c r="W723">
        <v>0.20703933747412001</v>
      </c>
    </row>
    <row r="724" spans="1:23" hidden="1" x14ac:dyDescent="0.25">
      <c r="A724" t="s">
        <v>180</v>
      </c>
      <c r="B724">
        <v>4</v>
      </c>
      <c r="C724">
        <v>2025</v>
      </c>
      <c r="D724" t="s">
        <v>116</v>
      </c>
      <c r="E724" t="s">
        <v>117</v>
      </c>
      <c r="F724">
        <v>268</v>
      </c>
      <c r="G724">
        <v>80846.070000000007</v>
      </c>
      <c r="H724">
        <v>1476</v>
      </c>
      <c r="I724">
        <v>3.1240739956821701</v>
      </c>
      <c r="J724">
        <v>427045.43</v>
      </c>
      <c r="K724">
        <v>3.1079435987605</v>
      </c>
      <c r="L724">
        <v>872</v>
      </c>
      <c r="M724">
        <v>3.6913177835160602</v>
      </c>
      <c r="N724">
        <v>291.22219036697197</v>
      </c>
      <c r="O724">
        <v>253945.75</v>
      </c>
      <c r="P724">
        <v>3.6963236822130798</v>
      </c>
      <c r="Q724">
        <v>604</v>
      </c>
      <c r="R724">
        <v>2.5568302078482801</v>
      </c>
      <c r="S724">
        <v>286.588874172185</v>
      </c>
      <c r="T724">
        <v>173099.68</v>
      </c>
      <c r="U724">
        <v>2.5195635153079201</v>
      </c>
      <c r="V724">
        <v>18</v>
      </c>
      <c r="W724">
        <v>1.86335403726708</v>
      </c>
    </row>
    <row r="725" spans="1:23" hidden="1" x14ac:dyDescent="0.25">
      <c r="A725" t="s">
        <v>180</v>
      </c>
      <c r="B725">
        <v>4</v>
      </c>
      <c r="C725">
        <v>2025</v>
      </c>
      <c r="D725" t="s">
        <v>118</v>
      </c>
      <c r="E725" t="s">
        <v>119</v>
      </c>
      <c r="F725">
        <v>4692</v>
      </c>
      <c r="G725">
        <v>1366934.58</v>
      </c>
      <c r="H725">
        <v>4880</v>
      </c>
      <c r="I725">
        <v>10.328916733691701</v>
      </c>
      <c r="J725">
        <v>1421118.06</v>
      </c>
      <c r="K725">
        <v>10.342587620384901</v>
      </c>
      <c r="L725">
        <v>4786</v>
      </c>
      <c r="M725">
        <v>20.2599161833806</v>
      </c>
      <c r="N725">
        <v>291.27169243627202</v>
      </c>
      <c r="O725">
        <v>1394026.32</v>
      </c>
      <c r="P725">
        <v>20.290839678334301</v>
      </c>
      <c r="Q725">
        <v>94</v>
      </c>
      <c r="R725">
        <v>0.39791728400287901</v>
      </c>
      <c r="S725">
        <v>288.20999999999998</v>
      </c>
      <c r="T725">
        <v>27091.74</v>
      </c>
      <c r="U725">
        <v>0.39433556243551798</v>
      </c>
      <c r="V725">
        <v>48</v>
      </c>
      <c r="W725">
        <v>4.9689440993788798</v>
      </c>
    </row>
    <row r="726" spans="1:23" hidden="1" x14ac:dyDescent="0.25">
      <c r="A726" t="s">
        <v>180</v>
      </c>
      <c r="B726">
        <v>4</v>
      </c>
      <c r="C726">
        <v>2025</v>
      </c>
      <c r="D726" t="s">
        <v>120</v>
      </c>
      <c r="E726" t="s">
        <v>121</v>
      </c>
      <c r="F726">
        <v>-2</v>
      </c>
      <c r="G726">
        <v>-578.46</v>
      </c>
      <c r="H726">
        <v>2</v>
      </c>
      <c r="I726">
        <v>4.2331625957753001E-3</v>
      </c>
      <c r="J726">
        <v>578.46</v>
      </c>
      <c r="K726">
        <v>4.2099058503892702E-3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2</v>
      </c>
      <c r="R726">
        <v>8.4663251915506107E-3</v>
      </c>
      <c r="S726">
        <v>289.23</v>
      </c>
      <c r="T726">
        <v>578.46</v>
      </c>
      <c r="U726">
        <v>8.41981170077853E-3</v>
      </c>
      <c r="V726">
        <v>2</v>
      </c>
      <c r="W726">
        <v>0.20703933747412001</v>
      </c>
    </row>
    <row r="727" spans="1:23" hidden="1" x14ac:dyDescent="0.25">
      <c r="A727" t="s">
        <v>180</v>
      </c>
      <c r="B727">
        <v>4</v>
      </c>
      <c r="C727">
        <v>2025</v>
      </c>
      <c r="D727" t="s">
        <v>122</v>
      </c>
      <c r="E727" t="s">
        <v>123</v>
      </c>
      <c r="F727">
        <v>-2284</v>
      </c>
      <c r="G727">
        <v>-681490.89</v>
      </c>
      <c r="H727">
        <v>12676</v>
      </c>
      <c r="I727">
        <v>26.829784532023901</v>
      </c>
      <c r="J727">
        <v>3692532.67</v>
      </c>
      <c r="K727">
        <v>26.8734482767806</v>
      </c>
      <c r="L727">
        <v>5196</v>
      </c>
      <c r="M727">
        <v>21.995512847648499</v>
      </c>
      <c r="N727">
        <v>289.74612971516501</v>
      </c>
      <c r="O727">
        <v>1505520.89</v>
      </c>
      <c r="P727">
        <v>21.9137060564058</v>
      </c>
      <c r="Q727">
        <v>7480</v>
      </c>
      <c r="R727">
        <v>31.664056216399299</v>
      </c>
      <c r="S727">
        <v>292.38125401069499</v>
      </c>
      <c r="T727">
        <v>2187011.7799999998</v>
      </c>
      <c r="U727">
        <v>31.8331904971553</v>
      </c>
      <c r="V727">
        <v>229</v>
      </c>
      <c r="W727">
        <v>23.7060041407867</v>
      </c>
    </row>
    <row r="728" spans="1:23" hidden="1" x14ac:dyDescent="0.25">
      <c r="A728" t="s">
        <v>180</v>
      </c>
      <c r="B728">
        <v>4</v>
      </c>
      <c r="C728">
        <v>2025</v>
      </c>
      <c r="D728" t="s">
        <v>124</v>
      </c>
      <c r="E728" t="s">
        <v>125</v>
      </c>
      <c r="F728">
        <v>-670</v>
      </c>
      <c r="G728">
        <v>-190207.45</v>
      </c>
      <c r="H728">
        <v>670</v>
      </c>
      <c r="I728">
        <v>1.4181094695847301</v>
      </c>
      <c r="J728">
        <v>190207.45</v>
      </c>
      <c r="K728">
        <v>1.3842883804284201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670</v>
      </c>
      <c r="R728">
        <v>2.8362189391694499</v>
      </c>
      <c r="S728">
        <v>283.89171641791</v>
      </c>
      <c r="T728">
        <v>190207.45</v>
      </c>
      <c r="U728">
        <v>2.7685767608568401</v>
      </c>
      <c r="V728">
        <v>12</v>
      </c>
      <c r="W728">
        <v>1.24223602484472</v>
      </c>
    </row>
    <row r="729" spans="1:23" hidden="1" x14ac:dyDescent="0.25">
      <c r="A729" t="s">
        <v>180</v>
      </c>
      <c r="B729">
        <v>4</v>
      </c>
      <c r="C729">
        <v>2025</v>
      </c>
      <c r="D729" t="s">
        <v>130</v>
      </c>
      <c r="E729" t="s">
        <v>131</v>
      </c>
      <c r="F729">
        <v>-201</v>
      </c>
      <c r="G729">
        <v>-55739.57</v>
      </c>
      <c r="H729">
        <v>441</v>
      </c>
      <c r="I729">
        <v>0.93341235236845499</v>
      </c>
      <c r="J729">
        <v>126081.33</v>
      </c>
      <c r="K729">
        <v>0.91759245028499803</v>
      </c>
      <c r="L729">
        <v>120</v>
      </c>
      <c r="M729">
        <v>0.507979511493036</v>
      </c>
      <c r="N729">
        <v>293.090666666667</v>
      </c>
      <c r="O729">
        <v>35170.879999999997</v>
      </c>
      <c r="P729">
        <v>0.51193200385623505</v>
      </c>
      <c r="Q729">
        <v>321</v>
      </c>
      <c r="R729">
        <v>1.3588451932438701</v>
      </c>
      <c r="S729">
        <v>283.210124610592</v>
      </c>
      <c r="T729">
        <v>90910.45</v>
      </c>
      <c r="U729">
        <v>1.32325289671376</v>
      </c>
      <c r="V729">
        <v>14</v>
      </c>
      <c r="W729">
        <v>1.4492753623188399</v>
      </c>
    </row>
    <row r="730" spans="1:23" hidden="1" x14ac:dyDescent="0.25">
      <c r="A730" t="s">
        <v>180</v>
      </c>
      <c r="B730">
        <v>4</v>
      </c>
      <c r="C730">
        <v>2025</v>
      </c>
      <c r="D730" t="s">
        <v>132</v>
      </c>
      <c r="E730" t="s">
        <v>133</v>
      </c>
      <c r="F730">
        <v>6</v>
      </c>
      <c r="G730">
        <v>1732.04</v>
      </c>
      <c r="H730">
        <v>6</v>
      </c>
      <c r="I730">
        <v>1.26994877873259E-2</v>
      </c>
      <c r="J730">
        <v>1732.04</v>
      </c>
      <c r="K730">
        <v>1.2605409758856699E-2</v>
      </c>
      <c r="L730">
        <v>6</v>
      </c>
      <c r="M730">
        <v>2.5398975574651799E-2</v>
      </c>
      <c r="N730">
        <v>288.67333333333301</v>
      </c>
      <c r="O730">
        <v>1732.04</v>
      </c>
      <c r="P730">
        <v>2.5210819517713302E-2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3</v>
      </c>
      <c r="W730">
        <v>0.31055900621117999</v>
      </c>
    </row>
    <row r="731" spans="1:23" hidden="1" x14ac:dyDescent="0.25">
      <c r="A731" t="s">
        <v>180</v>
      </c>
      <c r="B731">
        <v>4</v>
      </c>
      <c r="C731">
        <v>2025</v>
      </c>
      <c r="D731" t="s">
        <v>142</v>
      </c>
      <c r="E731" t="s">
        <v>143</v>
      </c>
      <c r="F731">
        <v>320</v>
      </c>
      <c r="G731">
        <v>99436.449999999793</v>
      </c>
      <c r="H731">
        <v>4464</v>
      </c>
      <c r="I731">
        <v>9.4484189137704799</v>
      </c>
      <c r="J731">
        <v>1299892.27</v>
      </c>
      <c r="K731">
        <v>9.4603327323389408</v>
      </c>
      <c r="L731">
        <v>2392</v>
      </c>
      <c r="M731">
        <v>10.125724929094501</v>
      </c>
      <c r="N731">
        <v>292.50182274247499</v>
      </c>
      <c r="O731">
        <v>699664.36</v>
      </c>
      <c r="P731">
        <v>10.184009551128399</v>
      </c>
      <c r="Q731">
        <v>2072</v>
      </c>
      <c r="R731">
        <v>8.7711128984464306</v>
      </c>
      <c r="S731">
        <v>289.68528474903502</v>
      </c>
      <c r="T731">
        <v>600227.91</v>
      </c>
      <c r="U731">
        <v>8.7366559135494999</v>
      </c>
      <c r="V731">
        <v>113</v>
      </c>
      <c r="W731">
        <v>11.6977225672878</v>
      </c>
    </row>
    <row r="732" spans="1:23" hidden="1" x14ac:dyDescent="0.25">
      <c r="A732" t="s">
        <v>180</v>
      </c>
      <c r="B732">
        <v>4</v>
      </c>
      <c r="C732">
        <v>2025</v>
      </c>
      <c r="D732" t="s">
        <v>146</v>
      </c>
      <c r="E732" t="s">
        <v>147</v>
      </c>
      <c r="F732">
        <v>-431</v>
      </c>
      <c r="G732">
        <v>-120923.8</v>
      </c>
      <c r="H732">
        <v>1215</v>
      </c>
      <c r="I732">
        <v>2.5716462769335</v>
      </c>
      <c r="J732">
        <v>349161.6</v>
      </c>
      <c r="K732">
        <v>2.54112205264197</v>
      </c>
      <c r="L732">
        <v>392</v>
      </c>
      <c r="M732">
        <v>1.65939973754392</v>
      </c>
      <c r="N732">
        <v>291.11964285714299</v>
      </c>
      <c r="O732">
        <v>114118.9</v>
      </c>
      <c r="P732">
        <v>1.66106498202119</v>
      </c>
      <c r="Q732">
        <v>823</v>
      </c>
      <c r="R732">
        <v>3.48389281632307</v>
      </c>
      <c r="S732">
        <v>285.59258809234501</v>
      </c>
      <c r="T732">
        <v>235042.7</v>
      </c>
      <c r="U732">
        <v>3.42117912326276</v>
      </c>
      <c r="V732">
        <v>21</v>
      </c>
      <c r="W732">
        <v>2.1739130434782599</v>
      </c>
    </row>
    <row r="733" spans="1:23" x14ac:dyDescent="0.25">
      <c r="A733" t="s">
        <v>180</v>
      </c>
      <c r="B733">
        <v>4</v>
      </c>
      <c r="C733">
        <v>2025</v>
      </c>
      <c r="D733" t="s">
        <v>148</v>
      </c>
      <c r="E733" t="s">
        <v>148</v>
      </c>
      <c r="F733">
        <v>0</v>
      </c>
      <c r="G733" s="4">
        <v>4.2109604692086598E-10</v>
      </c>
      <c r="H733">
        <v>47246</v>
      </c>
      <c r="I733">
        <v>0</v>
      </c>
      <c r="J733">
        <v>13740449.800000001</v>
      </c>
      <c r="K733">
        <v>0</v>
      </c>
      <c r="L733">
        <v>23623</v>
      </c>
      <c r="M733">
        <v>100</v>
      </c>
      <c r="N733">
        <v>291.11964285714299</v>
      </c>
      <c r="O733">
        <v>6870224.9000000004</v>
      </c>
      <c r="P733">
        <v>100</v>
      </c>
      <c r="Q733">
        <v>23623</v>
      </c>
      <c r="R733">
        <v>100</v>
      </c>
      <c r="S733">
        <v>287.07147368421101</v>
      </c>
      <c r="T733">
        <v>6870224.9000000004</v>
      </c>
      <c r="U733">
        <v>100</v>
      </c>
      <c r="V733">
        <v>966</v>
      </c>
      <c r="W733">
        <v>100</v>
      </c>
    </row>
    <row r="734" spans="1:23" hidden="1" x14ac:dyDescent="0.25">
      <c r="A734" t="s">
        <v>180</v>
      </c>
      <c r="B734">
        <v>4</v>
      </c>
      <c r="C734">
        <v>2025</v>
      </c>
      <c r="D734" t="s">
        <v>149</v>
      </c>
      <c r="E734" t="s">
        <v>150</v>
      </c>
      <c r="F734">
        <v>1640</v>
      </c>
      <c r="G734">
        <v>484408.61</v>
      </c>
      <c r="H734">
        <v>6268</v>
      </c>
      <c r="I734">
        <v>13.266731575159801</v>
      </c>
      <c r="J734">
        <v>1821233.85</v>
      </c>
      <c r="K734">
        <v>13.2545431664108</v>
      </c>
      <c r="L734">
        <v>3954</v>
      </c>
      <c r="M734">
        <v>16.7379249036955</v>
      </c>
      <c r="N734">
        <v>291.55822711178598</v>
      </c>
      <c r="O734">
        <v>1152821.23</v>
      </c>
      <c r="P734">
        <v>16.779963491442601</v>
      </c>
      <c r="Q734">
        <v>2314</v>
      </c>
      <c r="R734">
        <v>9.7955382466240497</v>
      </c>
      <c r="S734">
        <v>288.855929127053</v>
      </c>
      <c r="T734">
        <v>668412.62</v>
      </c>
      <c r="U734">
        <v>9.7291228413788904</v>
      </c>
      <c r="V734">
        <v>127</v>
      </c>
      <c r="W734">
        <v>13.1469979296066</v>
      </c>
    </row>
    <row r="735" spans="1:23" hidden="1" x14ac:dyDescent="0.25">
      <c r="A735" t="s">
        <v>180</v>
      </c>
      <c r="B735">
        <v>4</v>
      </c>
      <c r="C735">
        <v>2025</v>
      </c>
      <c r="D735" t="s">
        <v>153</v>
      </c>
      <c r="E735" t="s">
        <v>154</v>
      </c>
      <c r="F735">
        <v>-3</v>
      </c>
      <c r="G735">
        <v>-739.280000000001</v>
      </c>
      <c r="H735">
        <v>27</v>
      </c>
      <c r="I735">
        <v>5.7147695042966601E-2</v>
      </c>
      <c r="J735">
        <v>7745.9</v>
      </c>
      <c r="K735">
        <v>5.6372972593662897E-2</v>
      </c>
      <c r="L735">
        <v>12</v>
      </c>
      <c r="M735">
        <v>5.0797951149303598E-2</v>
      </c>
      <c r="N735">
        <v>291.9425</v>
      </c>
      <c r="O735">
        <v>3503.31</v>
      </c>
      <c r="P735">
        <v>5.0992653821274499E-2</v>
      </c>
      <c r="Q735">
        <v>15</v>
      </c>
      <c r="R735">
        <v>6.3497438936629597E-2</v>
      </c>
      <c r="S735">
        <v>282.839333333333</v>
      </c>
      <c r="T735">
        <v>4242.59</v>
      </c>
      <c r="U735">
        <v>6.1753291366051198E-2</v>
      </c>
      <c r="V735">
        <v>13</v>
      </c>
      <c r="W735">
        <v>1.34575569358178</v>
      </c>
    </row>
    <row r="736" spans="1:23" hidden="1" x14ac:dyDescent="0.25">
      <c r="A736" t="s">
        <v>180</v>
      </c>
      <c r="B736">
        <v>5</v>
      </c>
      <c r="C736">
        <v>2025</v>
      </c>
      <c r="D736" t="s">
        <v>88</v>
      </c>
      <c r="E736" t="s">
        <v>89</v>
      </c>
      <c r="F736">
        <v>-174</v>
      </c>
      <c r="G736">
        <v>-38304.699999999997</v>
      </c>
      <c r="H736">
        <v>1978</v>
      </c>
      <c r="I736">
        <v>4.9206428180506503</v>
      </c>
      <c r="J736">
        <v>565713.22</v>
      </c>
      <c r="K736">
        <v>4.8559234652654597</v>
      </c>
      <c r="L736">
        <v>902</v>
      </c>
      <c r="M736">
        <v>4.4877854619632798</v>
      </c>
      <c r="N736">
        <v>292.35505543237298</v>
      </c>
      <c r="O736">
        <v>263704.26</v>
      </c>
      <c r="P736">
        <v>4.5271266739160296</v>
      </c>
      <c r="Q736">
        <v>1076</v>
      </c>
      <c r="R736">
        <v>5.3535001741380199</v>
      </c>
      <c r="S736">
        <v>280.67747211895897</v>
      </c>
      <c r="T736">
        <v>302008.96000000002</v>
      </c>
      <c r="U736">
        <v>5.1847202566148898</v>
      </c>
      <c r="V736">
        <v>48</v>
      </c>
      <c r="W736">
        <v>4.6511627906976702</v>
      </c>
    </row>
    <row r="737" spans="1:23" hidden="1" x14ac:dyDescent="0.25">
      <c r="A737" t="s">
        <v>180</v>
      </c>
      <c r="B737">
        <v>5</v>
      </c>
      <c r="C737">
        <v>2025</v>
      </c>
      <c r="D737" t="s">
        <v>90</v>
      </c>
      <c r="E737" t="s">
        <v>91</v>
      </c>
      <c r="F737">
        <v>91</v>
      </c>
      <c r="G737">
        <v>27088.560000000001</v>
      </c>
      <c r="H737">
        <v>263</v>
      </c>
      <c r="I737">
        <v>0.65426140604010197</v>
      </c>
      <c r="J737">
        <v>75374.36</v>
      </c>
      <c r="K737">
        <v>0.64699234605718803</v>
      </c>
      <c r="L737">
        <v>177</v>
      </c>
      <c r="M737">
        <v>0.88064082790188603</v>
      </c>
      <c r="N737">
        <v>289.44327683615802</v>
      </c>
      <c r="O737">
        <v>51231.46</v>
      </c>
      <c r="P737">
        <v>0.87951294040400496</v>
      </c>
      <c r="Q737">
        <v>86</v>
      </c>
      <c r="R737">
        <v>0.42788198417831702</v>
      </c>
      <c r="S737">
        <v>280.731395348837</v>
      </c>
      <c r="T737">
        <v>24142.9</v>
      </c>
      <c r="U737">
        <v>0.41447175171037198</v>
      </c>
      <c r="V737">
        <v>21</v>
      </c>
      <c r="W737">
        <v>2.03488372093023</v>
      </c>
    </row>
    <row r="738" spans="1:23" hidden="1" x14ac:dyDescent="0.25">
      <c r="A738" t="s">
        <v>180</v>
      </c>
      <c r="B738">
        <v>5</v>
      </c>
      <c r="C738">
        <v>2025</v>
      </c>
      <c r="D738" t="s">
        <v>94</v>
      </c>
      <c r="E738" t="s">
        <v>95</v>
      </c>
      <c r="F738">
        <v>-4994</v>
      </c>
      <c r="G738">
        <v>-1504123.52</v>
      </c>
      <c r="H738">
        <v>17740</v>
      </c>
      <c r="I738">
        <v>44.131548833275303</v>
      </c>
      <c r="J738">
        <v>5144596.32</v>
      </c>
      <c r="K738">
        <v>44.159770545235503</v>
      </c>
      <c r="L738">
        <v>6373</v>
      </c>
      <c r="M738">
        <v>31.708045176376899</v>
      </c>
      <c r="N738">
        <v>285.616883728228</v>
      </c>
      <c r="O738">
        <v>1820236.4</v>
      </c>
      <c r="P738">
        <v>31.248796508910701</v>
      </c>
      <c r="Q738">
        <v>11367</v>
      </c>
      <c r="R738">
        <v>56.555052490173601</v>
      </c>
      <c r="S738">
        <v>292.45710565672601</v>
      </c>
      <c r="T738">
        <v>3324359.92</v>
      </c>
      <c r="U738">
        <v>57.070744581560298</v>
      </c>
      <c r="V738">
        <v>412</v>
      </c>
      <c r="W738">
        <v>39.922480620155</v>
      </c>
    </row>
    <row r="739" spans="1:23" hidden="1" x14ac:dyDescent="0.25">
      <c r="A739" t="s">
        <v>180</v>
      </c>
      <c r="B739">
        <v>5</v>
      </c>
      <c r="C739">
        <v>2025</v>
      </c>
      <c r="D739" t="s">
        <v>96</v>
      </c>
      <c r="E739" t="s">
        <v>97</v>
      </c>
      <c r="F739">
        <v>532</v>
      </c>
      <c r="G739">
        <v>155926.66</v>
      </c>
      <c r="H739">
        <v>532</v>
      </c>
      <c r="I739">
        <v>1.32344892780735</v>
      </c>
      <c r="J739">
        <v>155926.66</v>
      </c>
      <c r="K739">
        <v>1.33843067544801</v>
      </c>
      <c r="L739">
        <v>532</v>
      </c>
      <c r="M739">
        <v>2.6468978556147098</v>
      </c>
      <c r="N739">
        <v>293.09522556390999</v>
      </c>
      <c r="O739">
        <v>155926.66</v>
      </c>
      <c r="P739">
        <v>2.67686135089602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4</v>
      </c>
      <c r="W739">
        <v>0.387596899224806</v>
      </c>
    </row>
    <row r="740" spans="1:23" hidden="1" x14ac:dyDescent="0.25">
      <c r="A740" t="s">
        <v>180</v>
      </c>
      <c r="B740">
        <v>5</v>
      </c>
      <c r="C740">
        <v>2025</v>
      </c>
      <c r="D740" t="s">
        <v>100</v>
      </c>
      <c r="E740" t="s">
        <v>101</v>
      </c>
      <c r="F740">
        <v>560</v>
      </c>
      <c r="G740">
        <v>160580</v>
      </c>
      <c r="H740">
        <v>560</v>
      </c>
      <c r="I740">
        <v>1.39310413453406</v>
      </c>
      <c r="J740">
        <v>160580</v>
      </c>
      <c r="K740">
        <v>1.37837363965496</v>
      </c>
      <c r="L740">
        <v>560</v>
      </c>
      <c r="M740">
        <v>2.7862082690681098</v>
      </c>
      <c r="N740">
        <v>286.75</v>
      </c>
      <c r="O740">
        <v>160580</v>
      </c>
      <c r="P740">
        <v>2.7567472793099199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6</v>
      </c>
      <c r="W740">
        <v>0.581395348837209</v>
      </c>
    </row>
    <row r="741" spans="1:23" hidden="1" x14ac:dyDescent="0.25">
      <c r="A741" t="s">
        <v>180</v>
      </c>
      <c r="B741">
        <v>5</v>
      </c>
      <c r="C741">
        <v>2025</v>
      </c>
      <c r="D741" t="s">
        <v>102</v>
      </c>
      <c r="E741" t="s">
        <v>103</v>
      </c>
      <c r="F741">
        <v>1003</v>
      </c>
      <c r="G741">
        <v>296886.26</v>
      </c>
      <c r="H741">
        <v>1865</v>
      </c>
      <c r="I741">
        <v>4.6395343051893096</v>
      </c>
      <c r="J741">
        <v>544777.31999999995</v>
      </c>
      <c r="K741">
        <v>4.6762155770947498</v>
      </c>
      <c r="L741">
        <v>1434</v>
      </c>
      <c r="M741">
        <v>7.1346833175779896</v>
      </c>
      <c r="N741">
        <v>293.467078103208</v>
      </c>
      <c r="O741">
        <v>420831.79</v>
      </c>
      <c r="P741">
        <v>7.2246038867207902</v>
      </c>
      <c r="Q741">
        <v>431</v>
      </c>
      <c r="R741">
        <v>2.1443852928006399</v>
      </c>
      <c r="S741">
        <v>287.57663573085802</v>
      </c>
      <c r="T741">
        <v>123945.53</v>
      </c>
      <c r="U741">
        <v>2.1278272674687102</v>
      </c>
      <c r="V741">
        <v>84</v>
      </c>
      <c r="W741">
        <v>8.1395348837209305</v>
      </c>
    </row>
    <row r="742" spans="1:23" hidden="1" x14ac:dyDescent="0.25">
      <c r="A742" t="s">
        <v>180</v>
      </c>
      <c r="B742">
        <v>5</v>
      </c>
      <c r="C742">
        <v>2025</v>
      </c>
      <c r="D742" t="s">
        <v>104</v>
      </c>
      <c r="E742" t="s">
        <v>105</v>
      </c>
      <c r="F742">
        <v>124</v>
      </c>
      <c r="G742">
        <v>58430.940000000097</v>
      </c>
      <c r="H742">
        <v>4400</v>
      </c>
      <c r="I742">
        <v>10.9458181999104</v>
      </c>
      <c r="J742">
        <v>1268857.3799999999</v>
      </c>
      <c r="K742">
        <v>10.8915155378855</v>
      </c>
      <c r="L742">
        <v>2262</v>
      </c>
      <c r="M742">
        <v>11.2542912582716</v>
      </c>
      <c r="N742">
        <v>293.38822281167103</v>
      </c>
      <c r="O742">
        <v>663644.16000000003</v>
      </c>
      <c r="P742">
        <v>11.3930703232651</v>
      </c>
      <c r="Q742">
        <v>2138</v>
      </c>
      <c r="R742">
        <v>10.6373451415493</v>
      </c>
      <c r="S742">
        <v>283.07447146866201</v>
      </c>
      <c r="T742">
        <v>605213.22</v>
      </c>
      <c r="U742">
        <v>10.3899607525059</v>
      </c>
      <c r="V742">
        <v>76</v>
      </c>
      <c r="W742">
        <v>7.3643410852713203</v>
      </c>
    </row>
    <row r="743" spans="1:23" hidden="1" x14ac:dyDescent="0.25">
      <c r="A743" t="s">
        <v>180</v>
      </c>
      <c r="B743">
        <v>5</v>
      </c>
      <c r="C743">
        <v>2025</v>
      </c>
      <c r="D743" t="s">
        <v>106</v>
      </c>
      <c r="E743" t="s">
        <v>107</v>
      </c>
      <c r="F743">
        <v>-38</v>
      </c>
      <c r="G743">
        <v>-10763.38</v>
      </c>
      <c r="H743">
        <v>78</v>
      </c>
      <c r="I743">
        <v>0.19403950445295801</v>
      </c>
      <c r="J743">
        <v>22065.78</v>
      </c>
      <c r="K743">
        <v>0.18940646089441801</v>
      </c>
      <c r="L743">
        <v>20</v>
      </c>
      <c r="M743">
        <v>9.9507438181003993E-2</v>
      </c>
      <c r="N743">
        <v>282.56</v>
      </c>
      <c r="O743">
        <v>5651.2</v>
      </c>
      <c r="P743">
        <v>9.7016628626455506E-2</v>
      </c>
      <c r="Q743">
        <v>58</v>
      </c>
      <c r="R743">
        <v>0.28857157072491202</v>
      </c>
      <c r="S743">
        <v>283.01</v>
      </c>
      <c r="T743">
        <v>16414.580000000002</v>
      </c>
      <c r="U743">
        <v>0.28179629316237997</v>
      </c>
      <c r="V743">
        <v>7</v>
      </c>
      <c r="W743">
        <v>0.67829457364341095</v>
      </c>
    </row>
    <row r="744" spans="1:23" hidden="1" x14ac:dyDescent="0.25">
      <c r="A744" t="s">
        <v>180</v>
      </c>
      <c r="B744">
        <v>5</v>
      </c>
      <c r="C744">
        <v>2025</v>
      </c>
      <c r="D744" t="s">
        <v>110</v>
      </c>
      <c r="E744" t="s">
        <v>111</v>
      </c>
      <c r="F744">
        <v>68</v>
      </c>
      <c r="G744">
        <v>20915.72</v>
      </c>
      <c r="H744">
        <v>324</v>
      </c>
      <c r="I744">
        <v>0.80601024926613296</v>
      </c>
      <c r="J744">
        <v>93824.12</v>
      </c>
      <c r="K744">
        <v>0.80535990641315103</v>
      </c>
      <c r="L744">
        <v>196</v>
      </c>
      <c r="M744">
        <v>0.97517289417383901</v>
      </c>
      <c r="N744">
        <v>292.70367346938798</v>
      </c>
      <c r="O744">
        <v>57369.919999999998</v>
      </c>
      <c r="P744">
        <v>0.98489457512908096</v>
      </c>
      <c r="Q744">
        <v>128</v>
      </c>
      <c r="R744">
        <v>0.63684760435842602</v>
      </c>
      <c r="S744">
        <v>284.79843749999998</v>
      </c>
      <c r="T744">
        <v>36454.199999999997</v>
      </c>
      <c r="U744">
        <v>0.62582523769722098</v>
      </c>
      <c r="V744">
        <v>15</v>
      </c>
      <c r="W744">
        <v>1.4534883720930201</v>
      </c>
    </row>
    <row r="745" spans="1:23" hidden="1" x14ac:dyDescent="0.25">
      <c r="A745" t="s">
        <v>180</v>
      </c>
      <c r="B745">
        <v>5</v>
      </c>
      <c r="C745">
        <v>2025</v>
      </c>
      <c r="D745" t="s">
        <v>116</v>
      </c>
      <c r="E745" t="s">
        <v>117</v>
      </c>
      <c r="F745">
        <v>-177</v>
      </c>
      <c r="G745">
        <v>-50374.54</v>
      </c>
      <c r="H745">
        <v>1367</v>
      </c>
      <c r="I745">
        <v>3.4006666998358099</v>
      </c>
      <c r="J745">
        <v>401477.74</v>
      </c>
      <c r="K745">
        <v>3.4461722115098299</v>
      </c>
      <c r="L745">
        <v>595</v>
      </c>
      <c r="M745">
        <v>2.9603462858848699</v>
      </c>
      <c r="N745">
        <v>295.04470588235301</v>
      </c>
      <c r="O745">
        <v>175551.6</v>
      </c>
      <c r="P745">
        <v>3.0137713020208201</v>
      </c>
      <c r="Q745">
        <v>772</v>
      </c>
      <c r="R745">
        <v>3.8409871137867602</v>
      </c>
      <c r="S745">
        <v>292.65044041450801</v>
      </c>
      <c r="T745">
        <v>225926.14</v>
      </c>
      <c r="U745">
        <v>3.8785731209988299</v>
      </c>
      <c r="V745">
        <v>33</v>
      </c>
      <c r="W745">
        <v>3.1976744186046502</v>
      </c>
    </row>
    <row r="746" spans="1:23" hidden="1" x14ac:dyDescent="0.25">
      <c r="A746" t="s">
        <v>180</v>
      </c>
      <c r="B746">
        <v>5</v>
      </c>
      <c r="C746">
        <v>2025</v>
      </c>
      <c r="D746" t="s">
        <v>118</v>
      </c>
      <c r="E746" t="s">
        <v>119</v>
      </c>
      <c r="F746">
        <v>1738</v>
      </c>
      <c r="G746">
        <v>502768.34</v>
      </c>
      <c r="H746">
        <v>1738</v>
      </c>
      <c r="I746">
        <v>4.3235981889646196</v>
      </c>
      <c r="J746">
        <v>502768.34</v>
      </c>
      <c r="K746">
        <v>4.3156222861444897</v>
      </c>
      <c r="L746">
        <v>1738</v>
      </c>
      <c r="M746">
        <v>8.6471963779292498</v>
      </c>
      <c r="N746">
        <v>289.27982738780202</v>
      </c>
      <c r="O746">
        <v>502768.34</v>
      </c>
      <c r="P746">
        <v>8.6312445722889901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34</v>
      </c>
      <c r="W746">
        <v>3.2945736434108501</v>
      </c>
    </row>
    <row r="747" spans="1:23" hidden="1" x14ac:dyDescent="0.25">
      <c r="A747" t="s">
        <v>180</v>
      </c>
      <c r="B747">
        <v>5</v>
      </c>
      <c r="C747">
        <v>2025</v>
      </c>
      <c r="D747" t="s">
        <v>122</v>
      </c>
      <c r="E747" t="s">
        <v>123</v>
      </c>
      <c r="F747">
        <v>1370</v>
      </c>
      <c r="G747">
        <v>394095.78</v>
      </c>
      <c r="H747">
        <v>1854</v>
      </c>
      <c r="I747">
        <v>4.6121697596895403</v>
      </c>
      <c r="J747">
        <v>537153.02</v>
      </c>
      <c r="K747">
        <v>4.6107707262987496</v>
      </c>
      <c r="L747">
        <v>1612</v>
      </c>
      <c r="M747">
        <v>8.0202995173889207</v>
      </c>
      <c r="N747">
        <v>288.84888337468999</v>
      </c>
      <c r="O747">
        <v>465624.4</v>
      </c>
      <c r="P747">
        <v>7.9935782655393801</v>
      </c>
      <c r="Q747">
        <v>242</v>
      </c>
      <c r="R747">
        <v>1.20404000199015</v>
      </c>
      <c r="S747">
        <v>295.57280991735502</v>
      </c>
      <c r="T747">
        <v>71528.62</v>
      </c>
      <c r="U747">
        <v>1.22796318705812</v>
      </c>
      <c r="V747">
        <v>26</v>
      </c>
      <c r="W747">
        <v>2.5193798449612399</v>
      </c>
    </row>
    <row r="748" spans="1:23" hidden="1" x14ac:dyDescent="0.25">
      <c r="A748" t="s">
        <v>180</v>
      </c>
      <c r="B748">
        <v>5</v>
      </c>
      <c r="C748">
        <v>2025</v>
      </c>
      <c r="D748" t="s">
        <v>126</v>
      </c>
      <c r="E748" t="s">
        <v>127</v>
      </c>
      <c r="F748">
        <v>6</v>
      </c>
      <c r="G748">
        <v>1781</v>
      </c>
      <c r="H748">
        <v>10</v>
      </c>
      <c r="I748">
        <v>2.4876859545250998E-2</v>
      </c>
      <c r="J748">
        <v>2952.6</v>
      </c>
      <c r="K748">
        <v>2.5344289503333201E-2</v>
      </c>
      <c r="L748">
        <v>8</v>
      </c>
      <c r="M748">
        <v>3.9802975272401599E-2</v>
      </c>
      <c r="N748">
        <v>295.85000000000002</v>
      </c>
      <c r="O748">
        <v>2366.8000000000002</v>
      </c>
      <c r="P748">
        <v>4.0631893515199399E-2</v>
      </c>
      <c r="Q748">
        <v>2</v>
      </c>
      <c r="R748">
        <v>9.9507438181003997E-3</v>
      </c>
      <c r="S748">
        <v>292.89999999999998</v>
      </c>
      <c r="T748">
        <v>585.79999999999995</v>
      </c>
      <c r="U748">
        <v>1.0056685491466899E-2</v>
      </c>
      <c r="V748">
        <v>4</v>
      </c>
      <c r="W748">
        <v>0.387596899224806</v>
      </c>
    </row>
    <row r="749" spans="1:23" hidden="1" x14ac:dyDescent="0.25">
      <c r="A749" t="s">
        <v>180</v>
      </c>
      <c r="B749">
        <v>5</v>
      </c>
      <c r="C749">
        <v>2025</v>
      </c>
      <c r="D749" t="s">
        <v>130</v>
      </c>
      <c r="E749" t="s">
        <v>131</v>
      </c>
      <c r="F749">
        <v>-68</v>
      </c>
      <c r="G749">
        <v>-19801.259999999998</v>
      </c>
      <c r="H749">
        <v>136</v>
      </c>
      <c r="I749">
        <v>0.33832528981541399</v>
      </c>
      <c r="J749">
        <v>38837.86</v>
      </c>
      <c r="K749">
        <v>0.33337328711302699</v>
      </c>
      <c r="L749">
        <v>34</v>
      </c>
      <c r="M749">
        <v>0.16916264490770699</v>
      </c>
      <c r="N749">
        <v>279.95</v>
      </c>
      <c r="O749">
        <v>9518.2999999999993</v>
      </c>
      <c r="P749">
        <v>0.16340483016973201</v>
      </c>
      <c r="Q749">
        <v>102</v>
      </c>
      <c r="R749">
        <v>0.50748793472312104</v>
      </c>
      <c r="S749">
        <v>287.446666666667</v>
      </c>
      <c r="T749">
        <v>29319.56</v>
      </c>
      <c r="U749">
        <v>0.50334174405632104</v>
      </c>
      <c r="V749">
        <v>8</v>
      </c>
      <c r="W749">
        <v>0.775193798449612</v>
      </c>
    </row>
    <row r="750" spans="1:23" hidden="1" x14ac:dyDescent="0.25">
      <c r="A750" t="s">
        <v>180</v>
      </c>
      <c r="B750">
        <v>5</v>
      </c>
      <c r="C750">
        <v>2025</v>
      </c>
      <c r="D750" t="s">
        <v>132</v>
      </c>
      <c r="E750" t="s">
        <v>133</v>
      </c>
      <c r="F750">
        <v>2</v>
      </c>
      <c r="G750">
        <v>611.67999999999995</v>
      </c>
      <c r="H750">
        <v>10</v>
      </c>
      <c r="I750">
        <v>2.4876859545250998E-2</v>
      </c>
      <c r="J750">
        <v>2924.48</v>
      </c>
      <c r="K750">
        <v>2.5102915317587099E-2</v>
      </c>
      <c r="L750">
        <v>6</v>
      </c>
      <c r="M750">
        <v>2.9852231454301201E-2</v>
      </c>
      <c r="N750">
        <v>294.68</v>
      </c>
      <c r="O750">
        <v>1768.08</v>
      </c>
      <c r="P750">
        <v>3.03534047179118E-2</v>
      </c>
      <c r="Q750">
        <v>4</v>
      </c>
      <c r="R750">
        <v>1.9901487636200799E-2</v>
      </c>
      <c r="S750">
        <v>289.10000000000002</v>
      </c>
      <c r="T750">
        <v>1156.4000000000001</v>
      </c>
      <c r="U750">
        <v>1.9852425917262401E-2</v>
      </c>
      <c r="V750">
        <v>6</v>
      </c>
      <c r="W750">
        <v>0.581395348837209</v>
      </c>
    </row>
    <row r="751" spans="1:23" hidden="1" x14ac:dyDescent="0.25">
      <c r="A751" t="s">
        <v>180</v>
      </c>
      <c r="B751">
        <v>5</v>
      </c>
      <c r="C751">
        <v>2025</v>
      </c>
      <c r="D751" t="s">
        <v>134</v>
      </c>
      <c r="E751" t="s">
        <v>135</v>
      </c>
      <c r="F751">
        <v>-38</v>
      </c>
      <c r="G751">
        <v>-10925</v>
      </c>
      <c r="H751">
        <v>38</v>
      </c>
      <c r="I751">
        <v>9.4532066271953805E-2</v>
      </c>
      <c r="J751">
        <v>10925</v>
      </c>
      <c r="K751">
        <v>9.3777132975653502E-2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38</v>
      </c>
      <c r="R751">
        <v>0.189064132543908</v>
      </c>
      <c r="S751">
        <v>287.5</v>
      </c>
      <c r="T751">
        <v>10925</v>
      </c>
      <c r="U751">
        <v>0.187554265951307</v>
      </c>
      <c r="V751">
        <v>2</v>
      </c>
      <c r="W751">
        <v>0.193798449612403</v>
      </c>
    </row>
    <row r="752" spans="1:23" hidden="1" x14ac:dyDescent="0.25">
      <c r="A752" t="s">
        <v>180</v>
      </c>
      <c r="B752">
        <v>5</v>
      </c>
      <c r="C752">
        <v>2025</v>
      </c>
      <c r="D752" t="s">
        <v>142</v>
      </c>
      <c r="E752" t="s">
        <v>143</v>
      </c>
      <c r="F752">
        <v>234</v>
      </c>
      <c r="G752">
        <v>77154.34</v>
      </c>
      <c r="H752">
        <v>4024</v>
      </c>
      <c r="I752">
        <v>10.010448281008999</v>
      </c>
      <c r="J752">
        <v>1173046.1000000001</v>
      </c>
      <c r="K752">
        <v>10.0690984078967</v>
      </c>
      <c r="L752">
        <v>2129</v>
      </c>
      <c r="M752">
        <v>10.592566794367899</v>
      </c>
      <c r="N752">
        <v>293.61212775951202</v>
      </c>
      <c r="O752">
        <v>625100.22</v>
      </c>
      <c r="P752">
        <v>10.7313696025721</v>
      </c>
      <c r="Q752">
        <v>1895</v>
      </c>
      <c r="R752">
        <v>9.4283297676501299</v>
      </c>
      <c r="S752">
        <v>289.15349868073901</v>
      </c>
      <c r="T752">
        <v>547945.88</v>
      </c>
      <c r="U752">
        <v>9.4068272132213302</v>
      </c>
      <c r="V752">
        <v>152</v>
      </c>
      <c r="W752">
        <v>14.7286821705426</v>
      </c>
    </row>
    <row r="753" spans="1:23" hidden="1" x14ac:dyDescent="0.25">
      <c r="A753" t="s">
        <v>180</v>
      </c>
      <c r="B753">
        <v>5</v>
      </c>
      <c r="C753">
        <v>2025</v>
      </c>
      <c r="D753" t="s">
        <v>146</v>
      </c>
      <c r="E753" t="s">
        <v>147</v>
      </c>
      <c r="F753">
        <v>176</v>
      </c>
      <c r="G753">
        <v>51854.52</v>
      </c>
      <c r="H753">
        <v>184</v>
      </c>
      <c r="I753">
        <v>0.45773421563261901</v>
      </c>
      <c r="J753">
        <v>54195.08</v>
      </c>
      <c r="K753">
        <v>0.465195352291641</v>
      </c>
      <c r="L753">
        <v>180</v>
      </c>
      <c r="M753">
        <v>0.89556694362903599</v>
      </c>
      <c r="N753">
        <v>294.58222222222201</v>
      </c>
      <c r="O753">
        <v>53024.800000000003</v>
      </c>
      <c r="P753">
        <v>0.91029999461920996</v>
      </c>
      <c r="Q753">
        <v>4</v>
      </c>
      <c r="R753">
        <v>1.9901487636200799E-2</v>
      </c>
      <c r="S753">
        <v>292.57</v>
      </c>
      <c r="T753">
        <v>1170.28</v>
      </c>
      <c r="U753">
        <v>2.0090709964072799E-2</v>
      </c>
      <c r="V753">
        <v>6</v>
      </c>
      <c r="W753">
        <v>0.581395348837209</v>
      </c>
    </row>
    <row r="754" spans="1:23" x14ac:dyDescent="0.25">
      <c r="A754" t="s">
        <v>180</v>
      </c>
      <c r="B754">
        <v>5</v>
      </c>
      <c r="C754">
        <v>2025</v>
      </c>
      <c r="D754" t="s">
        <v>148</v>
      </c>
      <c r="E754" t="s">
        <v>148</v>
      </c>
      <c r="F754">
        <v>0</v>
      </c>
      <c r="G754" s="4">
        <v>4.01769284508191E-10</v>
      </c>
      <c r="H754">
        <v>40198</v>
      </c>
      <c r="I754">
        <v>0</v>
      </c>
      <c r="J754">
        <v>11649961.619999999</v>
      </c>
      <c r="K754">
        <v>0</v>
      </c>
      <c r="L754">
        <v>20099</v>
      </c>
      <c r="M754">
        <v>100</v>
      </c>
      <c r="N754">
        <v>291.64298157397798</v>
      </c>
      <c r="O754">
        <v>5824980.8099999996</v>
      </c>
      <c r="P754">
        <v>100</v>
      </c>
      <c r="Q754">
        <v>20099</v>
      </c>
      <c r="R754">
        <v>100</v>
      </c>
      <c r="S754">
        <v>287.47333333333302</v>
      </c>
      <c r="T754">
        <v>5824980.8099999996</v>
      </c>
      <c r="U754">
        <v>100</v>
      </c>
      <c r="V754">
        <v>1032</v>
      </c>
      <c r="W754">
        <v>100</v>
      </c>
    </row>
    <row r="755" spans="1:23" hidden="1" x14ac:dyDescent="0.25">
      <c r="A755" t="s">
        <v>180</v>
      </c>
      <c r="B755">
        <v>5</v>
      </c>
      <c r="C755">
        <v>2025</v>
      </c>
      <c r="D755" t="s">
        <v>149</v>
      </c>
      <c r="E755" t="s">
        <v>150</v>
      </c>
      <c r="F755">
        <v>-424</v>
      </c>
      <c r="G755">
        <v>-116307.16</v>
      </c>
      <c r="H755">
        <v>3068</v>
      </c>
      <c r="I755">
        <v>7.6322205084830097</v>
      </c>
      <c r="J755">
        <v>885528.48</v>
      </c>
      <c r="K755">
        <v>7.6011278739302801</v>
      </c>
      <c r="L755">
        <v>1322</v>
      </c>
      <c r="M755">
        <v>6.57744166376437</v>
      </c>
      <c r="N755">
        <v>290.93090771558201</v>
      </c>
      <c r="O755">
        <v>384610.66</v>
      </c>
      <c r="P755">
        <v>6.6027798639219899</v>
      </c>
      <c r="Q755">
        <v>1746</v>
      </c>
      <c r="R755">
        <v>8.6869993532016494</v>
      </c>
      <c r="S755">
        <v>286.89451317296698</v>
      </c>
      <c r="T755">
        <v>500917.82</v>
      </c>
      <c r="U755">
        <v>8.5994758839385792</v>
      </c>
      <c r="V755">
        <v>77</v>
      </c>
      <c r="W755">
        <v>7.4612403100775202</v>
      </c>
    </row>
    <row r="756" spans="1:23" hidden="1" x14ac:dyDescent="0.25">
      <c r="A756" t="s">
        <v>180</v>
      </c>
      <c r="B756">
        <v>5</v>
      </c>
      <c r="C756">
        <v>2025</v>
      </c>
      <c r="D756" t="s">
        <v>153</v>
      </c>
      <c r="E756" t="s">
        <v>154</v>
      </c>
      <c r="F756">
        <v>9</v>
      </c>
      <c r="G756">
        <v>2505.7600000000002</v>
      </c>
      <c r="H756">
        <v>29</v>
      </c>
      <c r="I756">
        <v>7.2142892681227894E-2</v>
      </c>
      <c r="J756">
        <v>8437.76</v>
      </c>
      <c r="K756">
        <v>7.2427363069716297E-2</v>
      </c>
      <c r="L756">
        <v>19</v>
      </c>
      <c r="M756">
        <v>9.4532066271953805E-2</v>
      </c>
      <c r="N756">
        <v>287.98736842105302</v>
      </c>
      <c r="O756">
        <v>5471.76</v>
      </c>
      <c r="P756">
        <v>9.3936103456450704E-2</v>
      </c>
      <c r="Q756">
        <v>10</v>
      </c>
      <c r="R756">
        <v>4.9753719090501997E-2</v>
      </c>
      <c r="S756">
        <v>296.60000000000002</v>
      </c>
      <c r="T756">
        <v>2966</v>
      </c>
      <c r="U756">
        <v>5.09186226829818E-2</v>
      </c>
      <c r="V756">
        <v>11</v>
      </c>
      <c r="W756">
        <v>1.0658914728682201</v>
      </c>
    </row>
    <row r="757" spans="1:23" hidden="1" x14ac:dyDescent="0.25">
      <c r="A757" t="s">
        <v>180</v>
      </c>
      <c r="B757">
        <v>6</v>
      </c>
      <c r="C757">
        <v>2025</v>
      </c>
      <c r="D757" t="s">
        <v>88</v>
      </c>
      <c r="E757" t="s">
        <v>89</v>
      </c>
      <c r="F757">
        <v>1177</v>
      </c>
      <c r="G757">
        <v>356840.06</v>
      </c>
      <c r="H757">
        <v>1261</v>
      </c>
      <c r="I757">
        <v>2.3444762577622398</v>
      </c>
      <c r="J757">
        <v>381865.74</v>
      </c>
      <c r="K757">
        <v>2.3390477683046198</v>
      </c>
      <c r="L757">
        <v>1219</v>
      </c>
      <c r="M757">
        <v>4.5327780463317602</v>
      </c>
      <c r="N757">
        <v>302.99663658736699</v>
      </c>
      <c r="O757">
        <v>369352.9</v>
      </c>
      <c r="P757">
        <v>4.5248053751134503</v>
      </c>
      <c r="Q757">
        <v>42</v>
      </c>
      <c r="R757">
        <v>0.15617446919272701</v>
      </c>
      <c r="S757">
        <v>297.92476190476202</v>
      </c>
      <c r="T757">
        <v>12512.84</v>
      </c>
      <c r="U757">
        <v>0.15329016149578001</v>
      </c>
      <c r="V757">
        <v>25</v>
      </c>
      <c r="W757">
        <v>1.8463810930576099</v>
      </c>
    </row>
    <row r="758" spans="1:23" hidden="1" x14ac:dyDescent="0.25">
      <c r="A758" t="s">
        <v>180</v>
      </c>
      <c r="B758">
        <v>6</v>
      </c>
      <c r="C758">
        <v>2025</v>
      </c>
      <c r="D758" t="s">
        <v>90</v>
      </c>
      <c r="E758" t="s">
        <v>91</v>
      </c>
      <c r="F758">
        <v>-176</v>
      </c>
      <c r="G758">
        <v>-51971.68</v>
      </c>
      <c r="H758">
        <v>2008</v>
      </c>
      <c r="I758">
        <v>3.7333135016547101</v>
      </c>
      <c r="J758">
        <v>612700.42000000004</v>
      </c>
      <c r="K758">
        <v>3.7529827892921199</v>
      </c>
      <c r="L758">
        <v>916</v>
      </c>
      <c r="M758">
        <v>3.4060908042985201</v>
      </c>
      <c r="N758">
        <v>306.07463973799099</v>
      </c>
      <c r="O758">
        <v>280364.37</v>
      </c>
      <c r="P758">
        <v>3.4346399022893701</v>
      </c>
      <c r="Q758">
        <v>1092</v>
      </c>
      <c r="R758">
        <v>4.0605361990109001</v>
      </c>
      <c r="S758">
        <v>304.33704212454199</v>
      </c>
      <c r="T758">
        <v>332336.05</v>
      </c>
      <c r="U758">
        <v>4.0713256762948804</v>
      </c>
      <c r="V758">
        <v>109</v>
      </c>
      <c r="W758">
        <v>8.0502215657311709</v>
      </c>
    </row>
    <row r="759" spans="1:23" hidden="1" x14ac:dyDescent="0.25">
      <c r="A759" t="s">
        <v>180</v>
      </c>
      <c r="B759">
        <v>6</v>
      </c>
      <c r="C759">
        <v>2025</v>
      </c>
      <c r="D759" t="s">
        <v>92</v>
      </c>
      <c r="E759" t="s">
        <v>93</v>
      </c>
      <c r="F759">
        <v>654</v>
      </c>
      <c r="G759">
        <v>199656.34</v>
      </c>
      <c r="H759">
        <v>654</v>
      </c>
      <c r="I759">
        <v>1.21592979585766</v>
      </c>
      <c r="J759">
        <v>199656.34</v>
      </c>
      <c r="K759">
        <v>1.22295788175412</v>
      </c>
      <c r="L759">
        <v>654</v>
      </c>
      <c r="M759">
        <v>2.4318595917153201</v>
      </c>
      <c r="N759">
        <v>305.28492354740098</v>
      </c>
      <c r="O759">
        <v>199656.34</v>
      </c>
      <c r="P759">
        <v>2.4459157635082298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10</v>
      </c>
      <c r="W759">
        <v>0.73855243722304298</v>
      </c>
    </row>
    <row r="760" spans="1:23" hidden="1" x14ac:dyDescent="0.25">
      <c r="A760" t="s">
        <v>180</v>
      </c>
      <c r="B760">
        <v>6</v>
      </c>
      <c r="C760">
        <v>2025</v>
      </c>
      <c r="D760" t="s">
        <v>94</v>
      </c>
      <c r="E760" t="s">
        <v>95</v>
      </c>
      <c r="F760">
        <v>808</v>
      </c>
      <c r="G760">
        <v>223469.42</v>
      </c>
      <c r="H760">
        <v>17242</v>
      </c>
      <c r="I760">
        <v>32.056669021678502</v>
      </c>
      <c r="J760">
        <v>5221219.4400000004</v>
      </c>
      <c r="K760">
        <v>31.981611335336599</v>
      </c>
      <c r="L760">
        <v>9025</v>
      </c>
      <c r="M760">
        <v>33.558918677722801</v>
      </c>
      <c r="N760">
        <v>301.64481218836602</v>
      </c>
      <c r="O760">
        <v>2722344.43</v>
      </c>
      <c r="P760">
        <v>33.350431822179203</v>
      </c>
      <c r="Q760">
        <v>8217</v>
      </c>
      <c r="R760">
        <v>30.5544193656342</v>
      </c>
      <c r="S760">
        <v>304.11038213459898</v>
      </c>
      <c r="T760">
        <v>2498875.0099999998</v>
      </c>
      <c r="U760">
        <v>30.612790848493901</v>
      </c>
      <c r="V760">
        <v>452</v>
      </c>
      <c r="W760">
        <v>33.3825701624815</v>
      </c>
    </row>
    <row r="761" spans="1:23" hidden="1" x14ac:dyDescent="0.25">
      <c r="A761" t="s">
        <v>180</v>
      </c>
      <c r="B761">
        <v>6</v>
      </c>
      <c r="C761">
        <v>2025</v>
      </c>
      <c r="D761" t="s">
        <v>102</v>
      </c>
      <c r="E761" t="s">
        <v>103</v>
      </c>
      <c r="F761">
        <v>725</v>
      </c>
      <c r="G761">
        <v>222081.07</v>
      </c>
      <c r="H761">
        <v>2113</v>
      </c>
      <c r="I761">
        <v>3.92853158814561</v>
      </c>
      <c r="J761">
        <v>639822.97</v>
      </c>
      <c r="K761">
        <v>3.9191169390805598</v>
      </c>
      <c r="L761">
        <v>1419</v>
      </c>
      <c r="M761">
        <v>5.2764659948685502</v>
      </c>
      <c r="N761">
        <v>303.701212121212</v>
      </c>
      <c r="O761">
        <v>430952.02</v>
      </c>
      <c r="P761">
        <v>5.2794333454861198</v>
      </c>
      <c r="Q761">
        <v>694</v>
      </c>
      <c r="R761">
        <v>2.5805971814226698</v>
      </c>
      <c r="S761">
        <v>300.96678674351602</v>
      </c>
      <c r="T761">
        <v>208870.95</v>
      </c>
      <c r="U761">
        <v>2.5588005326749901</v>
      </c>
      <c r="V761">
        <v>93</v>
      </c>
      <c r="W761">
        <v>6.8685376661742996</v>
      </c>
    </row>
    <row r="762" spans="1:23" hidden="1" x14ac:dyDescent="0.25">
      <c r="A762" t="s">
        <v>180</v>
      </c>
      <c r="B762">
        <v>6</v>
      </c>
      <c r="C762">
        <v>2025</v>
      </c>
      <c r="D762" t="s">
        <v>104</v>
      </c>
      <c r="E762" t="s">
        <v>105</v>
      </c>
      <c r="F762">
        <v>327</v>
      </c>
      <c r="G762">
        <v>99755.66</v>
      </c>
      <c r="H762">
        <v>1009</v>
      </c>
      <c r="I762">
        <v>1.8759528501840601</v>
      </c>
      <c r="J762">
        <v>303327.59999999998</v>
      </c>
      <c r="K762">
        <v>1.85797695767417</v>
      </c>
      <c r="L762">
        <v>668</v>
      </c>
      <c r="M762">
        <v>2.4839177481128898</v>
      </c>
      <c r="N762">
        <v>301.709026946108</v>
      </c>
      <c r="O762">
        <v>201541.63</v>
      </c>
      <c r="P762">
        <v>2.4690117519941701</v>
      </c>
      <c r="Q762">
        <v>341</v>
      </c>
      <c r="R762">
        <v>1.26798795225523</v>
      </c>
      <c r="S762">
        <v>298.49258064516101</v>
      </c>
      <c r="T762">
        <v>101785.97</v>
      </c>
      <c r="U762">
        <v>1.24694216335417</v>
      </c>
      <c r="V762">
        <v>41</v>
      </c>
      <c r="W762">
        <v>3.02806499261448</v>
      </c>
    </row>
    <row r="763" spans="1:23" hidden="1" x14ac:dyDescent="0.25">
      <c r="A763" t="s">
        <v>180</v>
      </c>
      <c r="B763">
        <v>6</v>
      </c>
      <c r="C763">
        <v>2025</v>
      </c>
      <c r="D763" t="s">
        <v>106</v>
      </c>
      <c r="E763" t="s">
        <v>107</v>
      </c>
      <c r="F763">
        <v>-140</v>
      </c>
      <c r="G763">
        <v>-42061.120000000003</v>
      </c>
      <c r="H763">
        <v>188</v>
      </c>
      <c r="I763">
        <v>0.34953333581229301</v>
      </c>
      <c r="J763">
        <v>56461.120000000003</v>
      </c>
      <c r="K763">
        <v>0.34584211909656798</v>
      </c>
      <c r="L763">
        <v>24</v>
      </c>
      <c r="M763">
        <v>8.9242553824415302E-2</v>
      </c>
      <c r="N763">
        <v>300</v>
      </c>
      <c r="O763">
        <v>7200</v>
      </c>
      <c r="P763">
        <v>8.8204529329042394E-2</v>
      </c>
      <c r="Q763">
        <v>164</v>
      </c>
      <c r="R763">
        <v>0.60982411780017098</v>
      </c>
      <c r="S763">
        <v>300.37268292682899</v>
      </c>
      <c r="T763">
        <v>49261.120000000003</v>
      </c>
      <c r="U763">
        <v>0.60347970886409397</v>
      </c>
      <c r="V763">
        <v>8</v>
      </c>
      <c r="W763">
        <v>0.59084194977843396</v>
      </c>
    </row>
    <row r="764" spans="1:23" hidden="1" x14ac:dyDescent="0.25">
      <c r="A764" t="s">
        <v>180</v>
      </c>
      <c r="B764">
        <v>6</v>
      </c>
      <c r="C764">
        <v>2025</v>
      </c>
      <c r="D764" t="s">
        <v>110</v>
      </c>
      <c r="E764" t="s">
        <v>111</v>
      </c>
      <c r="F764">
        <v>-49</v>
      </c>
      <c r="G764">
        <v>-14353.12</v>
      </c>
      <c r="H764">
        <v>191</v>
      </c>
      <c r="I764">
        <v>0.35511099542631902</v>
      </c>
      <c r="J764">
        <v>57208.2</v>
      </c>
      <c r="K764">
        <v>0.350418219080675</v>
      </c>
      <c r="L764">
        <v>71</v>
      </c>
      <c r="M764">
        <v>0.26400922173056202</v>
      </c>
      <c r="N764">
        <v>301.79633802816898</v>
      </c>
      <c r="O764">
        <v>21427.54</v>
      </c>
      <c r="P764">
        <v>0.26250084449711503</v>
      </c>
      <c r="Q764">
        <v>120</v>
      </c>
      <c r="R764">
        <v>0.44621276912207603</v>
      </c>
      <c r="S764">
        <v>298.17216666666701</v>
      </c>
      <c r="T764">
        <v>35780.660000000003</v>
      </c>
      <c r="U764">
        <v>0.43833559366423502</v>
      </c>
      <c r="V764">
        <v>12</v>
      </c>
      <c r="W764">
        <v>0.886262924667651</v>
      </c>
    </row>
    <row r="765" spans="1:23" hidden="1" x14ac:dyDescent="0.25">
      <c r="A765" t="s">
        <v>180</v>
      </c>
      <c r="B765">
        <v>6</v>
      </c>
      <c r="C765">
        <v>2025</v>
      </c>
      <c r="D765" t="s">
        <v>112</v>
      </c>
      <c r="E765" t="s">
        <v>113</v>
      </c>
      <c r="F765">
        <v>-418</v>
      </c>
      <c r="G765">
        <v>-125623.14</v>
      </c>
      <c r="H765">
        <v>418</v>
      </c>
      <c r="I765">
        <v>0.77715390622095004</v>
      </c>
      <c r="J765">
        <v>125623.14</v>
      </c>
      <c r="K765">
        <v>0.76948124559280495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418</v>
      </c>
      <c r="R765">
        <v>1.5543078124419001</v>
      </c>
      <c r="S765">
        <v>300.53382775119599</v>
      </c>
      <c r="T765">
        <v>125623.14</v>
      </c>
      <c r="U765">
        <v>1.5389624911856099</v>
      </c>
      <c r="V765">
        <v>11</v>
      </c>
      <c r="W765">
        <v>0.81240768094534699</v>
      </c>
    </row>
    <row r="766" spans="1:23" hidden="1" x14ac:dyDescent="0.25">
      <c r="A766" t="s">
        <v>180</v>
      </c>
      <c r="B766">
        <v>6</v>
      </c>
      <c r="C766">
        <v>2025</v>
      </c>
      <c r="D766" t="s">
        <v>116</v>
      </c>
      <c r="E766" t="s">
        <v>117</v>
      </c>
      <c r="F766">
        <v>-2647</v>
      </c>
      <c r="G766">
        <v>-794044.41</v>
      </c>
      <c r="H766">
        <v>4481</v>
      </c>
      <c r="I766">
        <v>8.3311642434834301</v>
      </c>
      <c r="J766">
        <v>1356514.13</v>
      </c>
      <c r="K766">
        <v>8.30907571978093</v>
      </c>
      <c r="L766">
        <v>917</v>
      </c>
      <c r="M766">
        <v>3.4098092440411998</v>
      </c>
      <c r="N766">
        <v>306.69014176663001</v>
      </c>
      <c r="O766">
        <v>281234.86</v>
      </c>
      <c r="P766">
        <v>3.4453039523915501</v>
      </c>
      <c r="Q766">
        <v>3564</v>
      </c>
      <c r="R766">
        <v>13.2525192429257</v>
      </c>
      <c r="S766">
        <v>301.70574354657703</v>
      </c>
      <c r="T766">
        <v>1075279.27</v>
      </c>
      <c r="U766">
        <v>13.1728474871703</v>
      </c>
      <c r="V766">
        <v>72</v>
      </c>
      <c r="W766">
        <v>5.31757754800591</v>
      </c>
    </row>
    <row r="767" spans="1:23" hidden="1" x14ac:dyDescent="0.25">
      <c r="A767" t="s">
        <v>180</v>
      </c>
      <c r="B767">
        <v>6</v>
      </c>
      <c r="C767">
        <v>2025</v>
      </c>
      <c r="D767" t="s">
        <v>118</v>
      </c>
      <c r="E767" t="s">
        <v>119</v>
      </c>
      <c r="F767">
        <v>880</v>
      </c>
      <c r="G767">
        <v>269423.55</v>
      </c>
      <c r="H767">
        <v>914</v>
      </c>
      <c r="I767">
        <v>1.6993269624065701</v>
      </c>
      <c r="J767">
        <v>279553.17</v>
      </c>
      <c r="K767">
        <v>1.7123510959924799</v>
      </c>
      <c r="L767">
        <v>897</v>
      </c>
      <c r="M767">
        <v>3.3354404491875198</v>
      </c>
      <c r="N767">
        <v>306.00709030100302</v>
      </c>
      <c r="O767">
        <v>274488.36</v>
      </c>
      <c r="P767">
        <v>3.3626550833473301</v>
      </c>
      <c r="Q767">
        <v>17</v>
      </c>
      <c r="R767">
        <v>6.3213475625627499E-2</v>
      </c>
      <c r="S767">
        <v>297.93</v>
      </c>
      <c r="T767">
        <v>5064.8100000000004</v>
      </c>
      <c r="U767">
        <v>6.2047108637642699E-2</v>
      </c>
      <c r="V767">
        <v>40</v>
      </c>
      <c r="W767">
        <v>2.9542097488921701</v>
      </c>
    </row>
    <row r="768" spans="1:23" hidden="1" x14ac:dyDescent="0.25">
      <c r="A768" t="s">
        <v>180</v>
      </c>
      <c r="B768">
        <v>6</v>
      </c>
      <c r="C768">
        <v>2025</v>
      </c>
      <c r="D768" t="s">
        <v>120</v>
      </c>
      <c r="E768" t="s">
        <v>121</v>
      </c>
      <c r="F768">
        <v>-100</v>
      </c>
      <c r="G768">
        <v>-29236.32</v>
      </c>
      <c r="H768">
        <v>364</v>
      </c>
      <c r="I768">
        <v>0.67675603316848298</v>
      </c>
      <c r="J768">
        <v>110118.48</v>
      </c>
      <c r="K768">
        <v>0.67451032630760899</v>
      </c>
      <c r="L768">
        <v>132</v>
      </c>
      <c r="M768">
        <v>0.49083404603428399</v>
      </c>
      <c r="N768">
        <v>306.37181818181801</v>
      </c>
      <c r="O768">
        <v>40441.08</v>
      </c>
      <c r="P768">
        <v>0.49542867041085398</v>
      </c>
      <c r="Q768">
        <v>232</v>
      </c>
      <c r="R768">
        <v>0.86267802030268104</v>
      </c>
      <c r="S768">
        <v>300.33362068965499</v>
      </c>
      <c r="T768">
        <v>69677.399999999994</v>
      </c>
      <c r="U768">
        <v>0.85359198220436405</v>
      </c>
      <c r="V768">
        <v>11</v>
      </c>
      <c r="W768">
        <v>0.81240768094534699</v>
      </c>
    </row>
    <row r="769" spans="1:23" hidden="1" x14ac:dyDescent="0.25">
      <c r="A769" t="s">
        <v>180</v>
      </c>
      <c r="B769">
        <v>6</v>
      </c>
      <c r="C769">
        <v>2025</v>
      </c>
      <c r="D769" t="s">
        <v>122</v>
      </c>
      <c r="E769" t="s">
        <v>123</v>
      </c>
      <c r="F769">
        <v>695</v>
      </c>
      <c r="G769">
        <v>209613.57</v>
      </c>
      <c r="H769">
        <v>1933</v>
      </c>
      <c r="I769">
        <v>3.5938720113040601</v>
      </c>
      <c r="J769">
        <v>587627.99</v>
      </c>
      <c r="K769">
        <v>3.5994062693417499</v>
      </c>
      <c r="L769">
        <v>1314</v>
      </c>
      <c r="M769">
        <v>4.8860298218867397</v>
      </c>
      <c r="N769">
        <v>303.364368340944</v>
      </c>
      <c r="O769">
        <v>398620.78</v>
      </c>
      <c r="P769">
        <v>4.8833553167605199</v>
      </c>
      <c r="Q769">
        <v>619</v>
      </c>
      <c r="R769">
        <v>2.30171420072138</v>
      </c>
      <c r="S769">
        <v>305.34282714054899</v>
      </c>
      <c r="T769">
        <v>189007.21</v>
      </c>
      <c r="U769">
        <v>2.3154572219229799</v>
      </c>
      <c r="V769">
        <v>28</v>
      </c>
      <c r="W769">
        <v>2.0679468242245198</v>
      </c>
    </row>
    <row r="770" spans="1:23" hidden="1" x14ac:dyDescent="0.25">
      <c r="A770" t="s">
        <v>180</v>
      </c>
      <c r="B770">
        <v>6</v>
      </c>
      <c r="C770">
        <v>2025</v>
      </c>
      <c r="D770" t="s">
        <v>126</v>
      </c>
      <c r="E770" t="s">
        <v>127</v>
      </c>
      <c r="F770">
        <v>82</v>
      </c>
      <c r="G770">
        <v>24974.74</v>
      </c>
      <c r="H770">
        <v>82</v>
      </c>
      <c r="I770">
        <v>0.152456029450043</v>
      </c>
      <c r="J770">
        <v>24974.74</v>
      </c>
      <c r="K770">
        <v>0.152978137973278</v>
      </c>
      <c r="L770">
        <v>82</v>
      </c>
      <c r="M770">
        <v>0.30491205890008599</v>
      </c>
      <c r="N770">
        <v>304.57</v>
      </c>
      <c r="O770">
        <v>24974.74</v>
      </c>
      <c r="P770">
        <v>0.305956275946557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2</v>
      </c>
      <c r="W770">
        <v>0.14771048744460899</v>
      </c>
    </row>
    <row r="771" spans="1:23" hidden="1" x14ac:dyDescent="0.25">
      <c r="A771" t="s">
        <v>180</v>
      </c>
      <c r="B771">
        <v>6</v>
      </c>
      <c r="C771">
        <v>2025</v>
      </c>
      <c r="D771" t="s">
        <v>128</v>
      </c>
      <c r="E771" t="s">
        <v>129</v>
      </c>
      <c r="F771">
        <v>-64</v>
      </c>
      <c r="G771">
        <v>-19201.28</v>
      </c>
      <c r="H771">
        <v>64</v>
      </c>
      <c r="I771">
        <v>0.118990071765887</v>
      </c>
      <c r="J771">
        <v>19201.28</v>
      </c>
      <c r="K771">
        <v>0.117613879507997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64</v>
      </c>
      <c r="R771">
        <v>0.23798014353177399</v>
      </c>
      <c r="S771">
        <v>300.02</v>
      </c>
      <c r="T771">
        <v>19201.28</v>
      </c>
      <c r="U771">
        <v>0.23522775901599399</v>
      </c>
      <c r="V771">
        <v>2</v>
      </c>
      <c r="W771">
        <v>0.14771048744460899</v>
      </c>
    </row>
    <row r="772" spans="1:23" hidden="1" x14ac:dyDescent="0.25">
      <c r="A772" t="s">
        <v>180</v>
      </c>
      <c r="B772">
        <v>6</v>
      </c>
      <c r="C772">
        <v>2025</v>
      </c>
      <c r="D772" t="s">
        <v>130</v>
      </c>
      <c r="E772" t="s">
        <v>131</v>
      </c>
      <c r="F772">
        <v>400</v>
      </c>
      <c r="G772">
        <v>122452.84</v>
      </c>
      <c r="H772">
        <v>708</v>
      </c>
      <c r="I772">
        <v>1.31632766891013</v>
      </c>
      <c r="J772">
        <v>215394.88</v>
      </c>
      <c r="K772">
        <v>1.31936138960316</v>
      </c>
      <c r="L772">
        <v>554</v>
      </c>
      <c r="M772">
        <v>2.0600156174469202</v>
      </c>
      <c r="N772">
        <v>304.91671480144402</v>
      </c>
      <c r="O772">
        <v>168923.86</v>
      </c>
      <c r="P772">
        <v>2.0694235505201499</v>
      </c>
      <c r="Q772">
        <v>154</v>
      </c>
      <c r="R772">
        <v>0.572639720373331</v>
      </c>
      <c r="S772">
        <v>301.75987012987002</v>
      </c>
      <c r="T772">
        <v>46471.02</v>
      </c>
      <c r="U772">
        <v>0.56929922868618299</v>
      </c>
      <c r="V772">
        <v>28</v>
      </c>
      <c r="W772">
        <v>2.0679468242245198</v>
      </c>
    </row>
    <row r="773" spans="1:23" hidden="1" x14ac:dyDescent="0.25">
      <c r="A773" t="s">
        <v>180</v>
      </c>
      <c r="B773">
        <v>6</v>
      </c>
      <c r="C773">
        <v>2025</v>
      </c>
      <c r="D773" t="s">
        <v>132</v>
      </c>
      <c r="E773" t="s">
        <v>133</v>
      </c>
      <c r="F773">
        <v>21</v>
      </c>
      <c r="G773">
        <v>6442.94</v>
      </c>
      <c r="H773">
        <v>21</v>
      </c>
      <c r="I773">
        <v>3.9043617298181697E-2</v>
      </c>
      <c r="J773">
        <v>6442.94</v>
      </c>
      <c r="K773">
        <v>3.9465034041337499E-2</v>
      </c>
      <c r="L773">
        <v>21</v>
      </c>
      <c r="M773">
        <v>7.8087234596363395E-2</v>
      </c>
      <c r="N773">
        <v>306.80666666666701</v>
      </c>
      <c r="O773">
        <v>6442.94</v>
      </c>
      <c r="P773">
        <v>7.8930068082675095E-2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5</v>
      </c>
      <c r="W773">
        <v>0.36927621861152099</v>
      </c>
    </row>
    <row r="774" spans="1:23" hidden="1" x14ac:dyDescent="0.25">
      <c r="A774" t="s">
        <v>180</v>
      </c>
      <c r="B774">
        <v>6</v>
      </c>
      <c r="C774">
        <v>2025</v>
      </c>
      <c r="D774" t="s">
        <v>134</v>
      </c>
      <c r="E774" t="s">
        <v>135</v>
      </c>
      <c r="F774">
        <v>-70</v>
      </c>
      <c r="G774">
        <v>-20995.8</v>
      </c>
      <c r="H774">
        <v>70</v>
      </c>
      <c r="I774">
        <v>0.13014539099393899</v>
      </c>
      <c r="J774">
        <v>20995.8</v>
      </c>
      <c r="K774">
        <v>0.12860587895046599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70</v>
      </c>
      <c r="R774">
        <v>0.26029078198787797</v>
      </c>
      <c r="S774">
        <v>299.94</v>
      </c>
      <c r="T774">
        <v>20995.8</v>
      </c>
      <c r="U774">
        <v>0.25721175790093198</v>
      </c>
      <c r="V774">
        <v>2</v>
      </c>
      <c r="W774">
        <v>0.14771048744460899</v>
      </c>
    </row>
    <row r="775" spans="1:23" hidden="1" x14ac:dyDescent="0.25">
      <c r="A775" t="s">
        <v>180</v>
      </c>
      <c r="B775">
        <v>6</v>
      </c>
      <c r="C775">
        <v>2025</v>
      </c>
      <c r="D775" t="s">
        <v>136</v>
      </c>
      <c r="E775" t="s">
        <v>137</v>
      </c>
      <c r="F775">
        <v>-66</v>
      </c>
      <c r="G775">
        <v>-20023.080000000002</v>
      </c>
      <c r="H775">
        <v>66</v>
      </c>
      <c r="I775">
        <v>0.122708511508571</v>
      </c>
      <c r="J775">
        <v>20023.080000000002</v>
      </c>
      <c r="K775">
        <v>0.122647662994289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66</v>
      </c>
      <c r="R775">
        <v>0.24541702301714199</v>
      </c>
      <c r="S775">
        <v>303.38</v>
      </c>
      <c r="T775">
        <v>20023.080000000002</v>
      </c>
      <c r="U775">
        <v>0.24529532598857801</v>
      </c>
      <c r="V775">
        <v>1</v>
      </c>
      <c r="W775">
        <v>7.3855243722304301E-2</v>
      </c>
    </row>
    <row r="776" spans="1:23" hidden="1" x14ac:dyDescent="0.25">
      <c r="A776" t="s">
        <v>180</v>
      </c>
      <c r="B776">
        <v>6</v>
      </c>
      <c r="C776">
        <v>2025</v>
      </c>
      <c r="D776" t="s">
        <v>140</v>
      </c>
      <c r="E776" t="s">
        <v>141</v>
      </c>
      <c r="F776">
        <v>8</v>
      </c>
      <c r="G776">
        <v>2423.52</v>
      </c>
      <c r="H776">
        <v>8</v>
      </c>
      <c r="I776">
        <v>1.48737589707359E-2</v>
      </c>
      <c r="J776">
        <v>2423.52</v>
      </c>
      <c r="K776">
        <v>1.4844822286077799E-2</v>
      </c>
      <c r="L776">
        <v>8</v>
      </c>
      <c r="M776">
        <v>2.9747517941471801E-2</v>
      </c>
      <c r="N776">
        <v>302.94</v>
      </c>
      <c r="O776">
        <v>2423.52</v>
      </c>
      <c r="P776">
        <v>2.9689644572155699E-2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1</v>
      </c>
      <c r="W776">
        <v>7.3855243722304301E-2</v>
      </c>
    </row>
    <row r="777" spans="1:23" hidden="1" x14ac:dyDescent="0.25">
      <c r="A777" t="s">
        <v>180</v>
      </c>
      <c r="B777">
        <v>6</v>
      </c>
      <c r="C777">
        <v>2025</v>
      </c>
      <c r="D777" t="s">
        <v>142</v>
      </c>
      <c r="E777" t="s">
        <v>143</v>
      </c>
      <c r="F777">
        <v>-4414</v>
      </c>
      <c r="G777">
        <v>-1338780</v>
      </c>
      <c r="H777">
        <v>14264</v>
      </c>
      <c r="I777">
        <v>26.519912244822098</v>
      </c>
      <c r="J777">
        <v>4344871.82</v>
      </c>
      <c r="K777">
        <v>26.613706519313901</v>
      </c>
      <c r="L777">
        <v>4925</v>
      </c>
      <c r="M777">
        <v>18.3133157327186</v>
      </c>
      <c r="N777">
        <v>305.18698680203102</v>
      </c>
      <c r="O777">
        <v>1503045.91</v>
      </c>
      <c r="P777">
        <v>18.413257923818399</v>
      </c>
      <c r="Q777">
        <v>9339</v>
      </c>
      <c r="R777">
        <v>34.726508756925597</v>
      </c>
      <c r="S777">
        <v>304.29659599528901</v>
      </c>
      <c r="T777">
        <v>2841825.91</v>
      </c>
      <c r="U777">
        <v>34.814155114809402</v>
      </c>
      <c r="V777">
        <v>253</v>
      </c>
      <c r="W777">
        <v>18.685376661743</v>
      </c>
    </row>
    <row r="778" spans="1:23" hidden="1" x14ac:dyDescent="0.25">
      <c r="A778" t="s">
        <v>180</v>
      </c>
      <c r="B778">
        <v>6</v>
      </c>
      <c r="C778">
        <v>2025</v>
      </c>
      <c r="D778" t="s">
        <v>146</v>
      </c>
      <c r="E778" t="s">
        <v>147</v>
      </c>
      <c r="F778">
        <v>158</v>
      </c>
      <c r="G778">
        <v>48405.7</v>
      </c>
      <c r="H778">
        <v>162</v>
      </c>
      <c r="I778">
        <v>0.301193619157402</v>
      </c>
      <c r="J778">
        <v>49610.3</v>
      </c>
      <c r="K778">
        <v>0.30387869176198601</v>
      </c>
      <c r="L778">
        <v>160</v>
      </c>
      <c r="M778">
        <v>0.59495035882943503</v>
      </c>
      <c r="N778">
        <v>306.3</v>
      </c>
      <c r="O778">
        <v>49008</v>
      </c>
      <c r="P778">
        <v>0.60037882963301503</v>
      </c>
      <c r="Q778">
        <v>2</v>
      </c>
      <c r="R778">
        <v>7.4368794853679398E-3</v>
      </c>
      <c r="S778">
        <v>301.14999999999998</v>
      </c>
      <c r="T778">
        <v>602.29999999999995</v>
      </c>
      <c r="U778">
        <v>7.3785538909558702E-3</v>
      </c>
      <c r="V778">
        <v>3</v>
      </c>
      <c r="W778">
        <v>0.221565731166913</v>
      </c>
    </row>
    <row r="779" spans="1:23" x14ac:dyDescent="0.25">
      <c r="A779" t="s">
        <v>180</v>
      </c>
      <c r="B779">
        <v>6</v>
      </c>
      <c r="C779">
        <v>2025</v>
      </c>
      <c r="D779" t="s">
        <v>148</v>
      </c>
      <c r="E779" t="s">
        <v>148</v>
      </c>
      <c r="F779">
        <v>0</v>
      </c>
      <c r="G779" s="4">
        <v>-4.9885784392245104E-10</v>
      </c>
      <c r="H779">
        <v>53786</v>
      </c>
      <c r="I779">
        <v>0</v>
      </c>
      <c r="J779">
        <v>16325692.24</v>
      </c>
      <c r="K779">
        <v>0</v>
      </c>
      <c r="L779">
        <v>26893</v>
      </c>
      <c r="M779">
        <v>100</v>
      </c>
      <c r="N779">
        <v>303.68326340326303</v>
      </c>
      <c r="O779">
        <v>8162846.1200000001</v>
      </c>
      <c r="P779">
        <v>100</v>
      </c>
      <c r="Q779">
        <v>26893</v>
      </c>
      <c r="R779">
        <v>100</v>
      </c>
      <c r="S779">
        <v>300.35315180824199</v>
      </c>
      <c r="T779">
        <v>8162846.1200000001</v>
      </c>
      <c r="U779">
        <v>100</v>
      </c>
      <c r="V779">
        <v>1354</v>
      </c>
      <c r="W779">
        <v>100</v>
      </c>
    </row>
    <row r="780" spans="1:23" hidden="1" x14ac:dyDescent="0.25">
      <c r="A780" t="s">
        <v>180</v>
      </c>
      <c r="B780">
        <v>6</v>
      </c>
      <c r="C780">
        <v>2025</v>
      </c>
      <c r="D780" t="s">
        <v>149</v>
      </c>
      <c r="E780" t="s">
        <v>150</v>
      </c>
      <c r="F780">
        <v>2183</v>
      </c>
      <c r="G780">
        <v>662799.48</v>
      </c>
      <c r="H780">
        <v>5539</v>
      </c>
      <c r="I780">
        <v>10.2982188673633</v>
      </c>
      <c r="J780">
        <v>1682104.08</v>
      </c>
      <c r="K780">
        <v>10.3034165735321</v>
      </c>
      <c r="L780">
        <v>3861</v>
      </c>
      <c r="M780">
        <v>14.3568958465028</v>
      </c>
      <c r="N780">
        <v>303.66531468531502</v>
      </c>
      <c r="O780">
        <v>1172451.78</v>
      </c>
      <c r="P780">
        <v>14.3632718633192</v>
      </c>
      <c r="Q780">
        <v>1678</v>
      </c>
      <c r="R780">
        <v>6.2395418882236999</v>
      </c>
      <c r="S780">
        <v>303.72604290822397</v>
      </c>
      <c r="T780">
        <v>509652.3</v>
      </c>
      <c r="U780">
        <v>6.2435612837449899</v>
      </c>
      <c r="V780">
        <v>139</v>
      </c>
      <c r="W780">
        <v>10.265878877400301</v>
      </c>
    </row>
    <row r="781" spans="1:23" hidden="1" x14ac:dyDescent="0.25">
      <c r="A781" t="s">
        <v>180</v>
      </c>
      <c r="B781">
        <v>6</v>
      </c>
      <c r="C781">
        <v>2025</v>
      </c>
      <c r="D781" t="s">
        <v>153</v>
      </c>
      <c r="E781" t="s">
        <v>154</v>
      </c>
      <c r="F781">
        <v>26</v>
      </c>
      <c r="G781">
        <v>7951.06</v>
      </c>
      <c r="H781">
        <v>26</v>
      </c>
      <c r="I781">
        <v>4.8339716654891597E-2</v>
      </c>
      <c r="J781">
        <v>7951.06</v>
      </c>
      <c r="K781">
        <v>4.8702743400484402E-2</v>
      </c>
      <c r="L781">
        <v>26</v>
      </c>
      <c r="M781">
        <v>9.6679433309783194E-2</v>
      </c>
      <c r="N781">
        <v>305.81</v>
      </c>
      <c r="O781">
        <v>7951.06</v>
      </c>
      <c r="P781">
        <v>9.7405486800968805E-2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6</v>
      </c>
      <c r="W781">
        <v>0.443131462333826</v>
      </c>
    </row>
    <row r="782" spans="1:23" hidden="1" x14ac:dyDescent="0.25">
      <c r="A782" t="s">
        <v>180</v>
      </c>
      <c r="B782">
        <v>7</v>
      </c>
      <c r="C782">
        <v>2025</v>
      </c>
      <c r="D782" t="s">
        <v>88</v>
      </c>
      <c r="E782" t="s">
        <v>89</v>
      </c>
      <c r="F782">
        <v>301</v>
      </c>
      <c r="G782">
        <v>93831.16</v>
      </c>
      <c r="H782">
        <v>409</v>
      </c>
      <c r="I782">
        <v>0.66189798032107705</v>
      </c>
      <c r="J782">
        <v>127998.56</v>
      </c>
      <c r="K782">
        <v>0.68178496670161004</v>
      </c>
      <c r="L782">
        <v>355</v>
      </c>
      <c r="M782">
        <v>1.1490160538581</v>
      </c>
      <c r="N782">
        <v>312.43622535211301</v>
      </c>
      <c r="O782">
        <v>110914.86</v>
      </c>
      <c r="P782">
        <v>1.18157710730205</v>
      </c>
      <c r="Q782">
        <v>54</v>
      </c>
      <c r="R782">
        <v>0.17477990678405</v>
      </c>
      <c r="S782">
        <v>316.36481481481502</v>
      </c>
      <c r="T782">
        <v>17083.7</v>
      </c>
      <c r="U782">
        <v>0.18199282610117301</v>
      </c>
      <c r="V782">
        <v>11</v>
      </c>
      <c r="W782">
        <v>1.1201629327902201</v>
      </c>
    </row>
    <row r="783" spans="1:23" hidden="1" x14ac:dyDescent="0.25">
      <c r="A783" t="s">
        <v>180</v>
      </c>
      <c r="B783">
        <v>7</v>
      </c>
      <c r="C783">
        <v>2025</v>
      </c>
      <c r="D783" t="s">
        <v>90</v>
      </c>
      <c r="E783" t="s">
        <v>91</v>
      </c>
      <c r="F783">
        <v>-721</v>
      </c>
      <c r="G783">
        <v>-214403.52</v>
      </c>
      <c r="H783">
        <v>2661</v>
      </c>
      <c r="I783">
        <v>4.3063827032625603</v>
      </c>
      <c r="J783">
        <v>817318.56</v>
      </c>
      <c r="K783">
        <v>4.3534513764389802</v>
      </c>
      <c r="L783">
        <v>970</v>
      </c>
      <c r="M783">
        <v>3.1395649922320001</v>
      </c>
      <c r="N783">
        <v>310.780948453608</v>
      </c>
      <c r="O783">
        <v>301457.52</v>
      </c>
      <c r="P783">
        <v>3.2114299603862699</v>
      </c>
      <c r="Q783">
        <v>1691</v>
      </c>
      <c r="R783">
        <v>5.4732004142931103</v>
      </c>
      <c r="S783">
        <v>305.06270845653501</v>
      </c>
      <c r="T783">
        <v>515861.04</v>
      </c>
      <c r="U783">
        <v>5.4954727924916904</v>
      </c>
      <c r="V783">
        <v>132</v>
      </c>
      <c r="W783">
        <v>13.4419551934827</v>
      </c>
    </row>
    <row r="784" spans="1:23" hidden="1" x14ac:dyDescent="0.25">
      <c r="A784" t="s">
        <v>180</v>
      </c>
      <c r="B784">
        <v>7</v>
      </c>
      <c r="C784">
        <v>2025</v>
      </c>
      <c r="D784" t="s">
        <v>92</v>
      </c>
      <c r="E784" t="s">
        <v>93</v>
      </c>
      <c r="F784">
        <v>322</v>
      </c>
      <c r="G784">
        <v>99895.81</v>
      </c>
      <c r="H784">
        <v>322</v>
      </c>
      <c r="I784">
        <v>0.52110305541170399</v>
      </c>
      <c r="J784">
        <v>99895.81</v>
      </c>
      <c r="K784">
        <v>0.53209552900032897</v>
      </c>
      <c r="L784">
        <v>322</v>
      </c>
      <c r="M784">
        <v>1.04220611082341</v>
      </c>
      <c r="N784">
        <v>310.23543478260899</v>
      </c>
      <c r="O784">
        <v>99895.81</v>
      </c>
      <c r="P784">
        <v>1.0641910580006599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3</v>
      </c>
      <c r="W784">
        <v>0.30549898167006101</v>
      </c>
    </row>
    <row r="785" spans="1:23" hidden="1" x14ac:dyDescent="0.25">
      <c r="A785" t="s">
        <v>180</v>
      </c>
      <c r="B785">
        <v>7</v>
      </c>
      <c r="C785">
        <v>2025</v>
      </c>
      <c r="D785" t="s">
        <v>94</v>
      </c>
      <c r="E785" t="s">
        <v>95</v>
      </c>
      <c r="F785">
        <v>-4220</v>
      </c>
      <c r="G785">
        <v>-1318893.1399999999</v>
      </c>
      <c r="H785">
        <v>10868</v>
      </c>
      <c r="I785">
        <v>17.5880372863801</v>
      </c>
      <c r="J785">
        <v>3363507.28</v>
      </c>
      <c r="K785">
        <v>17.9157382621759</v>
      </c>
      <c r="L785">
        <v>3324</v>
      </c>
      <c r="M785">
        <v>10.758674262040399</v>
      </c>
      <c r="N785">
        <v>307.55327015643797</v>
      </c>
      <c r="O785">
        <v>1022307.07</v>
      </c>
      <c r="P785">
        <v>10.890647389763901</v>
      </c>
      <c r="Q785">
        <v>7544</v>
      </c>
      <c r="R785">
        <v>24.417400310719799</v>
      </c>
      <c r="S785">
        <v>310.33937036055102</v>
      </c>
      <c r="T785">
        <v>2341200.21</v>
      </c>
      <c r="U785">
        <v>24.940829134587901</v>
      </c>
      <c r="V785">
        <v>348</v>
      </c>
      <c r="W785">
        <v>35.4378818737271</v>
      </c>
    </row>
    <row r="786" spans="1:23" hidden="1" x14ac:dyDescent="0.25">
      <c r="A786" t="s">
        <v>180</v>
      </c>
      <c r="B786">
        <v>7</v>
      </c>
      <c r="C786">
        <v>2025</v>
      </c>
      <c r="D786" t="s">
        <v>102</v>
      </c>
      <c r="E786" t="s">
        <v>103</v>
      </c>
      <c r="F786">
        <v>2104</v>
      </c>
      <c r="G786">
        <v>656926.66</v>
      </c>
      <c r="H786">
        <v>2978</v>
      </c>
      <c r="I786">
        <v>4.8193940963231503</v>
      </c>
      <c r="J786">
        <v>923176.48</v>
      </c>
      <c r="K786">
        <v>4.9173041140190099</v>
      </c>
      <c r="L786">
        <v>2541</v>
      </c>
      <c r="M786">
        <v>8.2243656136716705</v>
      </c>
      <c r="N786">
        <v>310.921515151515</v>
      </c>
      <c r="O786">
        <v>790051.57</v>
      </c>
      <c r="P786">
        <v>8.41642723707211</v>
      </c>
      <c r="Q786">
        <v>437</v>
      </c>
      <c r="R786">
        <v>1.4144225789746201</v>
      </c>
      <c r="S786">
        <v>304.63366132723098</v>
      </c>
      <c r="T786">
        <v>133124.91</v>
      </c>
      <c r="U786">
        <v>1.41818099096591</v>
      </c>
      <c r="V786">
        <v>74</v>
      </c>
      <c r="W786">
        <v>7.53564154786151</v>
      </c>
    </row>
    <row r="787" spans="1:23" hidden="1" x14ac:dyDescent="0.25">
      <c r="A787" t="s">
        <v>180</v>
      </c>
      <c r="B787">
        <v>7</v>
      </c>
      <c r="C787">
        <v>2025</v>
      </c>
      <c r="D787" t="s">
        <v>104</v>
      </c>
      <c r="E787" t="s">
        <v>105</v>
      </c>
      <c r="F787">
        <v>-193</v>
      </c>
      <c r="G787">
        <v>-59376.34</v>
      </c>
      <c r="H787">
        <v>853</v>
      </c>
      <c r="I787">
        <v>1.3804375970999501</v>
      </c>
      <c r="J787">
        <v>264549.62</v>
      </c>
      <c r="K787">
        <v>1.4091248672065</v>
      </c>
      <c r="L787">
        <v>330</v>
      </c>
      <c r="M787">
        <v>1.06809943034697</v>
      </c>
      <c r="N787">
        <v>310.868606060606</v>
      </c>
      <c r="O787">
        <v>102586.64</v>
      </c>
      <c r="P787">
        <v>1.09285649676731</v>
      </c>
      <c r="Q787">
        <v>523</v>
      </c>
      <c r="R787">
        <v>1.6927757638529299</v>
      </c>
      <c r="S787">
        <v>309.680650095602</v>
      </c>
      <c r="T787">
        <v>161962.98000000001</v>
      </c>
      <c r="U787">
        <v>1.7253932376457</v>
      </c>
      <c r="V787">
        <v>46</v>
      </c>
      <c r="W787">
        <v>4.6843177189409397</v>
      </c>
    </row>
    <row r="788" spans="1:23" hidden="1" x14ac:dyDescent="0.25">
      <c r="A788" t="s">
        <v>180</v>
      </c>
      <c r="B788">
        <v>7</v>
      </c>
      <c r="C788">
        <v>2025</v>
      </c>
      <c r="D788" t="s">
        <v>106</v>
      </c>
      <c r="E788" t="s">
        <v>107</v>
      </c>
      <c r="F788">
        <v>95</v>
      </c>
      <c r="G788">
        <v>29108.7</v>
      </c>
      <c r="H788">
        <v>145</v>
      </c>
      <c r="I788">
        <v>0.234658208182289</v>
      </c>
      <c r="J788">
        <v>44948.7</v>
      </c>
      <c r="K788">
        <v>0.239419474193933</v>
      </c>
      <c r="L788">
        <v>120</v>
      </c>
      <c r="M788">
        <v>0.388399792853444</v>
      </c>
      <c r="N788">
        <v>308.57249999999999</v>
      </c>
      <c r="O788">
        <v>37028.699999999997</v>
      </c>
      <c r="P788">
        <v>0.39446710957535602</v>
      </c>
      <c r="Q788">
        <v>25</v>
      </c>
      <c r="R788">
        <v>8.09166235111341E-2</v>
      </c>
      <c r="S788">
        <v>316.8</v>
      </c>
      <c r="T788">
        <v>7920</v>
      </c>
      <c r="U788">
        <v>8.4371838812510799E-2</v>
      </c>
      <c r="V788">
        <v>5</v>
      </c>
      <c r="W788">
        <v>0.50916496945010203</v>
      </c>
    </row>
    <row r="789" spans="1:23" hidden="1" x14ac:dyDescent="0.25">
      <c r="A789" t="s">
        <v>180</v>
      </c>
      <c r="B789">
        <v>7</v>
      </c>
      <c r="C789">
        <v>2025</v>
      </c>
      <c r="D789" t="s">
        <v>110</v>
      </c>
      <c r="E789" t="s">
        <v>111</v>
      </c>
      <c r="F789">
        <v>72</v>
      </c>
      <c r="G789">
        <v>22229.37</v>
      </c>
      <c r="H789">
        <v>112</v>
      </c>
      <c r="I789">
        <v>0.18125323666494</v>
      </c>
      <c r="J789">
        <v>34780.17</v>
      </c>
      <c r="K789">
        <v>0.18525674855503299</v>
      </c>
      <c r="L789">
        <v>92</v>
      </c>
      <c r="M789">
        <v>0.29777317452097402</v>
      </c>
      <c r="N789">
        <v>309.83445652173901</v>
      </c>
      <c r="O789">
        <v>28504.77</v>
      </c>
      <c r="P789">
        <v>0.30366159846309299</v>
      </c>
      <c r="Q789">
        <v>20</v>
      </c>
      <c r="R789">
        <v>6.4733298808907297E-2</v>
      </c>
      <c r="S789">
        <v>313.77</v>
      </c>
      <c r="T789">
        <v>6275.4</v>
      </c>
      <c r="U789">
        <v>6.6851898646973607E-2</v>
      </c>
      <c r="V789">
        <v>18</v>
      </c>
      <c r="W789">
        <v>1.8329938900203699</v>
      </c>
    </row>
    <row r="790" spans="1:23" hidden="1" x14ac:dyDescent="0.25">
      <c r="A790" t="s">
        <v>180</v>
      </c>
      <c r="B790">
        <v>7</v>
      </c>
      <c r="C790">
        <v>2025</v>
      </c>
      <c r="D790" t="s">
        <v>112</v>
      </c>
      <c r="E790" t="s">
        <v>113</v>
      </c>
      <c r="F790">
        <v>-260</v>
      </c>
      <c r="G790">
        <v>-80523.600000000006</v>
      </c>
      <c r="H790">
        <v>260</v>
      </c>
      <c r="I790">
        <v>0.420766442257897</v>
      </c>
      <c r="J790">
        <v>80523.600000000006</v>
      </c>
      <c r="K790">
        <v>0.42890935604817498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260</v>
      </c>
      <c r="R790">
        <v>0.841532884515795</v>
      </c>
      <c r="S790">
        <v>309.706153846154</v>
      </c>
      <c r="T790">
        <v>80523.600000000006</v>
      </c>
      <c r="U790">
        <v>0.85781871209635097</v>
      </c>
      <c r="V790">
        <v>7</v>
      </c>
      <c r="W790">
        <v>0.712830957230143</v>
      </c>
    </row>
    <row r="791" spans="1:23" hidden="1" x14ac:dyDescent="0.25">
      <c r="A791" t="s">
        <v>180</v>
      </c>
      <c r="B791">
        <v>7</v>
      </c>
      <c r="C791">
        <v>2025</v>
      </c>
      <c r="D791" t="s">
        <v>163</v>
      </c>
      <c r="E791" t="s">
        <v>164</v>
      </c>
      <c r="F791">
        <v>7</v>
      </c>
      <c r="G791">
        <v>2108.2600000000002</v>
      </c>
      <c r="H791">
        <v>7</v>
      </c>
      <c r="I791">
        <v>1.1328327291558801E-2</v>
      </c>
      <c r="J791">
        <v>2108.2600000000002</v>
      </c>
      <c r="K791">
        <v>1.12296573797263E-2</v>
      </c>
      <c r="L791">
        <v>7</v>
      </c>
      <c r="M791">
        <v>2.2656654583117601E-2</v>
      </c>
      <c r="N791">
        <v>301.18</v>
      </c>
      <c r="O791">
        <v>2108.2600000000002</v>
      </c>
      <c r="P791">
        <v>2.2459314759452498E-2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1</v>
      </c>
      <c r="W791">
        <v>0.10183299389002</v>
      </c>
    </row>
    <row r="792" spans="1:23" hidden="1" x14ac:dyDescent="0.25">
      <c r="A792" t="s">
        <v>180</v>
      </c>
      <c r="B792">
        <v>7</v>
      </c>
      <c r="C792">
        <v>2025</v>
      </c>
      <c r="D792" t="s">
        <v>116</v>
      </c>
      <c r="E792" t="s">
        <v>117</v>
      </c>
      <c r="F792">
        <v>350</v>
      </c>
      <c r="G792">
        <v>108107.49</v>
      </c>
      <c r="H792">
        <v>834</v>
      </c>
      <c r="I792">
        <v>1.3496892801657201</v>
      </c>
      <c r="J792">
        <v>255597.33</v>
      </c>
      <c r="K792">
        <v>1.36144044997905</v>
      </c>
      <c r="L792">
        <v>592</v>
      </c>
      <c r="M792">
        <v>1.91610564474366</v>
      </c>
      <c r="N792">
        <v>307.18312500000002</v>
      </c>
      <c r="O792">
        <v>181852.41</v>
      </c>
      <c r="P792">
        <v>1.9372755333569001</v>
      </c>
      <c r="Q792">
        <v>242</v>
      </c>
      <c r="R792">
        <v>0.78327291558777801</v>
      </c>
      <c r="S792">
        <v>304.73107438016501</v>
      </c>
      <c r="T792">
        <v>73744.92</v>
      </c>
      <c r="U792">
        <v>0.78560536660119995</v>
      </c>
      <c r="V792">
        <v>32</v>
      </c>
      <c r="W792">
        <v>3.2586558044806502</v>
      </c>
    </row>
    <row r="793" spans="1:23" hidden="1" x14ac:dyDescent="0.25">
      <c r="A793" t="s">
        <v>180</v>
      </c>
      <c r="B793">
        <v>7</v>
      </c>
      <c r="C793">
        <v>2025</v>
      </c>
      <c r="D793" t="s">
        <v>118</v>
      </c>
      <c r="E793" t="s">
        <v>119</v>
      </c>
      <c r="F793">
        <v>770</v>
      </c>
      <c r="G793">
        <v>236744.99</v>
      </c>
      <c r="H793">
        <v>998</v>
      </c>
      <c r="I793">
        <v>1.6150958052822399</v>
      </c>
      <c r="J793">
        <v>305564.21000000002</v>
      </c>
      <c r="K793">
        <v>1.62758928491112</v>
      </c>
      <c r="L793">
        <v>884</v>
      </c>
      <c r="M793">
        <v>2.8612118073536998</v>
      </c>
      <c r="N793">
        <v>306.73597285067899</v>
      </c>
      <c r="O793">
        <v>271154.59999999998</v>
      </c>
      <c r="P793">
        <v>2.88861265207965</v>
      </c>
      <c r="Q793">
        <v>114</v>
      </c>
      <c r="R793">
        <v>0.36897980321077201</v>
      </c>
      <c r="S793">
        <v>301.83868421052603</v>
      </c>
      <c r="T793">
        <v>34409.61</v>
      </c>
      <c r="U793">
        <v>0.366565917742596</v>
      </c>
      <c r="V793">
        <v>39</v>
      </c>
      <c r="W793">
        <v>3.9714867617107901</v>
      </c>
    </row>
    <row r="794" spans="1:23" hidden="1" x14ac:dyDescent="0.25">
      <c r="A794" t="s">
        <v>180</v>
      </c>
      <c r="B794">
        <v>7</v>
      </c>
      <c r="C794">
        <v>2025</v>
      </c>
      <c r="D794" t="s">
        <v>120</v>
      </c>
      <c r="E794" t="s">
        <v>121</v>
      </c>
      <c r="F794">
        <v>-348</v>
      </c>
      <c r="G794">
        <v>-105114.52</v>
      </c>
      <c r="H794">
        <v>608</v>
      </c>
      <c r="I794">
        <v>0.98394614189539098</v>
      </c>
      <c r="J794">
        <v>186553.3</v>
      </c>
      <c r="K794">
        <v>0.99367708065290306</v>
      </c>
      <c r="L794">
        <v>130</v>
      </c>
      <c r="M794">
        <v>0.420766442257897</v>
      </c>
      <c r="N794">
        <v>313.22607692307702</v>
      </c>
      <c r="O794">
        <v>40719.39</v>
      </c>
      <c r="P794">
        <v>0.43378406687168802</v>
      </c>
      <c r="Q794">
        <v>478</v>
      </c>
      <c r="R794">
        <v>1.5471258415328799</v>
      </c>
      <c r="S794">
        <v>305.09186192468599</v>
      </c>
      <c r="T794">
        <v>145833.91</v>
      </c>
      <c r="U794">
        <v>1.55357009443412</v>
      </c>
      <c r="V794">
        <v>16</v>
      </c>
      <c r="W794">
        <v>1.62932790224033</v>
      </c>
    </row>
    <row r="795" spans="1:23" hidden="1" x14ac:dyDescent="0.25">
      <c r="A795" t="s">
        <v>180</v>
      </c>
      <c r="B795">
        <v>7</v>
      </c>
      <c r="C795">
        <v>2025</v>
      </c>
      <c r="D795" t="s">
        <v>122</v>
      </c>
      <c r="E795" t="s">
        <v>123</v>
      </c>
      <c r="F795">
        <v>-864</v>
      </c>
      <c r="G795">
        <v>-271174.62</v>
      </c>
      <c r="H795">
        <v>1574</v>
      </c>
      <c r="I795">
        <v>2.5472553081305001</v>
      </c>
      <c r="J795">
        <v>490398.74</v>
      </c>
      <c r="K795">
        <v>2.6121113286072202</v>
      </c>
      <c r="L795">
        <v>355</v>
      </c>
      <c r="M795">
        <v>1.1490160538581</v>
      </c>
      <c r="N795">
        <v>308.766366197183</v>
      </c>
      <c r="O795">
        <v>109612.06</v>
      </c>
      <c r="P795">
        <v>1.16769836593779</v>
      </c>
      <c r="Q795">
        <v>1219</v>
      </c>
      <c r="R795">
        <v>3.9454945624028999</v>
      </c>
      <c r="S795">
        <v>312.376275635767</v>
      </c>
      <c r="T795">
        <v>380786.68</v>
      </c>
      <c r="U795">
        <v>4.0565242912766601</v>
      </c>
      <c r="V795">
        <v>31</v>
      </c>
      <c r="W795">
        <v>3.1568228105906302</v>
      </c>
    </row>
    <row r="796" spans="1:23" hidden="1" x14ac:dyDescent="0.25">
      <c r="A796" t="s">
        <v>180</v>
      </c>
      <c r="B796">
        <v>7</v>
      </c>
      <c r="C796">
        <v>2025</v>
      </c>
      <c r="D796" t="s">
        <v>126</v>
      </c>
      <c r="E796" t="s">
        <v>127</v>
      </c>
      <c r="F796">
        <v>81</v>
      </c>
      <c r="G796">
        <v>24792.55</v>
      </c>
      <c r="H796">
        <v>81</v>
      </c>
      <c r="I796">
        <v>0.13108493008803701</v>
      </c>
      <c r="J796">
        <v>24792.55</v>
      </c>
      <c r="K796">
        <v>0.13205764093125699</v>
      </c>
      <c r="L796">
        <v>81</v>
      </c>
      <c r="M796">
        <v>0.26216986017607502</v>
      </c>
      <c r="N796">
        <v>306.08086419753101</v>
      </c>
      <c r="O796">
        <v>24792.55</v>
      </c>
      <c r="P796">
        <v>0.26411528186251498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5</v>
      </c>
      <c r="W796">
        <v>0.50916496945010203</v>
      </c>
    </row>
    <row r="797" spans="1:23" hidden="1" x14ac:dyDescent="0.25">
      <c r="A797" t="s">
        <v>180</v>
      </c>
      <c r="B797">
        <v>7</v>
      </c>
      <c r="C797">
        <v>2025</v>
      </c>
      <c r="D797" t="s">
        <v>130</v>
      </c>
      <c r="E797" t="s">
        <v>131</v>
      </c>
      <c r="F797">
        <v>38</v>
      </c>
      <c r="G797">
        <v>11671.9</v>
      </c>
      <c r="H797">
        <v>38</v>
      </c>
      <c r="I797">
        <v>6.1496633868461902E-2</v>
      </c>
      <c r="J797">
        <v>11671.9</v>
      </c>
      <c r="K797">
        <v>6.2170433423973798E-2</v>
      </c>
      <c r="L797">
        <v>38</v>
      </c>
      <c r="M797">
        <v>0.122993267736924</v>
      </c>
      <c r="N797">
        <v>307.15526315789498</v>
      </c>
      <c r="O797">
        <v>11671.9</v>
      </c>
      <c r="P797">
        <v>0.124340866847948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4</v>
      </c>
      <c r="W797">
        <v>0.40733197556008099</v>
      </c>
    </row>
    <row r="798" spans="1:23" hidden="1" x14ac:dyDescent="0.25">
      <c r="A798" t="s">
        <v>180</v>
      </c>
      <c r="B798">
        <v>7</v>
      </c>
      <c r="C798">
        <v>2025</v>
      </c>
      <c r="D798" t="s">
        <v>132</v>
      </c>
      <c r="E798" t="s">
        <v>133</v>
      </c>
      <c r="F798">
        <v>87</v>
      </c>
      <c r="G798">
        <v>26414.23</v>
      </c>
      <c r="H798">
        <v>173</v>
      </c>
      <c r="I798">
        <v>0.27997151734852399</v>
      </c>
      <c r="J798">
        <v>52801.73</v>
      </c>
      <c r="K798">
        <v>0.28124867756197702</v>
      </c>
      <c r="L798">
        <v>130</v>
      </c>
      <c r="M798">
        <v>0.420766442257897</v>
      </c>
      <c r="N798">
        <v>304.67676923076903</v>
      </c>
      <c r="O798">
        <v>39607.980000000003</v>
      </c>
      <c r="P798">
        <v>0.42194420508196401</v>
      </c>
      <c r="Q798">
        <v>43</v>
      </c>
      <c r="R798">
        <v>0.13917659243915101</v>
      </c>
      <c r="S798">
        <v>306.83139534883702</v>
      </c>
      <c r="T798">
        <v>13193.75</v>
      </c>
      <c r="U798">
        <v>0.14055315004199101</v>
      </c>
      <c r="V798">
        <v>12</v>
      </c>
      <c r="W798">
        <v>1.22199592668024</v>
      </c>
    </row>
    <row r="799" spans="1:23" hidden="1" x14ac:dyDescent="0.25">
      <c r="A799" t="s">
        <v>180</v>
      </c>
      <c r="B799">
        <v>7</v>
      </c>
      <c r="C799">
        <v>2025</v>
      </c>
      <c r="D799" t="s">
        <v>134</v>
      </c>
      <c r="E799" t="s">
        <v>135</v>
      </c>
      <c r="F799">
        <v>-32</v>
      </c>
      <c r="G799">
        <v>-9920</v>
      </c>
      <c r="H799">
        <v>32</v>
      </c>
      <c r="I799">
        <v>5.1786639047125799E-2</v>
      </c>
      <c r="J799">
        <v>9920</v>
      </c>
      <c r="K799">
        <v>5.2838929357329999E-2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32</v>
      </c>
      <c r="R799">
        <v>0.103573278094252</v>
      </c>
      <c r="S799">
        <v>310</v>
      </c>
      <c r="T799">
        <v>9920</v>
      </c>
      <c r="U799">
        <v>0.10567785871466</v>
      </c>
      <c r="V799">
        <v>1</v>
      </c>
      <c r="W799">
        <v>0.10183299389002</v>
      </c>
    </row>
    <row r="800" spans="1:23" hidden="1" x14ac:dyDescent="0.25">
      <c r="A800" t="s">
        <v>180</v>
      </c>
      <c r="B800">
        <v>7</v>
      </c>
      <c r="C800">
        <v>2025</v>
      </c>
      <c r="D800" t="s">
        <v>140</v>
      </c>
      <c r="E800" t="s">
        <v>141</v>
      </c>
      <c r="F800">
        <v>-50</v>
      </c>
      <c r="G800">
        <v>-15725.4</v>
      </c>
      <c r="H800">
        <v>50</v>
      </c>
      <c r="I800">
        <v>8.09166235111341E-2</v>
      </c>
      <c r="J800">
        <v>15725.4</v>
      </c>
      <c r="K800">
        <v>8.3761421342314193E-2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50</v>
      </c>
      <c r="R800">
        <v>0.16183324702226801</v>
      </c>
      <c r="S800">
        <v>314.50799999999998</v>
      </c>
      <c r="T800">
        <v>15725.4</v>
      </c>
      <c r="U800">
        <v>0.167522842684629</v>
      </c>
      <c r="V800">
        <v>2</v>
      </c>
      <c r="W800">
        <v>0.203665987780041</v>
      </c>
    </row>
    <row r="801" spans="1:23" hidden="1" x14ac:dyDescent="0.25">
      <c r="A801" t="s">
        <v>180</v>
      </c>
      <c r="B801">
        <v>7</v>
      </c>
      <c r="C801">
        <v>2025</v>
      </c>
      <c r="D801" t="s">
        <v>142</v>
      </c>
      <c r="E801" t="s">
        <v>143</v>
      </c>
      <c r="F801">
        <v>320</v>
      </c>
      <c r="G801">
        <v>98936.010000000693</v>
      </c>
      <c r="H801">
        <v>35772</v>
      </c>
      <c r="I801">
        <v>57.890989124805799</v>
      </c>
      <c r="J801">
        <v>10727038.67</v>
      </c>
      <c r="K801">
        <v>57.137624848535999</v>
      </c>
      <c r="L801">
        <v>18046</v>
      </c>
      <c r="M801">
        <v>58.408855515277097</v>
      </c>
      <c r="N801">
        <v>299.95496730577401</v>
      </c>
      <c r="O801">
        <v>5412987.3399999999</v>
      </c>
      <c r="P801">
        <v>57.664607998060802</v>
      </c>
      <c r="Q801">
        <v>17726</v>
      </c>
      <c r="R801">
        <v>57.373122734334501</v>
      </c>
      <c r="S801">
        <v>299.78852138102201</v>
      </c>
      <c r="T801">
        <v>5314051.33</v>
      </c>
      <c r="U801">
        <v>56.610641699011197</v>
      </c>
      <c r="V801">
        <v>111</v>
      </c>
      <c r="W801">
        <v>11.303462321792299</v>
      </c>
    </row>
    <row r="802" spans="1:23" hidden="1" x14ac:dyDescent="0.25">
      <c r="A802" t="s">
        <v>180</v>
      </c>
      <c r="B802">
        <v>7</v>
      </c>
      <c r="C802">
        <v>2025</v>
      </c>
      <c r="D802" t="s">
        <v>146</v>
      </c>
      <c r="E802" t="s">
        <v>147</v>
      </c>
      <c r="F802">
        <v>163</v>
      </c>
      <c r="G802">
        <v>49625.83</v>
      </c>
      <c r="H802">
        <v>233</v>
      </c>
      <c r="I802">
        <v>0.37707146556188498</v>
      </c>
      <c r="J802">
        <v>70952.03</v>
      </c>
      <c r="K802">
        <v>0.37792634081947202</v>
      </c>
      <c r="L802">
        <v>198</v>
      </c>
      <c r="M802">
        <v>0.64085965820818203</v>
      </c>
      <c r="N802">
        <v>304.48954545454501</v>
      </c>
      <c r="O802">
        <v>60288.93</v>
      </c>
      <c r="P802">
        <v>0.64225857122964003</v>
      </c>
      <c r="Q802">
        <v>35</v>
      </c>
      <c r="R802">
        <v>0.113283272915588</v>
      </c>
      <c r="S802">
        <v>304.66000000000003</v>
      </c>
      <c r="T802">
        <v>10663.1</v>
      </c>
      <c r="U802">
        <v>0.11359411040930401</v>
      </c>
      <c r="V802">
        <v>10</v>
      </c>
      <c r="W802">
        <v>1.0183299389002001</v>
      </c>
    </row>
    <row r="803" spans="1:23" x14ac:dyDescent="0.25">
      <c r="A803" t="s">
        <v>180</v>
      </c>
      <c r="B803">
        <v>7</v>
      </c>
      <c r="C803">
        <v>2025</v>
      </c>
      <c r="D803" t="s">
        <v>148</v>
      </c>
      <c r="E803" t="s">
        <v>148</v>
      </c>
      <c r="F803">
        <v>0</v>
      </c>
      <c r="G803" s="4">
        <v>1.1509655450936401E-9</v>
      </c>
      <c r="H803">
        <v>61792</v>
      </c>
      <c r="I803">
        <v>0</v>
      </c>
      <c r="J803">
        <v>18774036.719999999</v>
      </c>
      <c r="K803">
        <v>0</v>
      </c>
      <c r="L803">
        <v>30896</v>
      </c>
      <c r="M803">
        <v>100</v>
      </c>
      <c r="N803">
        <v>307.55327015643797</v>
      </c>
      <c r="O803">
        <v>9387018.3599999994</v>
      </c>
      <c r="P803">
        <v>100</v>
      </c>
      <c r="Q803">
        <v>30896</v>
      </c>
      <c r="R803">
        <v>100</v>
      </c>
      <c r="S803">
        <v>305.09186192468599</v>
      </c>
      <c r="T803">
        <v>9387018.3599999994</v>
      </c>
      <c r="U803">
        <v>100</v>
      </c>
      <c r="V803">
        <v>982</v>
      </c>
      <c r="W803">
        <v>100</v>
      </c>
    </row>
    <row r="804" spans="1:23" hidden="1" x14ac:dyDescent="0.25">
      <c r="A804" t="s">
        <v>180</v>
      </c>
      <c r="B804">
        <v>7</v>
      </c>
      <c r="C804">
        <v>2025</v>
      </c>
      <c r="D804" t="s">
        <v>149</v>
      </c>
      <c r="E804" t="s">
        <v>150</v>
      </c>
      <c r="F804">
        <v>1966</v>
      </c>
      <c r="G804">
        <v>610999.41</v>
      </c>
      <c r="H804">
        <v>2772</v>
      </c>
      <c r="I804">
        <v>4.4860176074572804</v>
      </c>
      <c r="J804">
        <v>860475.05</v>
      </c>
      <c r="K804">
        <v>4.58332463515071</v>
      </c>
      <c r="L804">
        <v>2369</v>
      </c>
      <c r="M804">
        <v>7.6676592439150699</v>
      </c>
      <c r="N804">
        <v>310.56869143098402</v>
      </c>
      <c r="O804">
        <v>735737.23</v>
      </c>
      <c r="P804">
        <v>7.8378160325660602</v>
      </c>
      <c r="Q804">
        <v>403</v>
      </c>
      <c r="R804">
        <v>1.30437597099948</v>
      </c>
      <c r="S804">
        <v>309.52312655086803</v>
      </c>
      <c r="T804">
        <v>124737.82</v>
      </c>
      <c r="U804">
        <v>1.32883323773535</v>
      </c>
      <c r="V804">
        <v>70</v>
      </c>
      <c r="W804">
        <v>7.1283095723014203</v>
      </c>
    </row>
    <row r="805" spans="1:23" hidden="1" x14ac:dyDescent="0.25">
      <c r="A805" t="s">
        <v>180</v>
      </c>
      <c r="B805">
        <v>7</v>
      </c>
      <c r="C805">
        <v>2025</v>
      </c>
      <c r="D805" t="s">
        <v>153</v>
      </c>
      <c r="E805" t="s">
        <v>154</v>
      </c>
      <c r="F805">
        <v>12</v>
      </c>
      <c r="G805">
        <v>3738.77</v>
      </c>
      <c r="H805">
        <v>12</v>
      </c>
      <c r="I805">
        <v>1.9419989642672199E-2</v>
      </c>
      <c r="J805">
        <v>3738.77</v>
      </c>
      <c r="K805">
        <v>1.9914577007389599E-2</v>
      </c>
      <c r="L805">
        <v>12</v>
      </c>
      <c r="M805">
        <v>3.8839979285344398E-2</v>
      </c>
      <c r="N805">
        <v>311.56416666666701</v>
      </c>
      <c r="O805">
        <v>3738.77</v>
      </c>
      <c r="P805">
        <v>3.9829154014779197E-2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4</v>
      </c>
      <c r="W805">
        <v>0.40733197556008099</v>
      </c>
    </row>
    <row r="806" spans="1:23" hidden="1" x14ac:dyDescent="0.25">
      <c r="A806" t="s">
        <v>180</v>
      </c>
      <c r="B806">
        <v>8</v>
      </c>
      <c r="C806">
        <v>2025</v>
      </c>
      <c r="D806" t="s">
        <v>88</v>
      </c>
      <c r="E806" t="s">
        <v>89</v>
      </c>
      <c r="F806">
        <v>492</v>
      </c>
      <c r="G806">
        <v>151823.93</v>
      </c>
      <c r="H806">
        <v>572</v>
      </c>
      <c r="I806">
        <v>3.1623175586023899</v>
      </c>
      <c r="J806">
        <v>176771.17</v>
      </c>
      <c r="K806">
        <v>3.15240444423989</v>
      </c>
      <c r="L806">
        <v>532</v>
      </c>
      <c r="M806">
        <v>5.8823529411764701</v>
      </c>
      <c r="N806">
        <v>308.829981203008</v>
      </c>
      <c r="O806">
        <v>164297.54999999999</v>
      </c>
      <c r="P806">
        <v>5.85991852401866</v>
      </c>
      <c r="Q806">
        <v>40</v>
      </c>
      <c r="R806">
        <v>0.442282176028306</v>
      </c>
      <c r="S806">
        <v>311.84050000000002</v>
      </c>
      <c r="T806">
        <v>12473.62</v>
      </c>
      <c r="U806">
        <v>0.44489036446112401</v>
      </c>
      <c r="V806">
        <v>19</v>
      </c>
      <c r="W806">
        <v>2.6610644257703102</v>
      </c>
    </row>
    <row r="807" spans="1:23" hidden="1" x14ac:dyDescent="0.25">
      <c r="A807" t="s">
        <v>180</v>
      </c>
      <c r="B807">
        <v>8</v>
      </c>
      <c r="C807">
        <v>2025</v>
      </c>
      <c r="D807" t="s">
        <v>90</v>
      </c>
      <c r="E807" t="s">
        <v>91</v>
      </c>
      <c r="F807">
        <v>-196</v>
      </c>
      <c r="G807">
        <v>-60819.65</v>
      </c>
      <c r="H807">
        <v>578</v>
      </c>
      <c r="I807">
        <v>3.19548872180451</v>
      </c>
      <c r="J807">
        <v>179263.97</v>
      </c>
      <c r="K807">
        <v>3.1968591695132602</v>
      </c>
      <c r="L807">
        <v>191</v>
      </c>
      <c r="M807">
        <v>2.1118973905351601</v>
      </c>
      <c r="N807">
        <v>310.063664921466</v>
      </c>
      <c r="O807">
        <v>59222.16</v>
      </c>
      <c r="P807">
        <v>2.11224715412005</v>
      </c>
      <c r="Q807">
        <v>387</v>
      </c>
      <c r="R807">
        <v>4.2790800530738604</v>
      </c>
      <c r="S807">
        <v>310.18555555555599</v>
      </c>
      <c r="T807">
        <v>120041.81</v>
      </c>
      <c r="U807">
        <v>4.2814711849064597</v>
      </c>
      <c r="V807">
        <v>65</v>
      </c>
      <c r="W807">
        <v>9.1036414565826291</v>
      </c>
    </row>
    <row r="808" spans="1:23" hidden="1" x14ac:dyDescent="0.25">
      <c r="A808" t="s">
        <v>180</v>
      </c>
      <c r="B808">
        <v>8</v>
      </c>
      <c r="C808">
        <v>2025</v>
      </c>
      <c r="D808" t="s">
        <v>94</v>
      </c>
      <c r="E808" t="s">
        <v>95</v>
      </c>
      <c r="F808">
        <v>-3435</v>
      </c>
      <c r="G808">
        <v>-1068609.04</v>
      </c>
      <c r="H808">
        <v>6907</v>
      </c>
      <c r="I808">
        <v>38.185537372843903</v>
      </c>
      <c r="J808">
        <v>2140188.2999999998</v>
      </c>
      <c r="K808">
        <v>38.166512720542698</v>
      </c>
      <c r="L808">
        <v>1736</v>
      </c>
      <c r="M808">
        <v>19.195046439628499</v>
      </c>
      <c r="N808">
        <v>308.63457949308702</v>
      </c>
      <c r="O808">
        <v>535789.63</v>
      </c>
      <c r="P808">
        <v>19.1097406979843</v>
      </c>
      <c r="Q808">
        <v>5171</v>
      </c>
      <c r="R808">
        <v>57.176028306059301</v>
      </c>
      <c r="S808">
        <v>310.26854960355797</v>
      </c>
      <c r="T808">
        <v>1604398.67</v>
      </c>
      <c r="U808">
        <v>57.223284743101203</v>
      </c>
      <c r="V808">
        <v>250</v>
      </c>
      <c r="W808">
        <v>35.0140056022409</v>
      </c>
    </row>
    <row r="809" spans="1:23" hidden="1" x14ac:dyDescent="0.25">
      <c r="A809" t="s">
        <v>180</v>
      </c>
      <c r="B809">
        <v>8</v>
      </c>
      <c r="C809">
        <v>2025</v>
      </c>
      <c r="D809" t="s">
        <v>102</v>
      </c>
      <c r="E809" t="s">
        <v>103</v>
      </c>
      <c r="F809">
        <v>119</v>
      </c>
      <c r="G809">
        <v>36873.53</v>
      </c>
      <c r="H809">
        <v>821</v>
      </c>
      <c r="I809">
        <v>4.5389208314904899</v>
      </c>
      <c r="J809">
        <v>255089.79</v>
      </c>
      <c r="K809">
        <v>4.5490799640926802</v>
      </c>
      <c r="L809">
        <v>470</v>
      </c>
      <c r="M809">
        <v>5.1968155683325996</v>
      </c>
      <c r="N809">
        <v>310.59927659574498</v>
      </c>
      <c r="O809">
        <v>145981.66</v>
      </c>
      <c r="P809">
        <v>5.2066548381335798</v>
      </c>
      <c r="Q809">
        <v>351</v>
      </c>
      <c r="R809">
        <v>3.8810260946483899</v>
      </c>
      <c r="S809">
        <v>310.84937321937298</v>
      </c>
      <c r="T809">
        <v>109108.13</v>
      </c>
      <c r="U809">
        <v>3.8915050900517798</v>
      </c>
      <c r="V809">
        <v>48</v>
      </c>
      <c r="W809">
        <v>6.7226890756302504</v>
      </c>
    </row>
    <row r="810" spans="1:23" hidden="1" x14ac:dyDescent="0.25">
      <c r="A810" t="s">
        <v>180</v>
      </c>
      <c r="B810">
        <v>8</v>
      </c>
      <c r="C810">
        <v>2025</v>
      </c>
      <c r="D810" t="s">
        <v>104</v>
      </c>
      <c r="E810" t="s">
        <v>105</v>
      </c>
      <c r="F810">
        <v>-171</v>
      </c>
      <c r="G810">
        <v>-53179.24</v>
      </c>
      <c r="H810">
        <v>273</v>
      </c>
      <c r="I810">
        <v>1.5092879256965901</v>
      </c>
      <c r="J810">
        <v>85084.26</v>
      </c>
      <c r="K810">
        <v>1.51732886849627</v>
      </c>
      <c r="L810">
        <v>51</v>
      </c>
      <c r="M810">
        <v>0.56390977443609003</v>
      </c>
      <c r="N810">
        <v>312.79431372548999</v>
      </c>
      <c r="O810">
        <v>15952.51</v>
      </c>
      <c r="P810">
        <v>0.56897019373443403</v>
      </c>
      <c r="Q810">
        <v>222</v>
      </c>
      <c r="R810">
        <v>2.4546660769570998</v>
      </c>
      <c r="S810">
        <v>311.40427927927902</v>
      </c>
      <c r="T810">
        <v>69131.75</v>
      </c>
      <c r="U810">
        <v>2.46568754325811</v>
      </c>
      <c r="V810">
        <v>11</v>
      </c>
      <c r="W810">
        <v>1.5406162464986</v>
      </c>
    </row>
    <row r="811" spans="1:23" hidden="1" x14ac:dyDescent="0.25">
      <c r="A811" t="s">
        <v>180</v>
      </c>
      <c r="B811">
        <v>8</v>
      </c>
      <c r="C811">
        <v>2025</v>
      </c>
      <c r="D811" t="s">
        <v>106</v>
      </c>
      <c r="E811" t="s">
        <v>107</v>
      </c>
      <c r="F811">
        <v>201</v>
      </c>
      <c r="G811">
        <v>62465.94</v>
      </c>
      <c r="H811">
        <v>201</v>
      </c>
      <c r="I811">
        <v>1.11123396727112</v>
      </c>
      <c r="J811">
        <v>62465.94</v>
      </c>
      <c r="K811">
        <v>1.1139707163199899</v>
      </c>
      <c r="L811">
        <v>201</v>
      </c>
      <c r="M811">
        <v>2.22246793454224</v>
      </c>
      <c r="N811">
        <v>310.77582089552197</v>
      </c>
      <c r="O811">
        <v>62465.94</v>
      </c>
      <c r="P811">
        <v>2.2279414326399798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6</v>
      </c>
      <c r="W811">
        <v>0.84033613445378197</v>
      </c>
    </row>
    <row r="812" spans="1:23" hidden="1" x14ac:dyDescent="0.25">
      <c r="A812" t="s">
        <v>180</v>
      </c>
      <c r="B812">
        <v>8</v>
      </c>
      <c r="C812">
        <v>2025</v>
      </c>
      <c r="D812" t="s">
        <v>110</v>
      </c>
      <c r="E812" t="s">
        <v>111</v>
      </c>
      <c r="F812">
        <v>105</v>
      </c>
      <c r="G812">
        <v>32759.98</v>
      </c>
      <c r="H812">
        <v>105</v>
      </c>
      <c r="I812">
        <v>0.58049535603715197</v>
      </c>
      <c r="J812">
        <v>32759.98</v>
      </c>
      <c r="K812">
        <v>0.58421690904240797</v>
      </c>
      <c r="L812">
        <v>105</v>
      </c>
      <c r="M812">
        <v>1.1609907120742999</v>
      </c>
      <c r="N812">
        <v>311.99980952380997</v>
      </c>
      <c r="O812">
        <v>32759.98</v>
      </c>
      <c r="P812">
        <v>1.1684338180848199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10</v>
      </c>
      <c r="W812">
        <v>1.40056022408964</v>
      </c>
    </row>
    <row r="813" spans="1:23" hidden="1" x14ac:dyDescent="0.25">
      <c r="A813" t="s">
        <v>180</v>
      </c>
      <c r="B813">
        <v>8</v>
      </c>
      <c r="C813">
        <v>2025</v>
      </c>
      <c r="D813" t="s">
        <v>112</v>
      </c>
      <c r="E813" t="s">
        <v>113</v>
      </c>
      <c r="F813">
        <v>-154</v>
      </c>
      <c r="G813">
        <v>-47601.4</v>
      </c>
      <c r="H813">
        <v>154</v>
      </c>
      <c r="I813">
        <v>0.851393188854489</v>
      </c>
      <c r="J813">
        <v>47601.4</v>
      </c>
      <c r="K813">
        <v>0.84888766031271301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154</v>
      </c>
      <c r="R813">
        <v>1.70278637770898</v>
      </c>
      <c r="S813">
        <v>309.10000000000002</v>
      </c>
      <c r="T813">
        <v>47601.4</v>
      </c>
      <c r="U813">
        <v>1.69777532062543</v>
      </c>
      <c r="V813">
        <v>2</v>
      </c>
      <c r="W813">
        <v>0.28011204481792701</v>
      </c>
    </row>
    <row r="814" spans="1:23" hidden="1" x14ac:dyDescent="0.25">
      <c r="A814" t="s">
        <v>180</v>
      </c>
      <c r="B814">
        <v>8</v>
      </c>
      <c r="C814">
        <v>2025</v>
      </c>
      <c r="D814" t="s">
        <v>116</v>
      </c>
      <c r="E814" t="s">
        <v>117</v>
      </c>
      <c r="F814">
        <v>-809</v>
      </c>
      <c r="G814">
        <v>-247791.16</v>
      </c>
      <c r="H814">
        <v>1545</v>
      </c>
      <c r="I814">
        <v>8.5415745245466592</v>
      </c>
      <c r="J814">
        <v>477560.96</v>
      </c>
      <c r="K814">
        <v>8.5164639273444305</v>
      </c>
      <c r="L814">
        <v>368</v>
      </c>
      <c r="M814">
        <v>4.0689960194604202</v>
      </c>
      <c r="N814">
        <v>312.18722826086997</v>
      </c>
      <c r="O814">
        <v>114884.9</v>
      </c>
      <c r="P814">
        <v>4.0975422557429004</v>
      </c>
      <c r="Q814">
        <v>1177</v>
      </c>
      <c r="R814">
        <v>13.014153029632901</v>
      </c>
      <c r="S814">
        <v>308.13598980458801</v>
      </c>
      <c r="T814">
        <v>362676.06</v>
      </c>
      <c r="U814">
        <v>12.935385598946</v>
      </c>
      <c r="V814">
        <v>47</v>
      </c>
      <c r="W814">
        <v>6.58263305322129</v>
      </c>
    </row>
    <row r="815" spans="1:23" hidden="1" x14ac:dyDescent="0.25">
      <c r="A815" t="s">
        <v>180</v>
      </c>
      <c r="B815">
        <v>8</v>
      </c>
      <c r="C815">
        <v>2025</v>
      </c>
      <c r="D815" t="s">
        <v>118</v>
      </c>
      <c r="E815" t="s">
        <v>119</v>
      </c>
      <c r="F815">
        <v>561</v>
      </c>
      <c r="G815">
        <v>174092.54</v>
      </c>
      <c r="H815">
        <v>569</v>
      </c>
      <c r="I815">
        <v>3.1457319770013301</v>
      </c>
      <c r="J815">
        <v>176555.02</v>
      </c>
      <c r="K815">
        <v>3.14854978728071</v>
      </c>
      <c r="L815">
        <v>565</v>
      </c>
      <c r="M815">
        <v>6.2472357363998201</v>
      </c>
      <c r="N815">
        <v>310.30757522123901</v>
      </c>
      <c r="O815">
        <v>175323.78</v>
      </c>
      <c r="P815">
        <v>6.2531855534240899</v>
      </c>
      <c r="Q815">
        <v>4</v>
      </c>
      <c r="R815">
        <v>4.4228217602830598E-2</v>
      </c>
      <c r="S815">
        <v>307.81</v>
      </c>
      <c r="T815">
        <v>1231.24</v>
      </c>
      <c r="U815">
        <v>4.3914021137337299E-2</v>
      </c>
      <c r="V815">
        <v>24</v>
      </c>
      <c r="W815">
        <v>3.3613445378151301</v>
      </c>
    </row>
    <row r="816" spans="1:23" hidden="1" x14ac:dyDescent="0.25">
      <c r="A816" t="s">
        <v>180</v>
      </c>
      <c r="B816">
        <v>8</v>
      </c>
      <c r="C816">
        <v>2025</v>
      </c>
      <c r="D816" t="s">
        <v>120</v>
      </c>
      <c r="E816" t="s">
        <v>121</v>
      </c>
      <c r="F816">
        <v>1</v>
      </c>
      <c r="G816">
        <v>311.8</v>
      </c>
      <c r="H816">
        <v>1</v>
      </c>
      <c r="I816">
        <v>5.52852720035383E-3</v>
      </c>
      <c r="J816">
        <v>311.8</v>
      </c>
      <c r="K816">
        <v>5.5604073091443497E-3</v>
      </c>
      <c r="L816">
        <v>1</v>
      </c>
      <c r="M816">
        <v>1.10570544007077E-2</v>
      </c>
      <c r="N816">
        <v>311.8</v>
      </c>
      <c r="O816">
        <v>311.8</v>
      </c>
      <c r="P816">
        <v>1.1120814618288699E-2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1</v>
      </c>
      <c r="W816">
        <v>0.140056022408964</v>
      </c>
    </row>
    <row r="817" spans="1:23" hidden="1" x14ac:dyDescent="0.25">
      <c r="A817" t="s">
        <v>180</v>
      </c>
      <c r="B817">
        <v>8</v>
      </c>
      <c r="C817">
        <v>2025</v>
      </c>
      <c r="D817" t="s">
        <v>122</v>
      </c>
      <c r="E817" t="s">
        <v>123</v>
      </c>
      <c r="F817">
        <v>3198</v>
      </c>
      <c r="G817">
        <v>989592.98</v>
      </c>
      <c r="H817">
        <v>4104</v>
      </c>
      <c r="I817">
        <v>22.689075630252098</v>
      </c>
      <c r="J817">
        <v>1272394.74</v>
      </c>
      <c r="K817">
        <v>22.6909333303811</v>
      </c>
      <c r="L817">
        <v>3651</v>
      </c>
      <c r="M817">
        <v>40.369305616983603</v>
      </c>
      <c r="N817">
        <v>309.77646124349502</v>
      </c>
      <c r="O817">
        <v>1130993.8600000001</v>
      </c>
      <c r="P817">
        <v>40.338592211298199</v>
      </c>
      <c r="Q817">
        <v>453</v>
      </c>
      <c r="R817">
        <v>5.0088456435205702</v>
      </c>
      <c r="S817">
        <v>312.14322295805698</v>
      </c>
      <c r="T817">
        <v>141400.88</v>
      </c>
      <c r="U817">
        <v>5.0432744494640396</v>
      </c>
      <c r="V817">
        <v>104</v>
      </c>
      <c r="W817">
        <v>14.5658263305322</v>
      </c>
    </row>
    <row r="818" spans="1:23" hidden="1" x14ac:dyDescent="0.25">
      <c r="A818" t="s">
        <v>180</v>
      </c>
      <c r="B818">
        <v>8</v>
      </c>
      <c r="C818">
        <v>2025</v>
      </c>
      <c r="D818" t="s">
        <v>126</v>
      </c>
      <c r="E818" t="s">
        <v>127</v>
      </c>
      <c r="F818">
        <v>19</v>
      </c>
      <c r="G818">
        <v>5864.96</v>
      </c>
      <c r="H818">
        <v>27</v>
      </c>
      <c r="I818">
        <v>0.149270234409553</v>
      </c>
      <c r="J818">
        <v>8325.92</v>
      </c>
      <c r="K818">
        <v>0.14847821174904099</v>
      </c>
      <c r="L818">
        <v>23</v>
      </c>
      <c r="M818">
        <v>0.25431225121627599</v>
      </c>
      <c r="N818">
        <v>308.49739130434801</v>
      </c>
      <c r="O818">
        <v>7095.44</v>
      </c>
      <c r="P818">
        <v>0.25306950890054603</v>
      </c>
      <c r="Q818">
        <v>4</v>
      </c>
      <c r="R818">
        <v>4.4228217602830598E-2</v>
      </c>
      <c r="S818">
        <v>307.62</v>
      </c>
      <c r="T818">
        <v>1230.48</v>
      </c>
      <c r="U818">
        <v>4.3886914597536499E-2</v>
      </c>
      <c r="V818">
        <v>4</v>
      </c>
      <c r="W818">
        <v>0.56022408963585402</v>
      </c>
    </row>
    <row r="819" spans="1:23" hidden="1" x14ac:dyDescent="0.25">
      <c r="A819" t="s">
        <v>180</v>
      </c>
      <c r="B819">
        <v>8</v>
      </c>
      <c r="C819">
        <v>2025</v>
      </c>
      <c r="D819" t="s">
        <v>130</v>
      </c>
      <c r="E819" t="s">
        <v>131</v>
      </c>
      <c r="F819">
        <v>-12</v>
      </c>
      <c r="G819">
        <v>-3607.92</v>
      </c>
      <c r="H819">
        <v>94</v>
      </c>
      <c r="I819">
        <v>0.51968155683326001</v>
      </c>
      <c r="J819">
        <v>29037.88</v>
      </c>
      <c r="K819">
        <v>0.51783976970512102</v>
      </c>
      <c r="L819">
        <v>41</v>
      </c>
      <c r="M819">
        <v>0.45333923042901397</v>
      </c>
      <c r="N819">
        <v>310.12146341463398</v>
      </c>
      <c r="O819">
        <v>12714.98</v>
      </c>
      <c r="P819">
        <v>0.45349883083787201</v>
      </c>
      <c r="Q819">
        <v>53</v>
      </c>
      <c r="R819">
        <v>0.58602388323750598</v>
      </c>
      <c r="S819">
        <v>307.979245283019</v>
      </c>
      <c r="T819">
        <v>16322.9</v>
      </c>
      <c r="U819">
        <v>0.58218070857236903</v>
      </c>
      <c r="V819">
        <v>7</v>
      </c>
      <c r="W819">
        <v>0.98039215686274495</v>
      </c>
    </row>
    <row r="820" spans="1:23" hidden="1" x14ac:dyDescent="0.25">
      <c r="A820" t="s">
        <v>180</v>
      </c>
      <c r="B820">
        <v>8</v>
      </c>
      <c r="C820">
        <v>2025</v>
      </c>
      <c r="D820" t="s">
        <v>132</v>
      </c>
      <c r="E820" t="s">
        <v>133</v>
      </c>
      <c r="F820">
        <v>4</v>
      </c>
      <c r="G820">
        <v>1232.3399999999999</v>
      </c>
      <c r="H820">
        <v>20</v>
      </c>
      <c r="I820">
        <v>0.110570544007077</v>
      </c>
      <c r="J820">
        <v>6199.86</v>
      </c>
      <c r="K820">
        <v>0.110563652532623</v>
      </c>
      <c r="L820">
        <v>12</v>
      </c>
      <c r="M820">
        <v>0.13268465280849201</v>
      </c>
      <c r="N820">
        <v>309.67500000000001</v>
      </c>
      <c r="O820">
        <v>3716.1</v>
      </c>
      <c r="P820">
        <v>0.13254027967614701</v>
      </c>
      <c r="Q820">
        <v>8</v>
      </c>
      <c r="R820">
        <v>8.8456435205661196E-2</v>
      </c>
      <c r="S820">
        <v>310.47000000000003</v>
      </c>
      <c r="T820">
        <v>2483.7600000000002</v>
      </c>
      <c r="U820">
        <v>8.8587025389098004E-2</v>
      </c>
      <c r="V820">
        <v>6</v>
      </c>
      <c r="W820">
        <v>0.84033613445378197</v>
      </c>
    </row>
    <row r="821" spans="1:23" hidden="1" x14ac:dyDescent="0.25">
      <c r="A821" t="s">
        <v>180</v>
      </c>
      <c r="B821">
        <v>8</v>
      </c>
      <c r="C821">
        <v>2025</v>
      </c>
      <c r="D821" t="s">
        <v>136</v>
      </c>
      <c r="E821" t="s">
        <v>137</v>
      </c>
      <c r="F821">
        <v>115</v>
      </c>
      <c r="G821">
        <v>35966.35</v>
      </c>
      <c r="H821">
        <v>115</v>
      </c>
      <c r="I821">
        <v>0.63578062804069002</v>
      </c>
      <c r="J821">
        <v>35966.35</v>
      </c>
      <c r="K821">
        <v>0.64139690642477198</v>
      </c>
      <c r="L821">
        <v>115</v>
      </c>
      <c r="M821">
        <v>1.27156125608138</v>
      </c>
      <c r="N821">
        <v>312.75086956521699</v>
      </c>
      <c r="O821">
        <v>35966.35</v>
      </c>
      <c r="P821">
        <v>1.28279381284954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2</v>
      </c>
      <c r="W821">
        <v>0.28011204481792701</v>
      </c>
    </row>
    <row r="822" spans="1:23" hidden="1" x14ac:dyDescent="0.25">
      <c r="A822" t="s">
        <v>180</v>
      </c>
      <c r="B822">
        <v>8</v>
      </c>
      <c r="C822">
        <v>2025</v>
      </c>
      <c r="D822" t="s">
        <v>140</v>
      </c>
      <c r="E822" t="s">
        <v>141</v>
      </c>
      <c r="F822">
        <v>-5</v>
      </c>
      <c r="G822">
        <v>-1559.65</v>
      </c>
      <c r="H822">
        <v>5</v>
      </c>
      <c r="I822">
        <v>2.76426360017691E-2</v>
      </c>
      <c r="J822">
        <v>1559.65</v>
      </c>
      <c r="K822">
        <v>2.7813628158136601E-2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5</v>
      </c>
      <c r="R822">
        <v>5.5285272003538298E-2</v>
      </c>
      <c r="S822">
        <v>311.93</v>
      </c>
      <c r="T822">
        <v>1559.65</v>
      </c>
      <c r="U822">
        <v>5.5627256316273202E-2</v>
      </c>
      <c r="V822">
        <v>1</v>
      </c>
      <c r="W822">
        <v>0.140056022408964</v>
      </c>
    </row>
    <row r="823" spans="1:23" hidden="1" x14ac:dyDescent="0.25">
      <c r="A823" t="s">
        <v>180</v>
      </c>
      <c r="B823">
        <v>8</v>
      </c>
      <c r="C823">
        <v>2025</v>
      </c>
      <c r="D823" t="s">
        <v>142</v>
      </c>
      <c r="E823" t="s">
        <v>143</v>
      </c>
      <c r="F823">
        <v>-164</v>
      </c>
      <c r="G823">
        <v>-50461.81</v>
      </c>
      <c r="H823">
        <v>598</v>
      </c>
      <c r="I823">
        <v>3.3060592658115899</v>
      </c>
      <c r="J823">
        <v>185505.87</v>
      </c>
      <c r="K823">
        <v>3.3081725318703699</v>
      </c>
      <c r="L823">
        <v>217</v>
      </c>
      <c r="M823">
        <v>2.3993808049535601</v>
      </c>
      <c r="N823">
        <v>311.16142857142898</v>
      </c>
      <c r="O823">
        <v>67522.03</v>
      </c>
      <c r="P823">
        <v>2.4082744652999599</v>
      </c>
      <c r="Q823">
        <v>381</v>
      </c>
      <c r="R823">
        <v>4.2127377266696104</v>
      </c>
      <c r="S823">
        <v>309.66887139107598</v>
      </c>
      <c r="T823">
        <v>117983.84</v>
      </c>
      <c r="U823">
        <v>4.2080705984407798</v>
      </c>
      <c r="V823">
        <v>58</v>
      </c>
      <c r="W823">
        <v>8.1232492997198893</v>
      </c>
    </row>
    <row r="824" spans="1:23" hidden="1" x14ac:dyDescent="0.25">
      <c r="A824" t="s">
        <v>180</v>
      </c>
      <c r="B824">
        <v>8</v>
      </c>
      <c r="C824">
        <v>2025</v>
      </c>
      <c r="D824" t="s">
        <v>146</v>
      </c>
      <c r="E824" t="s">
        <v>147</v>
      </c>
      <c r="F824">
        <v>50</v>
      </c>
      <c r="G824">
        <v>15662.43</v>
      </c>
      <c r="H824">
        <v>50</v>
      </c>
      <c r="I824">
        <v>0.276426360017691</v>
      </c>
      <c r="J824">
        <v>15662.43</v>
      </c>
      <c r="K824">
        <v>0.27931202774522701</v>
      </c>
      <c r="L824">
        <v>50</v>
      </c>
      <c r="M824">
        <v>0.55285272003538299</v>
      </c>
      <c r="N824">
        <v>313.24860000000001</v>
      </c>
      <c r="O824">
        <v>15662.43</v>
      </c>
      <c r="P824">
        <v>0.55862405549045402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4</v>
      </c>
      <c r="W824">
        <v>0.56022408963585402</v>
      </c>
    </row>
    <row r="825" spans="1:23" x14ac:dyDescent="0.25">
      <c r="A825" t="s">
        <v>180</v>
      </c>
      <c r="B825">
        <v>8</v>
      </c>
      <c r="C825">
        <v>2025</v>
      </c>
      <c r="D825" t="s">
        <v>148</v>
      </c>
      <c r="E825" t="s">
        <v>148</v>
      </c>
      <c r="F825">
        <v>0</v>
      </c>
      <c r="G825" s="4">
        <v>6.4062533056130594E-11</v>
      </c>
      <c r="H825">
        <v>18088</v>
      </c>
      <c r="I825">
        <v>0</v>
      </c>
      <c r="J825">
        <v>5607502.8799999999</v>
      </c>
      <c r="K825">
        <v>0</v>
      </c>
      <c r="L825">
        <v>9044</v>
      </c>
      <c r="M825">
        <v>100</v>
      </c>
      <c r="N825">
        <v>310.59927659574498</v>
      </c>
      <c r="O825">
        <v>2803751.44</v>
      </c>
      <c r="P825">
        <v>100</v>
      </c>
      <c r="Q825">
        <v>9044</v>
      </c>
      <c r="R825">
        <v>100</v>
      </c>
      <c r="S825">
        <v>309.10000000000002</v>
      </c>
      <c r="T825">
        <v>2803751.44</v>
      </c>
      <c r="U825">
        <v>100</v>
      </c>
      <c r="V825">
        <v>714</v>
      </c>
      <c r="W825">
        <v>100</v>
      </c>
    </row>
    <row r="826" spans="1:23" hidden="1" x14ac:dyDescent="0.25">
      <c r="A826" t="s">
        <v>180</v>
      </c>
      <c r="B826">
        <v>8</v>
      </c>
      <c r="C826">
        <v>2025</v>
      </c>
      <c r="D826" t="s">
        <v>149</v>
      </c>
      <c r="E826" t="s">
        <v>150</v>
      </c>
      <c r="F826">
        <v>79</v>
      </c>
      <c r="G826">
        <v>26361.45</v>
      </c>
      <c r="H826">
        <v>1347</v>
      </c>
      <c r="I826">
        <v>7.4469261388766004</v>
      </c>
      <c r="J826">
        <v>418575.95</v>
      </c>
      <c r="K826">
        <v>7.4645695054908296</v>
      </c>
      <c r="L826">
        <v>713</v>
      </c>
      <c r="M826">
        <v>7.8836797877045601</v>
      </c>
      <c r="N826">
        <v>312.01781206171103</v>
      </c>
      <c r="O826">
        <v>222468.7</v>
      </c>
      <c r="P826">
        <v>7.9346798302491397</v>
      </c>
      <c r="Q826">
        <v>634</v>
      </c>
      <c r="R826">
        <v>7.0101724900486504</v>
      </c>
      <c r="S826">
        <v>309.31742902208202</v>
      </c>
      <c r="T826">
        <v>196107.25</v>
      </c>
      <c r="U826">
        <v>6.9944591807325098</v>
      </c>
      <c r="V826">
        <v>43</v>
      </c>
      <c r="W826">
        <v>6.0224089635854297</v>
      </c>
    </row>
    <row r="827" spans="1:23" hidden="1" x14ac:dyDescent="0.25">
      <c r="A827" t="s">
        <v>180</v>
      </c>
      <c r="B827">
        <v>8</v>
      </c>
      <c r="C827">
        <v>2025</v>
      </c>
      <c r="D827" t="s">
        <v>153</v>
      </c>
      <c r="E827" t="s">
        <v>154</v>
      </c>
      <c r="F827">
        <v>2</v>
      </c>
      <c r="G827">
        <v>621.64</v>
      </c>
      <c r="H827">
        <v>2</v>
      </c>
      <c r="I827">
        <v>1.10570544007077E-2</v>
      </c>
      <c r="J827">
        <v>621.64</v>
      </c>
      <c r="K827">
        <v>1.10858614485455E-2</v>
      </c>
      <c r="L827">
        <v>2</v>
      </c>
      <c r="M827">
        <v>2.2114108801415299E-2</v>
      </c>
      <c r="N827">
        <v>310.82</v>
      </c>
      <c r="O827">
        <v>621.64</v>
      </c>
      <c r="P827">
        <v>2.2171722897091E-2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2</v>
      </c>
      <c r="W827">
        <v>0.28011204481792701</v>
      </c>
    </row>
    <row r="828" spans="1:23" hidden="1" x14ac:dyDescent="0.25">
      <c r="A828" t="s">
        <v>180</v>
      </c>
      <c r="B828">
        <v>9</v>
      </c>
      <c r="C828">
        <v>2025</v>
      </c>
      <c r="D828" t="s">
        <v>88</v>
      </c>
      <c r="E828" t="s">
        <v>89</v>
      </c>
      <c r="F828">
        <v>942</v>
      </c>
      <c r="G828">
        <v>307240.39</v>
      </c>
      <c r="H828">
        <v>1354</v>
      </c>
      <c r="I828">
        <v>3.3673215618005501</v>
      </c>
      <c r="J828">
        <v>445351.61</v>
      </c>
      <c r="K828">
        <v>3.3275425261909199</v>
      </c>
      <c r="L828">
        <v>1148</v>
      </c>
      <c r="M828">
        <v>5.7100223824919203</v>
      </c>
      <c r="N828">
        <v>327.78397212543501</v>
      </c>
      <c r="O828">
        <v>376296</v>
      </c>
      <c r="P828">
        <v>5.6231566893203198</v>
      </c>
      <c r="Q828">
        <v>206</v>
      </c>
      <c r="R828">
        <v>1.0246207411091801</v>
      </c>
      <c r="S828">
        <v>335.22140776699001</v>
      </c>
      <c r="T828">
        <v>69055.61</v>
      </c>
      <c r="U828">
        <v>1.0319283630615099</v>
      </c>
      <c r="V828">
        <v>42</v>
      </c>
      <c r="W828">
        <v>2.8688524590163902</v>
      </c>
    </row>
    <row r="829" spans="1:23" hidden="1" x14ac:dyDescent="0.25">
      <c r="A829" t="s">
        <v>180</v>
      </c>
      <c r="B829">
        <v>9</v>
      </c>
      <c r="C829">
        <v>2025</v>
      </c>
      <c r="D829" t="s">
        <v>90</v>
      </c>
      <c r="E829" t="s">
        <v>91</v>
      </c>
      <c r="F829">
        <v>706</v>
      </c>
      <c r="G829">
        <v>231341.09</v>
      </c>
      <c r="H829">
        <v>990</v>
      </c>
      <c r="I829">
        <v>2.4620741109176798</v>
      </c>
      <c r="J829">
        <v>325411.71000000002</v>
      </c>
      <c r="K829">
        <v>2.4313851779844402</v>
      </c>
      <c r="L829">
        <v>848</v>
      </c>
      <c r="M829">
        <v>4.2178562546630198</v>
      </c>
      <c r="N829">
        <v>328.274056603774</v>
      </c>
      <c r="O829">
        <v>278376.40000000002</v>
      </c>
      <c r="P829">
        <v>4.1599010242174002</v>
      </c>
      <c r="Q829">
        <v>142</v>
      </c>
      <c r="R829">
        <v>0.70629196717234499</v>
      </c>
      <c r="S829">
        <v>331.23457746478903</v>
      </c>
      <c r="T829">
        <v>47035.31</v>
      </c>
      <c r="U829">
        <v>0.70286933175148003</v>
      </c>
      <c r="V829">
        <v>108</v>
      </c>
      <c r="W829">
        <v>7.3770491803278704</v>
      </c>
    </row>
    <row r="830" spans="1:23" hidden="1" x14ac:dyDescent="0.25">
      <c r="A830" t="s">
        <v>180</v>
      </c>
      <c r="B830">
        <v>9</v>
      </c>
      <c r="C830">
        <v>2025</v>
      </c>
      <c r="D830" t="s">
        <v>92</v>
      </c>
      <c r="E830" t="s">
        <v>93</v>
      </c>
      <c r="F830">
        <v>545</v>
      </c>
      <c r="G830">
        <v>177671.8</v>
      </c>
      <c r="H830">
        <v>945</v>
      </c>
      <c r="I830">
        <v>2.3501616513305099</v>
      </c>
      <c r="J830">
        <v>309799.8</v>
      </c>
      <c r="K830">
        <v>2.3147373579842698</v>
      </c>
      <c r="L830">
        <v>745</v>
      </c>
      <c r="M830">
        <v>3.7055458841084299</v>
      </c>
      <c r="N830">
        <v>327.16214765100699</v>
      </c>
      <c r="O830">
        <v>243735.8</v>
      </c>
      <c r="P830">
        <v>3.6422512973745098</v>
      </c>
      <c r="Q830">
        <v>200</v>
      </c>
      <c r="R830">
        <v>0.99477741855259905</v>
      </c>
      <c r="S830">
        <v>330.32</v>
      </c>
      <c r="T830">
        <v>66064</v>
      </c>
      <c r="U830">
        <v>0.98722341859402696</v>
      </c>
      <c r="V830">
        <v>21</v>
      </c>
      <c r="W830">
        <v>1.4344262295082</v>
      </c>
    </row>
    <row r="831" spans="1:23" hidden="1" x14ac:dyDescent="0.25">
      <c r="A831" t="s">
        <v>180</v>
      </c>
      <c r="B831">
        <v>9</v>
      </c>
      <c r="C831">
        <v>2025</v>
      </c>
      <c r="D831" t="s">
        <v>94</v>
      </c>
      <c r="E831" t="s">
        <v>95</v>
      </c>
      <c r="F831">
        <v>-10275</v>
      </c>
      <c r="G831">
        <v>-3419637.29</v>
      </c>
      <c r="H831">
        <v>11529</v>
      </c>
      <c r="I831">
        <v>28.671972146232299</v>
      </c>
      <c r="J831">
        <v>3839707.51</v>
      </c>
      <c r="K831">
        <v>28.689219351109202</v>
      </c>
      <c r="L831">
        <v>627</v>
      </c>
      <c r="M831">
        <v>3.1186272071624002</v>
      </c>
      <c r="N831">
        <v>334.984226475279</v>
      </c>
      <c r="O831">
        <v>210035.11</v>
      </c>
      <c r="P831">
        <v>3.1386470591997502</v>
      </c>
      <c r="Q831">
        <v>10902</v>
      </c>
      <c r="R831">
        <v>54.225317085302201</v>
      </c>
      <c r="S831">
        <v>332.93637864611998</v>
      </c>
      <c r="T831">
        <v>3629672.4</v>
      </c>
      <c r="U831">
        <v>54.239791643018698</v>
      </c>
      <c r="V831">
        <v>399</v>
      </c>
      <c r="W831">
        <v>27.2540983606557</v>
      </c>
    </row>
    <row r="832" spans="1:23" hidden="1" x14ac:dyDescent="0.25">
      <c r="A832" t="s">
        <v>180</v>
      </c>
      <c r="B832">
        <v>9</v>
      </c>
      <c r="C832">
        <v>2025</v>
      </c>
      <c r="D832" t="s">
        <v>102</v>
      </c>
      <c r="E832" t="s">
        <v>103</v>
      </c>
      <c r="F832">
        <v>1791</v>
      </c>
      <c r="G832">
        <v>598418.27</v>
      </c>
      <c r="H832">
        <v>2303</v>
      </c>
      <c r="I832">
        <v>5.7274309873165903</v>
      </c>
      <c r="J832">
        <v>764950.31</v>
      </c>
      <c r="K832">
        <v>5.7154945211670602</v>
      </c>
      <c r="L832">
        <v>2047</v>
      </c>
      <c r="M832">
        <v>10.1815468788859</v>
      </c>
      <c r="N832">
        <v>333.01626282364401</v>
      </c>
      <c r="O832">
        <v>681684.29</v>
      </c>
      <c r="P832">
        <v>10.186708270399</v>
      </c>
      <c r="Q832">
        <v>256</v>
      </c>
      <c r="R832">
        <v>1.27331509574733</v>
      </c>
      <c r="S832">
        <v>325.25789062500002</v>
      </c>
      <c r="T832">
        <v>83266.02</v>
      </c>
      <c r="U832">
        <v>1.2442807719350699</v>
      </c>
      <c r="V832">
        <v>119</v>
      </c>
      <c r="W832">
        <v>8.1284153005464503</v>
      </c>
    </row>
    <row r="833" spans="1:23" hidden="1" x14ac:dyDescent="0.25">
      <c r="A833" t="s">
        <v>180</v>
      </c>
      <c r="B833">
        <v>9</v>
      </c>
      <c r="C833">
        <v>2025</v>
      </c>
      <c r="D833" t="s">
        <v>104</v>
      </c>
      <c r="E833" t="s">
        <v>105</v>
      </c>
      <c r="F833">
        <v>1214</v>
      </c>
      <c r="G833">
        <v>400051.7</v>
      </c>
      <c r="H833">
        <v>1602</v>
      </c>
      <c r="I833">
        <v>3.98408356130316</v>
      </c>
      <c r="J833">
        <v>527614.43999999994</v>
      </c>
      <c r="K833">
        <v>3.9421873573835402</v>
      </c>
      <c r="L833">
        <v>1408</v>
      </c>
      <c r="M833">
        <v>7.0032330266102996</v>
      </c>
      <c r="N833">
        <v>329.42689630681798</v>
      </c>
      <c r="O833">
        <v>463833.07</v>
      </c>
      <c r="P833">
        <v>6.9312616405661496</v>
      </c>
      <c r="Q833">
        <v>194</v>
      </c>
      <c r="R833">
        <v>0.96493409599602098</v>
      </c>
      <c r="S833">
        <v>328.76994845360798</v>
      </c>
      <c r="T833">
        <v>63781.37</v>
      </c>
      <c r="U833">
        <v>0.95311307420093405</v>
      </c>
      <c r="V833">
        <v>58</v>
      </c>
      <c r="W833">
        <v>3.9617486338797798</v>
      </c>
    </row>
    <row r="834" spans="1:23" hidden="1" x14ac:dyDescent="0.25">
      <c r="A834" t="s">
        <v>180</v>
      </c>
      <c r="B834">
        <v>9</v>
      </c>
      <c r="C834">
        <v>2025</v>
      </c>
      <c r="D834" t="s">
        <v>106</v>
      </c>
      <c r="E834" t="s">
        <v>107</v>
      </c>
      <c r="F834">
        <v>104</v>
      </c>
      <c r="G834">
        <v>36010.080000000002</v>
      </c>
      <c r="H834">
        <v>294</v>
      </c>
      <c r="I834">
        <v>0.73116140263616003</v>
      </c>
      <c r="J834">
        <v>98375.08</v>
      </c>
      <c r="K834">
        <v>0.73503105157166404</v>
      </c>
      <c r="L834">
        <v>199</v>
      </c>
      <c r="M834">
        <v>0.98980353145983602</v>
      </c>
      <c r="N834">
        <v>337.65115577889401</v>
      </c>
      <c r="O834">
        <v>67192.58</v>
      </c>
      <c r="P834">
        <v>1.00408828608247</v>
      </c>
      <c r="Q834">
        <v>95</v>
      </c>
      <c r="R834">
        <v>0.47251927381248399</v>
      </c>
      <c r="S834">
        <v>328.23684210526301</v>
      </c>
      <c r="T834">
        <v>31182.5</v>
      </c>
      <c r="U834">
        <v>0.465973817060854</v>
      </c>
      <c r="V834">
        <v>16</v>
      </c>
      <c r="W834">
        <v>1.0928961748633901</v>
      </c>
    </row>
    <row r="835" spans="1:23" hidden="1" x14ac:dyDescent="0.25">
      <c r="A835" t="s">
        <v>180</v>
      </c>
      <c r="B835">
        <v>9</v>
      </c>
      <c r="C835">
        <v>2025</v>
      </c>
      <c r="D835" t="s">
        <v>110</v>
      </c>
      <c r="E835" t="s">
        <v>111</v>
      </c>
      <c r="F835">
        <v>-88</v>
      </c>
      <c r="G835">
        <v>-29209.61</v>
      </c>
      <c r="H835">
        <v>246</v>
      </c>
      <c r="I835">
        <v>0.61178811240984798</v>
      </c>
      <c r="J835">
        <v>81948.509999999995</v>
      </c>
      <c r="K835">
        <v>0.61229632016595104</v>
      </c>
      <c r="L835">
        <v>79</v>
      </c>
      <c r="M835">
        <v>0.39293708032827701</v>
      </c>
      <c r="N835">
        <v>333.79050632911401</v>
      </c>
      <c r="O835">
        <v>26369.45</v>
      </c>
      <c r="P835">
        <v>0.394050293282942</v>
      </c>
      <c r="Q835">
        <v>167</v>
      </c>
      <c r="R835">
        <v>0.83063914449141996</v>
      </c>
      <c r="S835">
        <v>332.80874251496999</v>
      </c>
      <c r="T835">
        <v>55579.06</v>
      </c>
      <c r="U835">
        <v>0.83054234704896002</v>
      </c>
      <c r="V835">
        <v>22</v>
      </c>
      <c r="W835">
        <v>1.5027322404371599</v>
      </c>
    </row>
    <row r="836" spans="1:23" hidden="1" x14ac:dyDescent="0.25">
      <c r="A836" t="s">
        <v>180</v>
      </c>
      <c r="B836">
        <v>9</v>
      </c>
      <c r="C836">
        <v>2025</v>
      </c>
      <c r="D836" t="s">
        <v>112</v>
      </c>
      <c r="E836" t="s">
        <v>113</v>
      </c>
      <c r="F836">
        <v>-76</v>
      </c>
      <c r="G836">
        <v>-24933.32</v>
      </c>
      <c r="H836">
        <v>76</v>
      </c>
      <c r="I836">
        <v>0.18900770952499399</v>
      </c>
      <c r="J836">
        <v>24933.32</v>
      </c>
      <c r="K836">
        <v>0.186294785414892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76</v>
      </c>
      <c r="R836">
        <v>0.37801541904998798</v>
      </c>
      <c r="S836">
        <v>328.07</v>
      </c>
      <c r="T836">
        <v>24933.32</v>
      </c>
      <c r="U836">
        <v>0.372589570829784</v>
      </c>
      <c r="V836">
        <v>4</v>
      </c>
      <c r="W836">
        <v>0.27322404371584702</v>
      </c>
    </row>
    <row r="837" spans="1:23" hidden="1" x14ac:dyDescent="0.25">
      <c r="A837" t="s">
        <v>180</v>
      </c>
      <c r="B837">
        <v>9</v>
      </c>
      <c r="C837">
        <v>2025</v>
      </c>
      <c r="D837" t="s">
        <v>116</v>
      </c>
      <c r="E837" t="s">
        <v>117</v>
      </c>
      <c r="F837">
        <v>288</v>
      </c>
      <c r="G837">
        <v>97371.01</v>
      </c>
      <c r="H837">
        <v>512</v>
      </c>
      <c r="I837">
        <v>1.27331509574733</v>
      </c>
      <c r="J837">
        <v>170681.87</v>
      </c>
      <c r="K837">
        <v>1.2752871396934899</v>
      </c>
      <c r="L837">
        <v>400</v>
      </c>
      <c r="M837">
        <v>1.9895548371052001</v>
      </c>
      <c r="N837">
        <v>335.06610000000001</v>
      </c>
      <c r="O837">
        <v>134026.44</v>
      </c>
      <c r="P837">
        <v>2.0028160613766501</v>
      </c>
      <c r="Q837">
        <v>112</v>
      </c>
      <c r="R837">
        <v>0.55707535438945499</v>
      </c>
      <c r="S837">
        <v>327.28062499999999</v>
      </c>
      <c r="T837">
        <v>36655.43</v>
      </c>
      <c r="U837">
        <v>0.54775821801032398</v>
      </c>
      <c r="V837">
        <v>28</v>
      </c>
      <c r="W837">
        <v>1.91256830601093</v>
      </c>
    </row>
    <row r="838" spans="1:23" hidden="1" x14ac:dyDescent="0.25">
      <c r="A838" t="s">
        <v>180</v>
      </c>
      <c r="B838">
        <v>9</v>
      </c>
      <c r="C838">
        <v>2025</v>
      </c>
      <c r="D838" t="s">
        <v>118</v>
      </c>
      <c r="E838" t="s">
        <v>119</v>
      </c>
      <c r="F838">
        <v>459</v>
      </c>
      <c r="G838">
        <v>153667.16</v>
      </c>
      <c r="H838">
        <v>2179</v>
      </c>
      <c r="I838">
        <v>5.4190499875652796</v>
      </c>
      <c r="J838">
        <v>710279.84</v>
      </c>
      <c r="K838">
        <v>5.3070120777066103</v>
      </c>
      <c r="L838">
        <v>1319</v>
      </c>
      <c r="M838">
        <v>6.5605570753543896</v>
      </c>
      <c r="N838">
        <v>327.500758150114</v>
      </c>
      <c r="O838">
        <v>431973.5</v>
      </c>
      <c r="P838">
        <v>6.45517006860055</v>
      </c>
      <c r="Q838">
        <v>860</v>
      </c>
      <c r="R838">
        <v>4.2775428997761704</v>
      </c>
      <c r="S838">
        <v>323.61202325581399</v>
      </c>
      <c r="T838">
        <v>278306.34000000003</v>
      </c>
      <c r="U838">
        <v>4.15885408681266</v>
      </c>
      <c r="V838">
        <v>47</v>
      </c>
      <c r="W838">
        <v>3.2103825136611999</v>
      </c>
    </row>
    <row r="839" spans="1:23" hidden="1" x14ac:dyDescent="0.25">
      <c r="A839" t="s">
        <v>180</v>
      </c>
      <c r="B839">
        <v>9</v>
      </c>
      <c r="C839">
        <v>2025</v>
      </c>
      <c r="D839" t="s">
        <v>120</v>
      </c>
      <c r="E839" t="s">
        <v>121</v>
      </c>
      <c r="F839">
        <v>52</v>
      </c>
      <c r="G839">
        <v>17635.240000000002</v>
      </c>
      <c r="H839">
        <v>168</v>
      </c>
      <c r="I839">
        <v>0.41780651579209099</v>
      </c>
      <c r="J839">
        <v>56074.76</v>
      </c>
      <c r="K839">
        <v>0.41897490512260499</v>
      </c>
      <c r="L839">
        <v>110</v>
      </c>
      <c r="M839">
        <v>0.54712758020392904</v>
      </c>
      <c r="N839">
        <v>335.04545454545502</v>
      </c>
      <c r="O839">
        <v>36855</v>
      </c>
      <c r="P839">
        <v>0.550740480326393</v>
      </c>
      <c r="Q839">
        <v>58</v>
      </c>
      <c r="R839">
        <v>0.288485451380254</v>
      </c>
      <c r="S839">
        <v>331.375172413793</v>
      </c>
      <c r="T839">
        <v>19219.759999999998</v>
      </c>
      <c r="U839">
        <v>0.28720932991881698</v>
      </c>
      <c r="V839">
        <v>6</v>
      </c>
      <c r="W839">
        <v>0.409836065573771</v>
      </c>
    </row>
    <row r="840" spans="1:23" hidden="1" x14ac:dyDescent="0.25">
      <c r="A840" t="s">
        <v>180</v>
      </c>
      <c r="B840">
        <v>9</v>
      </c>
      <c r="C840">
        <v>2025</v>
      </c>
      <c r="D840" t="s">
        <v>122</v>
      </c>
      <c r="E840" t="s">
        <v>123</v>
      </c>
      <c r="F840">
        <v>677</v>
      </c>
      <c r="G840">
        <v>241732.1</v>
      </c>
      <c r="H840">
        <v>6875</v>
      </c>
      <c r="I840">
        <v>17.0977368813728</v>
      </c>
      <c r="J840">
        <v>2285501.66</v>
      </c>
      <c r="K840">
        <v>17.076628435967599</v>
      </c>
      <c r="L840">
        <v>3776</v>
      </c>
      <c r="M840">
        <v>18.7813976622731</v>
      </c>
      <c r="N840">
        <v>334.644300847458</v>
      </c>
      <c r="O840">
        <v>1263616.8799999999</v>
      </c>
      <c r="P840">
        <v>18.8827829993146</v>
      </c>
      <c r="Q840">
        <v>3099</v>
      </c>
      <c r="R840">
        <v>15.414076100472499</v>
      </c>
      <c r="S840">
        <v>329.74662149080302</v>
      </c>
      <c r="T840">
        <v>1021884.78</v>
      </c>
      <c r="U840">
        <v>15.270473872620601</v>
      </c>
      <c r="V840">
        <v>205</v>
      </c>
      <c r="W840">
        <v>14.002732240437201</v>
      </c>
    </row>
    <row r="841" spans="1:23" hidden="1" x14ac:dyDescent="0.25">
      <c r="A841" t="s">
        <v>180</v>
      </c>
      <c r="B841">
        <v>9</v>
      </c>
      <c r="C841">
        <v>2025</v>
      </c>
      <c r="D841" t="s">
        <v>126</v>
      </c>
      <c r="E841" t="s">
        <v>127</v>
      </c>
      <c r="F841">
        <v>8</v>
      </c>
      <c r="G841">
        <v>2849.44</v>
      </c>
      <c r="H841">
        <v>8</v>
      </c>
      <c r="I841">
        <v>1.9895548371052001E-2</v>
      </c>
      <c r="J841">
        <v>2849.44</v>
      </c>
      <c r="K841">
        <v>2.1290217803028599E-2</v>
      </c>
      <c r="L841">
        <v>8</v>
      </c>
      <c r="M841">
        <v>3.9791096742104001E-2</v>
      </c>
      <c r="N841">
        <v>356.18</v>
      </c>
      <c r="O841">
        <v>2849.44</v>
      </c>
      <c r="P841">
        <v>4.2580435606057197E-2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1</v>
      </c>
      <c r="W841">
        <v>6.8306010928961797E-2</v>
      </c>
    </row>
    <row r="842" spans="1:23" hidden="1" x14ac:dyDescent="0.25">
      <c r="A842" t="s">
        <v>180</v>
      </c>
      <c r="B842">
        <v>9</v>
      </c>
      <c r="C842">
        <v>2025</v>
      </c>
      <c r="D842" t="s">
        <v>128</v>
      </c>
      <c r="E842" t="s">
        <v>129</v>
      </c>
      <c r="F842">
        <v>-118</v>
      </c>
      <c r="G842">
        <v>-39830.35</v>
      </c>
      <c r="H842">
        <v>118</v>
      </c>
      <c r="I842">
        <v>0.29345933847301697</v>
      </c>
      <c r="J842">
        <v>39830.35</v>
      </c>
      <c r="K842">
        <v>0.29760122222993302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118</v>
      </c>
      <c r="R842">
        <v>0.58691867694603295</v>
      </c>
      <c r="S842">
        <v>337.54533898305101</v>
      </c>
      <c r="T842">
        <v>39830.35</v>
      </c>
      <c r="U842">
        <v>0.59520244445986603</v>
      </c>
      <c r="V842">
        <v>4</v>
      </c>
      <c r="W842">
        <v>0.27322404371584702</v>
      </c>
    </row>
    <row r="843" spans="1:23" hidden="1" x14ac:dyDescent="0.25">
      <c r="A843" t="s">
        <v>180</v>
      </c>
      <c r="B843">
        <v>9</v>
      </c>
      <c r="C843">
        <v>2025</v>
      </c>
      <c r="D843" t="s">
        <v>130</v>
      </c>
      <c r="E843" t="s">
        <v>131</v>
      </c>
      <c r="F843">
        <v>109</v>
      </c>
      <c r="G843">
        <v>37250.78</v>
      </c>
      <c r="H843">
        <v>109</v>
      </c>
      <c r="I843">
        <v>0.27107684655558301</v>
      </c>
      <c r="J843">
        <v>37250.78</v>
      </c>
      <c r="K843">
        <v>0.27832739750010599</v>
      </c>
      <c r="L843">
        <v>109</v>
      </c>
      <c r="M843">
        <v>0.54215369311116601</v>
      </c>
      <c r="N843">
        <v>341.75027522935801</v>
      </c>
      <c r="O843">
        <v>37250.78</v>
      </c>
      <c r="P843">
        <v>0.55665479500021198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9</v>
      </c>
      <c r="W843">
        <v>0.61475409836065598</v>
      </c>
    </row>
    <row r="844" spans="1:23" hidden="1" x14ac:dyDescent="0.25">
      <c r="A844" t="s">
        <v>180</v>
      </c>
      <c r="B844">
        <v>9</v>
      </c>
      <c r="C844">
        <v>2025</v>
      </c>
      <c r="D844" t="s">
        <v>132</v>
      </c>
      <c r="E844" t="s">
        <v>133</v>
      </c>
      <c r="F844">
        <v>70</v>
      </c>
      <c r="G844">
        <v>23276.36</v>
      </c>
      <c r="H844">
        <v>128</v>
      </c>
      <c r="I844">
        <v>0.31832877393683201</v>
      </c>
      <c r="J844">
        <v>42273.599999999999</v>
      </c>
      <c r="K844">
        <v>0.31585650209097599</v>
      </c>
      <c r="L844">
        <v>99</v>
      </c>
      <c r="M844">
        <v>0.49241482218353599</v>
      </c>
      <c r="N844">
        <v>331.06040404040402</v>
      </c>
      <c r="O844">
        <v>32774.980000000003</v>
      </c>
      <c r="P844">
        <v>0.48977094635430601</v>
      </c>
      <c r="Q844">
        <v>29</v>
      </c>
      <c r="R844">
        <v>0.144242725690127</v>
      </c>
      <c r="S844">
        <v>327.53862068965498</v>
      </c>
      <c r="T844">
        <v>9498.6200000000008</v>
      </c>
      <c r="U844">
        <v>0.14194205782764599</v>
      </c>
      <c r="V844">
        <v>15</v>
      </c>
      <c r="W844">
        <v>1.0245901639344299</v>
      </c>
    </row>
    <row r="845" spans="1:23" hidden="1" x14ac:dyDescent="0.25">
      <c r="A845" t="s">
        <v>180</v>
      </c>
      <c r="B845">
        <v>9</v>
      </c>
      <c r="C845">
        <v>2025</v>
      </c>
      <c r="D845" t="s">
        <v>134</v>
      </c>
      <c r="E845" t="s">
        <v>135</v>
      </c>
      <c r="F845">
        <v>20</v>
      </c>
      <c r="G845">
        <v>6576.8</v>
      </c>
      <c r="H845">
        <v>20</v>
      </c>
      <c r="I845">
        <v>4.9738870927629901E-2</v>
      </c>
      <c r="J845">
        <v>6576.8</v>
      </c>
      <c r="K845">
        <v>4.9140008018052198E-2</v>
      </c>
      <c r="L845">
        <v>20</v>
      </c>
      <c r="M845">
        <v>9.9477741855259899E-2</v>
      </c>
      <c r="N845">
        <v>328.84</v>
      </c>
      <c r="O845">
        <v>6576.8</v>
      </c>
      <c r="P845">
        <v>9.8280016036104298E-2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1</v>
      </c>
      <c r="W845">
        <v>6.8306010928961797E-2</v>
      </c>
    </row>
    <row r="846" spans="1:23" hidden="1" x14ac:dyDescent="0.25">
      <c r="A846" t="s">
        <v>180</v>
      </c>
      <c r="B846">
        <v>9</v>
      </c>
      <c r="C846">
        <v>2025</v>
      </c>
      <c r="D846" t="s">
        <v>136</v>
      </c>
      <c r="E846" t="s">
        <v>137</v>
      </c>
      <c r="F846">
        <v>92</v>
      </c>
      <c r="G846">
        <v>34467</v>
      </c>
      <c r="H846">
        <v>188</v>
      </c>
      <c r="I846">
        <v>0.46754538671972101</v>
      </c>
      <c r="J846">
        <v>65306.239999999998</v>
      </c>
      <c r="K846">
        <v>0.487949938758794</v>
      </c>
      <c r="L846">
        <v>140</v>
      </c>
      <c r="M846">
        <v>0.69634419298681904</v>
      </c>
      <c r="N846">
        <v>356.33300000000003</v>
      </c>
      <c r="O846">
        <v>49886.62</v>
      </c>
      <c r="P846">
        <v>0.74547771159029297</v>
      </c>
      <c r="Q846">
        <v>48</v>
      </c>
      <c r="R846">
        <v>0.23874658045262401</v>
      </c>
      <c r="S846">
        <v>321.24208333333303</v>
      </c>
      <c r="T846">
        <v>15419.62</v>
      </c>
      <c r="U846">
        <v>0.230422165927295</v>
      </c>
      <c r="V846">
        <v>6</v>
      </c>
      <c r="W846">
        <v>0.409836065573771</v>
      </c>
    </row>
    <row r="847" spans="1:23" hidden="1" x14ac:dyDescent="0.25">
      <c r="A847" t="s">
        <v>180</v>
      </c>
      <c r="B847">
        <v>9</v>
      </c>
      <c r="C847">
        <v>2025</v>
      </c>
      <c r="D847" t="s">
        <v>142</v>
      </c>
      <c r="E847" t="s">
        <v>143</v>
      </c>
      <c r="F847">
        <v>-1307</v>
      </c>
      <c r="G847">
        <v>-462917.54</v>
      </c>
      <c r="H847">
        <v>3875</v>
      </c>
      <c r="I847">
        <v>9.6369062422282994</v>
      </c>
      <c r="J847">
        <v>1316740.52</v>
      </c>
      <c r="K847">
        <v>9.8383164624884696</v>
      </c>
      <c r="L847">
        <v>1284</v>
      </c>
      <c r="M847">
        <v>6.3864710271076799</v>
      </c>
      <c r="N847">
        <v>332.48558411214998</v>
      </c>
      <c r="O847">
        <v>426911.49</v>
      </c>
      <c r="P847">
        <v>6.3795262260061403</v>
      </c>
      <c r="Q847">
        <v>2591</v>
      </c>
      <c r="R847">
        <v>12.887341457348899</v>
      </c>
      <c r="S847">
        <v>343.43073330760302</v>
      </c>
      <c r="T847">
        <v>889829.03</v>
      </c>
      <c r="U847">
        <v>13.297106698970801</v>
      </c>
      <c r="V847">
        <v>193</v>
      </c>
      <c r="W847">
        <v>13.183060109289601</v>
      </c>
    </row>
    <row r="848" spans="1:23" hidden="1" x14ac:dyDescent="0.25">
      <c r="A848" t="s">
        <v>180</v>
      </c>
      <c r="B848">
        <v>9</v>
      </c>
      <c r="C848">
        <v>2025</v>
      </c>
      <c r="D848" t="s">
        <v>146</v>
      </c>
      <c r="E848" t="s">
        <v>147</v>
      </c>
      <c r="F848">
        <v>161</v>
      </c>
      <c r="G848">
        <v>52766.07</v>
      </c>
      <c r="H848">
        <v>329</v>
      </c>
      <c r="I848">
        <v>0.81820442675951299</v>
      </c>
      <c r="J848">
        <v>107111.99</v>
      </c>
      <c r="K848">
        <v>0.80031079665331495</v>
      </c>
      <c r="L848">
        <v>245</v>
      </c>
      <c r="M848">
        <v>1.2186023377269299</v>
      </c>
      <c r="N848">
        <v>326.28175510204102</v>
      </c>
      <c r="O848">
        <v>79939.03</v>
      </c>
      <c r="P848">
        <v>1.19456409656833</v>
      </c>
      <c r="Q848">
        <v>84</v>
      </c>
      <c r="R848">
        <v>0.41780651579209099</v>
      </c>
      <c r="S848">
        <v>323.48761904761898</v>
      </c>
      <c r="T848">
        <v>27172.959999999999</v>
      </c>
      <c r="U848">
        <v>0.406057496738295</v>
      </c>
      <c r="V848">
        <v>7</v>
      </c>
      <c r="W848">
        <v>0.47814207650273199</v>
      </c>
    </row>
    <row r="849" spans="1:23" x14ac:dyDescent="0.25">
      <c r="A849" t="s">
        <v>180</v>
      </c>
      <c r="B849">
        <v>9</v>
      </c>
      <c r="C849">
        <v>2025</v>
      </c>
      <c r="D849" t="s">
        <v>148</v>
      </c>
      <c r="E849" t="s">
        <v>148</v>
      </c>
      <c r="F849">
        <v>0</v>
      </c>
      <c r="G849" s="4">
        <v>-2.3419488570652902E-10</v>
      </c>
      <c r="H849">
        <v>40210</v>
      </c>
      <c r="I849">
        <v>0</v>
      </c>
      <c r="J849">
        <v>13383799.199999999</v>
      </c>
      <c r="K849">
        <v>0</v>
      </c>
      <c r="L849">
        <v>20105</v>
      </c>
      <c r="M849">
        <v>100</v>
      </c>
      <c r="N849">
        <v>333.01626282364401</v>
      </c>
      <c r="O849">
        <v>6691899.5999999996</v>
      </c>
      <c r="P849">
        <v>100</v>
      </c>
      <c r="Q849">
        <v>20105</v>
      </c>
      <c r="R849">
        <v>100</v>
      </c>
      <c r="S849">
        <v>328.07</v>
      </c>
      <c r="T849">
        <v>6691899.5999999996</v>
      </c>
      <c r="U849">
        <v>100</v>
      </c>
      <c r="V849">
        <v>1464</v>
      </c>
      <c r="W849">
        <v>100</v>
      </c>
    </row>
    <row r="850" spans="1:23" hidden="1" x14ac:dyDescent="0.25">
      <c r="A850" t="s">
        <v>180</v>
      </c>
      <c r="B850">
        <v>9</v>
      </c>
      <c r="C850">
        <v>2025</v>
      </c>
      <c r="D850" t="s">
        <v>149</v>
      </c>
      <c r="E850" t="s">
        <v>150</v>
      </c>
      <c r="F850">
        <v>4554</v>
      </c>
      <c r="G850">
        <v>1533799.57</v>
      </c>
      <c r="H850">
        <v>6284</v>
      </c>
      <c r="I850">
        <v>15.627953245461301</v>
      </c>
      <c r="J850">
        <v>2098911.81</v>
      </c>
      <c r="K850">
        <v>15.682481324136999</v>
      </c>
      <c r="L850">
        <v>5419</v>
      </c>
      <c r="M850">
        <v>26.953494155682701</v>
      </c>
      <c r="N850">
        <v>335.18281786307398</v>
      </c>
      <c r="O850">
        <v>1816355.69</v>
      </c>
      <c r="P850">
        <v>27.1426022291189</v>
      </c>
      <c r="Q850">
        <v>865</v>
      </c>
      <c r="R850">
        <v>4.3024123352399899</v>
      </c>
      <c r="S850">
        <v>326.65447398843901</v>
      </c>
      <c r="T850">
        <v>282556.12</v>
      </c>
      <c r="U850">
        <v>4.2223604191551196</v>
      </c>
      <c r="V850">
        <v>144</v>
      </c>
      <c r="W850">
        <v>9.8360655737704903</v>
      </c>
    </row>
    <row r="851" spans="1:23" hidden="1" x14ac:dyDescent="0.25">
      <c r="A851" t="s">
        <v>180</v>
      </c>
      <c r="B851">
        <v>9</v>
      </c>
      <c r="C851">
        <v>2025</v>
      </c>
      <c r="D851" t="s">
        <v>153</v>
      </c>
      <c r="E851" t="s">
        <v>154</v>
      </c>
      <c r="F851">
        <v>72</v>
      </c>
      <c r="G851">
        <v>24403.25</v>
      </c>
      <c r="H851">
        <v>78</v>
      </c>
      <c r="I851">
        <v>0.19398159661775699</v>
      </c>
      <c r="J851">
        <v>26317.25</v>
      </c>
      <c r="K851">
        <v>0.19663512285809001</v>
      </c>
      <c r="L851">
        <v>75</v>
      </c>
      <c r="M851">
        <v>0.373041531957225</v>
      </c>
      <c r="N851">
        <v>338.136666666667</v>
      </c>
      <c r="O851">
        <v>25360.25</v>
      </c>
      <c r="P851">
        <v>0.37896937365886402</v>
      </c>
      <c r="Q851">
        <v>3</v>
      </c>
      <c r="R851">
        <v>1.4921661278289E-2</v>
      </c>
      <c r="S851">
        <v>319</v>
      </c>
      <c r="T851">
        <v>957</v>
      </c>
      <c r="U851">
        <v>1.43008720573154E-2</v>
      </c>
      <c r="V851">
        <v>9</v>
      </c>
      <c r="W851">
        <v>0.61475409836065598</v>
      </c>
    </row>
    <row r="852" spans="1:23" hidden="1" x14ac:dyDescent="0.25">
      <c r="A852" t="s">
        <v>180</v>
      </c>
      <c r="B852">
        <v>10</v>
      </c>
      <c r="C852">
        <v>2025</v>
      </c>
      <c r="D852" t="s">
        <v>88</v>
      </c>
      <c r="E852" t="s">
        <v>89</v>
      </c>
      <c r="F852">
        <v>460</v>
      </c>
      <c r="G852">
        <v>205530.95</v>
      </c>
      <c r="H852">
        <v>4350</v>
      </c>
      <c r="I852">
        <v>5.1856090408411397</v>
      </c>
      <c r="J852">
        <v>1668908.91</v>
      </c>
      <c r="K852">
        <v>5.2336942946823699</v>
      </c>
      <c r="L852">
        <v>2405</v>
      </c>
      <c r="M852">
        <v>5.7339722957346897</v>
      </c>
      <c r="N852">
        <v>389.69643659043697</v>
      </c>
      <c r="O852">
        <v>937219.93</v>
      </c>
      <c r="P852">
        <v>5.8782388554730796</v>
      </c>
      <c r="Q852">
        <v>1945</v>
      </c>
      <c r="R852">
        <v>4.6372457859476004</v>
      </c>
      <c r="S852">
        <v>376.18970694087398</v>
      </c>
      <c r="T852">
        <v>731688.98</v>
      </c>
      <c r="U852">
        <v>4.58914973389167</v>
      </c>
      <c r="V852">
        <v>89</v>
      </c>
      <c r="W852">
        <v>2.91230366492147</v>
      </c>
    </row>
    <row r="853" spans="1:23" hidden="1" x14ac:dyDescent="0.25">
      <c r="A853" t="s">
        <v>180</v>
      </c>
      <c r="B853">
        <v>10</v>
      </c>
      <c r="C853">
        <v>2025</v>
      </c>
      <c r="D853" t="s">
        <v>90</v>
      </c>
      <c r="E853" t="s">
        <v>91</v>
      </c>
      <c r="F853">
        <v>2716</v>
      </c>
      <c r="G853">
        <v>1055479.04</v>
      </c>
      <c r="H853">
        <v>3348</v>
      </c>
      <c r="I853">
        <v>3.99113082039911</v>
      </c>
      <c r="J853">
        <v>1300481.44</v>
      </c>
      <c r="K853">
        <v>4.07830664219314</v>
      </c>
      <c r="L853">
        <v>3032</v>
      </c>
      <c r="M853">
        <v>7.2288582123357896</v>
      </c>
      <c r="N853">
        <v>388.515910290237</v>
      </c>
      <c r="O853">
        <v>1177980.24</v>
      </c>
      <c r="P853">
        <v>7.3882863521132203</v>
      </c>
      <c r="Q853">
        <v>316</v>
      </c>
      <c r="R853">
        <v>0.75340342846243702</v>
      </c>
      <c r="S853">
        <v>387.66202531645598</v>
      </c>
      <c r="T853">
        <v>122501.2</v>
      </c>
      <c r="U853">
        <v>0.76832693227306703</v>
      </c>
      <c r="V853">
        <v>230</v>
      </c>
      <c r="W853">
        <v>7.5261780104711997</v>
      </c>
    </row>
    <row r="854" spans="1:23" hidden="1" x14ac:dyDescent="0.25">
      <c r="A854" t="s">
        <v>180</v>
      </c>
      <c r="B854">
        <v>10</v>
      </c>
      <c r="C854">
        <v>2025</v>
      </c>
      <c r="D854" t="s">
        <v>92</v>
      </c>
      <c r="E854" t="s">
        <v>93</v>
      </c>
      <c r="F854">
        <v>133</v>
      </c>
      <c r="G854">
        <v>49326.25</v>
      </c>
      <c r="H854">
        <v>133</v>
      </c>
      <c r="I854">
        <v>0.15854850630617701</v>
      </c>
      <c r="J854">
        <v>49326.25</v>
      </c>
      <c r="K854">
        <v>0.15468700038462599</v>
      </c>
      <c r="L854">
        <v>133</v>
      </c>
      <c r="M854">
        <v>0.31709701261235501</v>
      </c>
      <c r="N854">
        <v>370.87406015037601</v>
      </c>
      <c r="O854">
        <v>49326.25</v>
      </c>
      <c r="P854">
        <v>0.30937400076925298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4</v>
      </c>
      <c r="W854">
        <v>0.130890052356021</v>
      </c>
    </row>
    <row r="855" spans="1:23" hidden="1" x14ac:dyDescent="0.25">
      <c r="A855" t="s">
        <v>180</v>
      </c>
      <c r="B855">
        <v>10</v>
      </c>
      <c r="C855">
        <v>2025</v>
      </c>
      <c r="D855" t="s">
        <v>94</v>
      </c>
      <c r="E855" t="s">
        <v>95</v>
      </c>
      <c r="F855">
        <v>-15695</v>
      </c>
      <c r="G855">
        <v>-5964688.21</v>
      </c>
      <c r="H855">
        <v>19965</v>
      </c>
      <c r="I855">
        <v>23.800157356412299</v>
      </c>
      <c r="J855">
        <v>7565205.8099999996</v>
      </c>
      <c r="K855">
        <v>23.724467074655902</v>
      </c>
      <c r="L855">
        <v>2135</v>
      </c>
      <c r="M855">
        <v>5.0902415182509602</v>
      </c>
      <c r="N855">
        <v>374.828477751756</v>
      </c>
      <c r="O855">
        <v>800258.8</v>
      </c>
      <c r="P855">
        <v>5.0192193123702102</v>
      </c>
      <c r="Q855">
        <v>17830</v>
      </c>
      <c r="R855">
        <v>42.5100731945736</v>
      </c>
      <c r="S855">
        <v>379.41374144699898</v>
      </c>
      <c r="T855">
        <v>6764947.0099999998</v>
      </c>
      <c r="U855">
        <v>42.429714836941699</v>
      </c>
      <c r="V855">
        <v>774</v>
      </c>
      <c r="W855">
        <v>25.327225130890099</v>
      </c>
    </row>
    <row r="856" spans="1:23" hidden="1" x14ac:dyDescent="0.25">
      <c r="A856" t="s">
        <v>180</v>
      </c>
      <c r="B856">
        <v>10</v>
      </c>
      <c r="C856">
        <v>2025</v>
      </c>
      <c r="D856" t="s">
        <v>96</v>
      </c>
      <c r="E856" t="s">
        <v>97</v>
      </c>
      <c r="F856">
        <v>10</v>
      </c>
      <c r="G856">
        <v>3820.2</v>
      </c>
      <c r="H856">
        <v>10</v>
      </c>
      <c r="I856">
        <v>1.1920940323772699E-2</v>
      </c>
      <c r="J856">
        <v>3820.2</v>
      </c>
      <c r="K856">
        <v>1.1980137936075601E-2</v>
      </c>
      <c r="L856">
        <v>10</v>
      </c>
      <c r="M856">
        <v>2.3841880647545499E-2</v>
      </c>
      <c r="N856">
        <v>382.02</v>
      </c>
      <c r="O856">
        <v>3820.2</v>
      </c>
      <c r="P856">
        <v>2.3960275872151202E-2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1</v>
      </c>
      <c r="W856">
        <v>3.2722513089005201E-2</v>
      </c>
    </row>
    <row r="857" spans="1:23" hidden="1" x14ac:dyDescent="0.25">
      <c r="A857" t="s">
        <v>180</v>
      </c>
      <c r="B857">
        <v>10</v>
      </c>
      <c r="C857">
        <v>2025</v>
      </c>
      <c r="D857" t="s">
        <v>102</v>
      </c>
      <c r="E857" t="s">
        <v>103</v>
      </c>
      <c r="F857">
        <v>327</v>
      </c>
      <c r="G857">
        <v>135532.41</v>
      </c>
      <c r="H857">
        <v>10487</v>
      </c>
      <c r="I857">
        <v>12.5014901175405</v>
      </c>
      <c r="J857">
        <v>3908613.21</v>
      </c>
      <c r="K857">
        <v>12.257401548235</v>
      </c>
      <c r="L857">
        <v>5407</v>
      </c>
      <c r="M857">
        <v>12.8913048661278</v>
      </c>
      <c r="N857">
        <v>373.97314777140701</v>
      </c>
      <c r="O857">
        <v>2022072.81</v>
      </c>
      <c r="P857">
        <v>12.682430857330999</v>
      </c>
      <c r="Q857">
        <v>5080</v>
      </c>
      <c r="R857">
        <v>12.111675368953099</v>
      </c>
      <c r="S857">
        <v>371.366220472441</v>
      </c>
      <c r="T857">
        <v>1886540.4</v>
      </c>
      <c r="U857">
        <v>11.8323722391389</v>
      </c>
      <c r="V857">
        <v>350</v>
      </c>
      <c r="W857">
        <v>11.4528795811518</v>
      </c>
    </row>
    <row r="858" spans="1:23" hidden="1" x14ac:dyDescent="0.25">
      <c r="A858" t="s">
        <v>180</v>
      </c>
      <c r="B858">
        <v>10</v>
      </c>
      <c r="C858">
        <v>2025</v>
      </c>
      <c r="D858" t="s">
        <v>104</v>
      </c>
      <c r="E858" t="s">
        <v>105</v>
      </c>
      <c r="F858">
        <v>1064</v>
      </c>
      <c r="G858">
        <v>403251.98</v>
      </c>
      <c r="H858">
        <v>4564</v>
      </c>
      <c r="I858">
        <v>5.4407171637698797</v>
      </c>
      <c r="J858">
        <v>1720432.2</v>
      </c>
      <c r="K858">
        <v>5.3952712071792099</v>
      </c>
      <c r="L858">
        <v>2814</v>
      </c>
      <c r="M858">
        <v>6.7091052142193002</v>
      </c>
      <c r="N858">
        <v>377.342604832978</v>
      </c>
      <c r="O858">
        <v>1061842.0900000001</v>
      </c>
      <c r="P858">
        <v>6.6598684385795597</v>
      </c>
      <c r="Q858">
        <v>1750</v>
      </c>
      <c r="R858">
        <v>4.1723291133204601</v>
      </c>
      <c r="S858">
        <v>376.33720571428597</v>
      </c>
      <c r="T858">
        <v>658590.11</v>
      </c>
      <c r="U858">
        <v>4.13067397577887</v>
      </c>
      <c r="V858">
        <v>218</v>
      </c>
      <c r="W858">
        <v>7.13350785340314</v>
      </c>
    </row>
    <row r="859" spans="1:23" hidden="1" x14ac:dyDescent="0.25">
      <c r="A859" t="s">
        <v>180</v>
      </c>
      <c r="B859">
        <v>10</v>
      </c>
      <c r="C859">
        <v>2025</v>
      </c>
      <c r="D859" t="s">
        <v>106</v>
      </c>
      <c r="E859" t="s">
        <v>107</v>
      </c>
      <c r="F859">
        <v>116</v>
      </c>
      <c r="G859">
        <v>44040.9</v>
      </c>
      <c r="H859">
        <v>602</v>
      </c>
      <c r="I859">
        <v>0.71764060749111902</v>
      </c>
      <c r="J859">
        <v>226086.39999999999</v>
      </c>
      <c r="K859">
        <v>0.70900640214406696</v>
      </c>
      <c r="L859">
        <v>359</v>
      </c>
      <c r="M859">
        <v>0.85592351524688304</v>
      </c>
      <c r="N859">
        <v>376.22186629526499</v>
      </c>
      <c r="O859">
        <v>135063.65</v>
      </c>
      <c r="P859">
        <v>0.84711855774558398</v>
      </c>
      <c r="Q859">
        <v>243</v>
      </c>
      <c r="R859">
        <v>0.579357699735355</v>
      </c>
      <c r="S859">
        <v>374.579218106996</v>
      </c>
      <c r="T859">
        <v>91022.75</v>
      </c>
      <c r="U859">
        <v>0.57089424654255105</v>
      </c>
      <c r="V859">
        <v>33</v>
      </c>
      <c r="W859">
        <v>1.0798429319371701</v>
      </c>
    </row>
    <row r="860" spans="1:23" hidden="1" x14ac:dyDescent="0.25">
      <c r="A860" t="s">
        <v>180</v>
      </c>
      <c r="B860">
        <v>10</v>
      </c>
      <c r="C860">
        <v>2025</v>
      </c>
      <c r="D860" t="s">
        <v>110</v>
      </c>
      <c r="E860" t="s">
        <v>111</v>
      </c>
      <c r="F860">
        <v>32</v>
      </c>
      <c r="G860">
        <v>13108.45</v>
      </c>
      <c r="H860">
        <v>156</v>
      </c>
      <c r="I860">
        <v>0.18596666905085499</v>
      </c>
      <c r="J860">
        <v>59954.67</v>
      </c>
      <c r="K860">
        <v>0.18801769973087701</v>
      </c>
      <c r="L860">
        <v>94</v>
      </c>
      <c r="M860">
        <v>0.224113678086928</v>
      </c>
      <c r="N860">
        <v>388.63361702127702</v>
      </c>
      <c r="O860">
        <v>36531.56</v>
      </c>
      <c r="P860">
        <v>0.22912576714309299</v>
      </c>
      <c r="Q860">
        <v>62</v>
      </c>
      <c r="R860">
        <v>0.147819660014782</v>
      </c>
      <c r="S860">
        <v>377.79209677419402</v>
      </c>
      <c r="T860">
        <v>23423.11</v>
      </c>
      <c r="U860">
        <v>0.14690963231866</v>
      </c>
      <c r="V860">
        <v>17</v>
      </c>
      <c r="W860">
        <v>0.55628272251308897</v>
      </c>
    </row>
    <row r="861" spans="1:23" hidden="1" x14ac:dyDescent="0.25">
      <c r="A861" t="s">
        <v>180</v>
      </c>
      <c r="B861">
        <v>10</v>
      </c>
      <c r="C861">
        <v>2025</v>
      </c>
      <c r="D861" t="s">
        <v>112</v>
      </c>
      <c r="E861" t="s">
        <v>113</v>
      </c>
      <c r="F861">
        <v>-89</v>
      </c>
      <c r="G861">
        <v>-33998</v>
      </c>
      <c r="H861">
        <v>89</v>
      </c>
      <c r="I861">
        <v>0.106096368881577</v>
      </c>
      <c r="J861">
        <v>33998</v>
      </c>
      <c r="K861">
        <v>0.106617645555389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89</v>
      </c>
      <c r="R861">
        <v>0.212192737763155</v>
      </c>
      <c r="S861">
        <v>382</v>
      </c>
      <c r="T861">
        <v>33998</v>
      </c>
      <c r="U861">
        <v>0.21323529111077899</v>
      </c>
      <c r="V861">
        <v>2</v>
      </c>
      <c r="W861">
        <v>6.5445026178010499E-2</v>
      </c>
    </row>
    <row r="862" spans="1:23" hidden="1" x14ac:dyDescent="0.25">
      <c r="A862" t="s">
        <v>180</v>
      </c>
      <c r="B862">
        <v>10</v>
      </c>
      <c r="C862">
        <v>2025</v>
      </c>
      <c r="D862" t="s">
        <v>163</v>
      </c>
      <c r="E862" t="s">
        <v>164</v>
      </c>
      <c r="F862">
        <v>-1</v>
      </c>
      <c r="G862">
        <v>-365.69</v>
      </c>
      <c r="H862">
        <v>1</v>
      </c>
      <c r="I862">
        <v>1.19209403237727E-3</v>
      </c>
      <c r="J862">
        <v>365.69</v>
      </c>
      <c r="K862">
        <v>1.1468029532075499E-3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1</v>
      </c>
      <c r="R862">
        <v>2.38418806475455E-3</v>
      </c>
      <c r="S862">
        <v>365.69</v>
      </c>
      <c r="T862">
        <v>365.69</v>
      </c>
      <c r="U862">
        <v>2.2936059064150999E-3</v>
      </c>
      <c r="V862">
        <v>1</v>
      </c>
      <c r="W862">
        <v>3.2722513089005201E-2</v>
      </c>
    </row>
    <row r="863" spans="1:23" hidden="1" x14ac:dyDescent="0.25">
      <c r="A863" t="s">
        <v>180</v>
      </c>
      <c r="B863">
        <v>10</v>
      </c>
      <c r="C863">
        <v>2025</v>
      </c>
      <c r="D863" t="s">
        <v>116</v>
      </c>
      <c r="E863" t="s">
        <v>117</v>
      </c>
      <c r="F863">
        <v>1170</v>
      </c>
      <c r="G863">
        <v>447564.79</v>
      </c>
      <c r="H863">
        <v>1534</v>
      </c>
      <c r="I863">
        <v>1.8286722456667399</v>
      </c>
      <c r="J863">
        <v>582298.49</v>
      </c>
      <c r="K863">
        <v>1.8260866525754</v>
      </c>
      <c r="L863">
        <v>1352</v>
      </c>
      <c r="M863">
        <v>3.2234222635481502</v>
      </c>
      <c r="N863">
        <v>380.866597633136</v>
      </c>
      <c r="O863">
        <v>514931.64</v>
      </c>
      <c r="P863">
        <v>3.22964874867789</v>
      </c>
      <c r="Q863">
        <v>182</v>
      </c>
      <c r="R863">
        <v>0.43392222778532802</v>
      </c>
      <c r="S863">
        <v>370.14752747252697</v>
      </c>
      <c r="T863">
        <v>67366.850000000006</v>
      </c>
      <c r="U863">
        <v>0.42252455647291498</v>
      </c>
      <c r="V863">
        <v>46</v>
      </c>
      <c r="W863">
        <v>1.5052356020942399</v>
      </c>
    </row>
    <row r="864" spans="1:23" hidden="1" x14ac:dyDescent="0.25">
      <c r="A864" t="s">
        <v>180</v>
      </c>
      <c r="B864">
        <v>10</v>
      </c>
      <c r="C864">
        <v>2025</v>
      </c>
      <c r="D864" t="s">
        <v>118</v>
      </c>
      <c r="E864" t="s">
        <v>119</v>
      </c>
      <c r="F864">
        <v>595</v>
      </c>
      <c r="G864">
        <v>225101.4</v>
      </c>
      <c r="H864">
        <v>1521</v>
      </c>
      <c r="I864">
        <v>1.8131750232458299</v>
      </c>
      <c r="J864">
        <v>580736.9</v>
      </c>
      <c r="K864">
        <v>1.82118951012223</v>
      </c>
      <c r="L864">
        <v>1058</v>
      </c>
      <c r="M864">
        <v>2.5224709725103098</v>
      </c>
      <c r="N864">
        <v>380.83095463138</v>
      </c>
      <c r="O864">
        <v>402919.15</v>
      </c>
      <c r="P864">
        <v>2.5271069546549101</v>
      </c>
      <c r="Q864">
        <v>463</v>
      </c>
      <c r="R864">
        <v>1.10387907398136</v>
      </c>
      <c r="S864">
        <v>384.05561555075599</v>
      </c>
      <c r="T864">
        <v>177817.75</v>
      </c>
      <c r="U864">
        <v>1.1152720655895501</v>
      </c>
      <c r="V864">
        <v>49</v>
      </c>
      <c r="W864">
        <v>1.6034031413612599</v>
      </c>
    </row>
    <row r="865" spans="1:23" hidden="1" x14ac:dyDescent="0.25">
      <c r="A865" t="s">
        <v>180</v>
      </c>
      <c r="B865">
        <v>10</v>
      </c>
      <c r="C865">
        <v>2025</v>
      </c>
      <c r="D865" t="s">
        <v>120</v>
      </c>
      <c r="E865" t="s">
        <v>121</v>
      </c>
      <c r="F865">
        <v>-51</v>
      </c>
      <c r="G865">
        <v>-19226.63</v>
      </c>
      <c r="H865">
        <v>55</v>
      </c>
      <c r="I865">
        <v>6.5565171780750095E-2</v>
      </c>
      <c r="J865">
        <v>20648.669999999998</v>
      </c>
      <c r="K865">
        <v>6.4754179047302907E-2</v>
      </c>
      <c r="L865">
        <v>2</v>
      </c>
      <c r="M865">
        <v>4.7683761295091E-3</v>
      </c>
      <c r="N865">
        <v>355.51</v>
      </c>
      <c r="O865">
        <v>711.02</v>
      </c>
      <c r="P865">
        <v>4.4595139915755604E-3</v>
      </c>
      <c r="Q865">
        <v>53</v>
      </c>
      <c r="R865">
        <v>0.12636196743199099</v>
      </c>
      <c r="S865">
        <v>376.182075471698</v>
      </c>
      <c r="T865">
        <v>19937.650000000001</v>
      </c>
      <c r="U865">
        <v>0.12504884410302999</v>
      </c>
      <c r="V865">
        <v>9</v>
      </c>
      <c r="W865">
        <v>0.29450261780104697</v>
      </c>
    </row>
    <row r="866" spans="1:23" hidden="1" x14ac:dyDescent="0.25">
      <c r="A866" t="s">
        <v>180</v>
      </c>
      <c r="B866">
        <v>10</v>
      </c>
      <c r="C866">
        <v>2025</v>
      </c>
      <c r="D866" t="s">
        <v>122</v>
      </c>
      <c r="E866" t="s">
        <v>123</v>
      </c>
      <c r="F866">
        <v>1939</v>
      </c>
      <c r="G866">
        <v>642778.22000000102</v>
      </c>
      <c r="H866">
        <v>18547</v>
      </c>
      <c r="I866">
        <v>22.109768018501299</v>
      </c>
      <c r="J866">
        <v>7070301.5800000001</v>
      </c>
      <c r="K866">
        <v>22.172448609510798</v>
      </c>
      <c r="L866">
        <v>10243</v>
      </c>
      <c r="M866">
        <v>24.421238347280799</v>
      </c>
      <c r="N866">
        <v>376.50492043346702</v>
      </c>
      <c r="O866">
        <v>3856539.9</v>
      </c>
      <c r="P866">
        <v>24.188199548703899</v>
      </c>
      <c r="Q866">
        <v>8304</v>
      </c>
      <c r="R866">
        <v>19.798297689721799</v>
      </c>
      <c r="S866">
        <v>387.01368978805402</v>
      </c>
      <c r="T866">
        <v>3213761.68</v>
      </c>
      <c r="U866">
        <v>20.156697670317801</v>
      </c>
      <c r="V866">
        <v>421</v>
      </c>
      <c r="W866">
        <v>13.776178010471201</v>
      </c>
    </row>
    <row r="867" spans="1:23" hidden="1" x14ac:dyDescent="0.25">
      <c r="A867" t="s">
        <v>180</v>
      </c>
      <c r="B867">
        <v>10</v>
      </c>
      <c r="C867">
        <v>2025</v>
      </c>
      <c r="D867" t="s">
        <v>126</v>
      </c>
      <c r="E867" t="s">
        <v>127</v>
      </c>
      <c r="F867">
        <v>230</v>
      </c>
      <c r="G867">
        <v>85278.74</v>
      </c>
      <c r="H867">
        <v>232</v>
      </c>
      <c r="I867">
        <v>0.27656581551152798</v>
      </c>
      <c r="J867">
        <v>86017.24</v>
      </c>
      <c r="K867">
        <v>0.26974985604955798</v>
      </c>
      <c r="L867">
        <v>231</v>
      </c>
      <c r="M867">
        <v>0.55074744295830103</v>
      </c>
      <c r="N867">
        <v>370.77051948052002</v>
      </c>
      <c r="O867">
        <v>85647.99</v>
      </c>
      <c r="P867">
        <v>0.53718377788996596</v>
      </c>
      <c r="Q867">
        <v>1</v>
      </c>
      <c r="R867">
        <v>2.38418806475455E-3</v>
      </c>
      <c r="S867">
        <v>369.25</v>
      </c>
      <c r="T867">
        <v>369.25</v>
      </c>
      <c r="U867">
        <v>2.31593420914922E-3</v>
      </c>
      <c r="V867">
        <v>26</v>
      </c>
      <c r="W867">
        <v>0.850785340314136</v>
      </c>
    </row>
    <row r="868" spans="1:23" hidden="1" x14ac:dyDescent="0.25">
      <c r="A868" t="s">
        <v>180</v>
      </c>
      <c r="B868">
        <v>10</v>
      </c>
      <c r="C868">
        <v>2025</v>
      </c>
      <c r="D868" t="s">
        <v>128</v>
      </c>
      <c r="E868" t="s">
        <v>129</v>
      </c>
      <c r="F868">
        <v>-50</v>
      </c>
      <c r="G868">
        <v>-19675.5</v>
      </c>
      <c r="H868">
        <v>50</v>
      </c>
      <c r="I868">
        <v>5.9604701618863699E-2</v>
      </c>
      <c r="J868">
        <v>19675.5</v>
      </c>
      <c r="K868">
        <v>6.17023202872247E-2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50</v>
      </c>
      <c r="R868">
        <v>0.119209403237727</v>
      </c>
      <c r="S868">
        <v>393.51</v>
      </c>
      <c r="T868">
        <v>19675.5</v>
      </c>
      <c r="U868">
        <v>0.123404640574449</v>
      </c>
      <c r="V868">
        <v>1</v>
      </c>
      <c r="W868">
        <v>3.2722513089005201E-2</v>
      </c>
    </row>
    <row r="869" spans="1:23" hidden="1" x14ac:dyDescent="0.25">
      <c r="A869" t="s">
        <v>180</v>
      </c>
      <c r="B869">
        <v>10</v>
      </c>
      <c r="C869">
        <v>2025</v>
      </c>
      <c r="D869" t="s">
        <v>130</v>
      </c>
      <c r="E869" t="s">
        <v>131</v>
      </c>
      <c r="F869">
        <v>708</v>
      </c>
      <c r="G869">
        <v>270038.65000000002</v>
      </c>
      <c r="H869">
        <v>1054</v>
      </c>
      <c r="I869">
        <v>1.2564671101256499</v>
      </c>
      <c r="J869">
        <v>403074.25</v>
      </c>
      <c r="K869">
        <v>1.26403987055134</v>
      </c>
      <c r="L869">
        <v>881</v>
      </c>
      <c r="M869">
        <v>2.1004696850487599</v>
      </c>
      <c r="N869">
        <v>382.01640181611799</v>
      </c>
      <c r="O869">
        <v>336556.45</v>
      </c>
      <c r="P869">
        <v>2.1108804221119</v>
      </c>
      <c r="Q869">
        <v>173</v>
      </c>
      <c r="R869">
        <v>0.41246453520253701</v>
      </c>
      <c r="S869">
        <v>384.49595375722498</v>
      </c>
      <c r="T869">
        <v>66517.8</v>
      </c>
      <c r="U869">
        <v>0.417199318990781</v>
      </c>
      <c r="V869">
        <v>46</v>
      </c>
      <c r="W869">
        <v>1.5052356020942399</v>
      </c>
    </row>
    <row r="870" spans="1:23" hidden="1" x14ac:dyDescent="0.25">
      <c r="A870" t="s">
        <v>180</v>
      </c>
      <c r="B870">
        <v>10</v>
      </c>
      <c r="C870">
        <v>2025</v>
      </c>
      <c r="D870" t="s">
        <v>132</v>
      </c>
      <c r="E870" t="s">
        <v>133</v>
      </c>
      <c r="F870">
        <v>414</v>
      </c>
      <c r="G870">
        <v>158988.62</v>
      </c>
      <c r="H870">
        <v>568</v>
      </c>
      <c r="I870">
        <v>0.67710941039029204</v>
      </c>
      <c r="J870">
        <v>217979.62</v>
      </c>
      <c r="K870">
        <v>0.68358355972287999</v>
      </c>
      <c r="L870">
        <v>491</v>
      </c>
      <c r="M870">
        <v>1.1706363397944799</v>
      </c>
      <c r="N870">
        <v>383.87804480651698</v>
      </c>
      <c r="O870">
        <v>188484.12</v>
      </c>
      <c r="P870">
        <v>1.182171486498</v>
      </c>
      <c r="Q870">
        <v>77</v>
      </c>
      <c r="R870">
        <v>0.1835824809861</v>
      </c>
      <c r="S870">
        <v>383.05844155844198</v>
      </c>
      <c r="T870">
        <v>29495.5</v>
      </c>
      <c r="U870">
        <v>0.184995632947761</v>
      </c>
      <c r="V870">
        <v>43</v>
      </c>
      <c r="W870">
        <v>1.4070680628272201</v>
      </c>
    </row>
    <row r="871" spans="1:23" hidden="1" x14ac:dyDescent="0.25">
      <c r="A871" t="s">
        <v>180</v>
      </c>
      <c r="B871">
        <v>10</v>
      </c>
      <c r="C871">
        <v>2025</v>
      </c>
      <c r="D871" t="s">
        <v>134</v>
      </c>
      <c r="E871" t="s">
        <v>135</v>
      </c>
      <c r="F871">
        <v>213</v>
      </c>
      <c r="G871">
        <v>80109.45</v>
      </c>
      <c r="H871">
        <v>213</v>
      </c>
      <c r="I871">
        <v>0.253916028896359</v>
      </c>
      <c r="J871">
        <v>80109.45</v>
      </c>
      <c r="K871">
        <v>0.25122304093585501</v>
      </c>
      <c r="L871">
        <v>213</v>
      </c>
      <c r="M871">
        <v>0.507832057792719</v>
      </c>
      <c r="N871">
        <v>376.10070422535199</v>
      </c>
      <c r="O871">
        <v>80109.45</v>
      </c>
      <c r="P871">
        <v>0.50244608187171003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4</v>
      </c>
      <c r="W871">
        <v>0.130890052356021</v>
      </c>
    </row>
    <row r="872" spans="1:23" hidden="1" x14ac:dyDescent="0.25">
      <c r="A872" t="s">
        <v>180</v>
      </c>
      <c r="B872">
        <v>10</v>
      </c>
      <c r="C872">
        <v>2025</v>
      </c>
      <c r="D872" t="s">
        <v>136</v>
      </c>
      <c r="E872" t="s">
        <v>137</v>
      </c>
      <c r="F872">
        <v>39</v>
      </c>
      <c r="G872">
        <v>14728.35</v>
      </c>
      <c r="H872">
        <v>39</v>
      </c>
      <c r="I872">
        <v>4.6491667262713698E-2</v>
      </c>
      <c r="J872">
        <v>14728.35</v>
      </c>
      <c r="K872">
        <v>4.6188069883984897E-2</v>
      </c>
      <c r="L872">
        <v>39</v>
      </c>
      <c r="M872">
        <v>9.2983334525427397E-2</v>
      </c>
      <c r="N872">
        <v>377.65</v>
      </c>
      <c r="O872">
        <v>14728.35</v>
      </c>
      <c r="P872">
        <v>9.2376139767969906E-2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2</v>
      </c>
      <c r="W872">
        <v>6.5445026178010499E-2</v>
      </c>
    </row>
    <row r="873" spans="1:23" hidden="1" x14ac:dyDescent="0.25">
      <c r="A873" t="s">
        <v>180</v>
      </c>
      <c r="B873">
        <v>10</v>
      </c>
      <c r="C873">
        <v>2025</v>
      </c>
      <c r="D873" t="s">
        <v>142</v>
      </c>
      <c r="E873" t="s">
        <v>143</v>
      </c>
      <c r="F873">
        <v>2295</v>
      </c>
      <c r="G873">
        <v>900215.56</v>
      </c>
      <c r="H873">
        <v>4809</v>
      </c>
      <c r="I873">
        <v>5.73278020170231</v>
      </c>
      <c r="J873">
        <v>1839646.18</v>
      </c>
      <c r="K873">
        <v>5.7691259593671997</v>
      </c>
      <c r="L873">
        <v>3552</v>
      </c>
      <c r="M873">
        <v>8.4686360060081505</v>
      </c>
      <c r="N873">
        <v>385.67873592342301</v>
      </c>
      <c r="O873">
        <v>1369930.87</v>
      </c>
      <c r="P873">
        <v>8.5921997725187502</v>
      </c>
      <c r="Q873">
        <v>1257</v>
      </c>
      <c r="R873">
        <v>2.9969243973964699</v>
      </c>
      <c r="S873">
        <v>373.67964200477297</v>
      </c>
      <c r="T873">
        <v>469715.31</v>
      </c>
      <c r="U873">
        <v>2.9460521462156501</v>
      </c>
      <c r="V873">
        <v>338</v>
      </c>
      <c r="W873">
        <v>11.0602094240838</v>
      </c>
    </row>
    <row r="874" spans="1:23" hidden="1" x14ac:dyDescent="0.25">
      <c r="A874" t="s">
        <v>180</v>
      </c>
      <c r="B874">
        <v>10</v>
      </c>
      <c r="C874">
        <v>2025</v>
      </c>
      <c r="D874" t="s">
        <v>146</v>
      </c>
      <c r="E874" t="s">
        <v>147</v>
      </c>
      <c r="F874">
        <v>353</v>
      </c>
      <c r="G874">
        <v>136206.96</v>
      </c>
      <c r="H874">
        <v>559</v>
      </c>
      <c r="I874">
        <v>0.66638056409889601</v>
      </c>
      <c r="J874">
        <v>214397.06</v>
      </c>
      <c r="K874">
        <v>0.67234866025053097</v>
      </c>
      <c r="L874">
        <v>456</v>
      </c>
      <c r="M874">
        <v>1.08718975752807</v>
      </c>
      <c r="N874">
        <v>384.43423245614002</v>
      </c>
      <c r="O874">
        <v>175302.01</v>
      </c>
      <c r="P874">
        <v>1.09949335651081</v>
      </c>
      <c r="Q874">
        <v>103</v>
      </c>
      <c r="R874">
        <v>0.24557137066971799</v>
      </c>
      <c r="S874">
        <v>379.56359223301001</v>
      </c>
      <c r="T874">
        <v>39095.050000000003</v>
      </c>
      <c r="U874">
        <v>0.24520396399024799</v>
      </c>
      <c r="V874">
        <v>36</v>
      </c>
      <c r="W874">
        <v>1.1780104712041899</v>
      </c>
    </row>
    <row r="875" spans="1:23" x14ac:dyDescent="0.25">
      <c r="A875" t="s">
        <v>180</v>
      </c>
      <c r="B875">
        <v>10</v>
      </c>
      <c r="C875">
        <v>2025</v>
      </c>
      <c r="D875" t="s">
        <v>148</v>
      </c>
      <c r="E875" t="s">
        <v>148</v>
      </c>
      <c r="F875">
        <v>0</v>
      </c>
      <c r="G875" s="4">
        <v>1.70581415659399E-9</v>
      </c>
      <c r="H875">
        <v>83886</v>
      </c>
      <c r="I875">
        <v>0</v>
      </c>
      <c r="J875">
        <v>31887779.760000002</v>
      </c>
      <c r="K875">
        <v>0</v>
      </c>
      <c r="L875">
        <v>41943</v>
      </c>
      <c r="M875">
        <v>100</v>
      </c>
      <c r="N875">
        <v>377.342604832978</v>
      </c>
      <c r="O875">
        <v>15943889.880000001</v>
      </c>
      <c r="P875">
        <v>100</v>
      </c>
      <c r="Q875">
        <v>41943</v>
      </c>
      <c r="R875">
        <v>100</v>
      </c>
      <c r="S875">
        <v>376.18970694087398</v>
      </c>
      <c r="T875">
        <v>15943889.880000001</v>
      </c>
      <c r="U875">
        <v>100</v>
      </c>
      <c r="V875">
        <v>3056</v>
      </c>
      <c r="W875">
        <v>100</v>
      </c>
    </row>
    <row r="876" spans="1:23" hidden="1" x14ac:dyDescent="0.25">
      <c r="A876" t="s">
        <v>180</v>
      </c>
      <c r="B876">
        <v>10</v>
      </c>
      <c r="C876">
        <v>2025</v>
      </c>
      <c r="D876" t="s">
        <v>149</v>
      </c>
      <c r="E876" t="s">
        <v>150</v>
      </c>
      <c r="F876">
        <v>2983</v>
      </c>
      <c r="G876">
        <v>1133658.51</v>
      </c>
      <c r="H876">
        <v>10883</v>
      </c>
      <c r="I876">
        <v>12.9735593543619</v>
      </c>
      <c r="J876">
        <v>4177307.21</v>
      </c>
      <c r="K876">
        <v>13.1000252806563</v>
      </c>
      <c r="L876">
        <v>6933</v>
      </c>
      <c r="M876">
        <v>16.529575852943299</v>
      </c>
      <c r="N876">
        <v>383.02075003606001</v>
      </c>
      <c r="O876">
        <v>2655482.86</v>
      </c>
      <c r="P876">
        <v>16.655175618912399</v>
      </c>
      <c r="Q876">
        <v>3950</v>
      </c>
      <c r="R876">
        <v>9.4175428557804608</v>
      </c>
      <c r="S876">
        <v>385.27198734177199</v>
      </c>
      <c r="T876">
        <v>1521824.35</v>
      </c>
      <c r="U876">
        <v>9.54487494240019</v>
      </c>
      <c r="V876">
        <v>293</v>
      </c>
      <c r="W876">
        <v>9.5876963350785296</v>
      </c>
    </row>
    <row r="877" spans="1:23" hidden="1" x14ac:dyDescent="0.25">
      <c r="A877" t="s">
        <v>180</v>
      </c>
      <c r="B877">
        <v>10</v>
      </c>
      <c r="C877">
        <v>2025</v>
      </c>
      <c r="D877" t="s">
        <v>153</v>
      </c>
      <c r="E877" t="s">
        <v>154</v>
      </c>
      <c r="F877">
        <v>89</v>
      </c>
      <c r="G877">
        <v>33194.6</v>
      </c>
      <c r="H877">
        <v>117</v>
      </c>
      <c r="I877">
        <v>0.13947500178814101</v>
      </c>
      <c r="J877">
        <v>43666.48</v>
      </c>
      <c r="K877">
        <v>0.13693797538947899</v>
      </c>
      <c r="L877">
        <v>103</v>
      </c>
      <c r="M877">
        <v>0.24557137066971799</v>
      </c>
      <c r="N877">
        <v>373.11203883495102</v>
      </c>
      <c r="O877">
        <v>38430.54</v>
      </c>
      <c r="P877">
        <v>0.2410361604931</v>
      </c>
      <c r="Q877">
        <v>14</v>
      </c>
      <c r="R877">
        <v>3.3378632906563697E-2</v>
      </c>
      <c r="S877">
        <v>373.99571428571397</v>
      </c>
      <c r="T877">
        <v>5235.9399999999996</v>
      </c>
      <c r="U877">
        <v>3.2839790285857103E-2</v>
      </c>
      <c r="V877">
        <v>23</v>
      </c>
      <c r="W877">
        <v>0.75261780104711995</v>
      </c>
    </row>
    <row r="878" spans="1:23" hidden="1" x14ac:dyDescent="0.25">
      <c r="A878" t="s">
        <v>180</v>
      </c>
      <c r="B878">
        <v>11</v>
      </c>
      <c r="C878">
        <v>2025</v>
      </c>
      <c r="D878" t="s">
        <v>88</v>
      </c>
      <c r="E878" t="s">
        <v>89</v>
      </c>
      <c r="F878">
        <v>489</v>
      </c>
      <c r="G878">
        <v>198121.02</v>
      </c>
      <c r="H878">
        <v>3551</v>
      </c>
      <c r="I878">
        <v>5.9985134632926798</v>
      </c>
      <c r="J878">
        <v>1341198.68</v>
      </c>
      <c r="K878">
        <v>5.9080559534821697</v>
      </c>
      <c r="L878">
        <v>2020</v>
      </c>
      <c r="M878">
        <v>6.8245548836109302</v>
      </c>
      <c r="N878">
        <v>381.01972772277202</v>
      </c>
      <c r="O878">
        <v>769659.85</v>
      </c>
      <c r="P878">
        <v>6.7807902389953103</v>
      </c>
      <c r="Q878">
        <v>1531</v>
      </c>
      <c r="R878">
        <v>5.1724720429744204</v>
      </c>
      <c r="S878">
        <v>373.31079686479399</v>
      </c>
      <c r="T878">
        <v>571538.82999999996</v>
      </c>
      <c r="U878">
        <v>5.0353216679690398</v>
      </c>
      <c r="V878">
        <v>52</v>
      </c>
      <c r="W878">
        <v>3.8980509745127399</v>
      </c>
    </row>
    <row r="879" spans="1:23" hidden="1" x14ac:dyDescent="0.25">
      <c r="A879" t="s">
        <v>180</v>
      </c>
      <c r="B879">
        <v>11</v>
      </c>
      <c r="C879">
        <v>2025</v>
      </c>
      <c r="D879" t="s">
        <v>90</v>
      </c>
      <c r="E879" t="s">
        <v>91</v>
      </c>
      <c r="F879">
        <v>-873</v>
      </c>
      <c r="G879">
        <v>-342618.97</v>
      </c>
      <c r="H879">
        <v>1705</v>
      </c>
      <c r="I879">
        <v>2.8801648704348102</v>
      </c>
      <c r="J879">
        <v>658563.51</v>
      </c>
      <c r="K879">
        <v>2.9010094656532299</v>
      </c>
      <c r="L879">
        <v>416</v>
      </c>
      <c r="M879">
        <v>1.4054528869218601</v>
      </c>
      <c r="N879">
        <v>379.74103365384599</v>
      </c>
      <c r="O879">
        <v>157972.26999999999</v>
      </c>
      <c r="P879">
        <v>1.3917535472948599</v>
      </c>
      <c r="Q879">
        <v>1289</v>
      </c>
      <c r="R879">
        <v>4.3548768539477702</v>
      </c>
      <c r="S879">
        <v>388.35627618308803</v>
      </c>
      <c r="T879">
        <v>500591.24</v>
      </c>
      <c r="U879">
        <v>4.4102653840116002</v>
      </c>
      <c r="V879">
        <v>99</v>
      </c>
      <c r="W879">
        <v>7.4212893553223402</v>
      </c>
    </row>
    <row r="880" spans="1:23" hidden="1" x14ac:dyDescent="0.25">
      <c r="A880" t="s">
        <v>180</v>
      </c>
      <c r="B880">
        <v>11</v>
      </c>
      <c r="C880">
        <v>2025</v>
      </c>
      <c r="D880" t="s">
        <v>92</v>
      </c>
      <c r="E880" t="s">
        <v>93</v>
      </c>
      <c r="F880">
        <v>315</v>
      </c>
      <c r="G880">
        <v>118255.25</v>
      </c>
      <c r="H880">
        <v>315</v>
      </c>
      <c r="I880">
        <v>0.53211257137065404</v>
      </c>
      <c r="J880">
        <v>118255.25</v>
      </c>
      <c r="K880">
        <v>0.52092105682136702</v>
      </c>
      <c r="L880">
        <v>315</v>
      </c>
      <c r="M880">
        <v>1.0642251427413101</v>
      </c>
      <c r="N880">
        <v>375.41349206349201</v>
      </c>
      <c r="O880">
        <v>118255.25</v>
      </c>
      <c r="P880">
        <v>1.04184211364273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9</v>
      </c>
      <c r="W880">
        <v>0.67466266866566704</v>
      </c>
    </row>
    <row r="881" spans="1:23" hidden="1" x14ac:dyDescent="0.25">
      <c r="A881" t="s">
        <v>180</v>
      </c>
      <c r="B881">
        <v>11</v>
      </c>
      <c r="C881">
        <v>2025</v>
      </c>
      <c r="D881" t="s">
        <v>94</v>
      </c>
      <c r="E881" t="s">
        <v>95</v>
      </c>
      <c r="F881">
        <v>-9207</v>
      </c>
      <c r="G881">
        <v>-3554407.18</v>
      </c>
      <c r="H881">
        <v>13663</v>
      </c>
      <c r="I881">
        <v>23.080171627419801</v>
      </c>
      <c r="J881">
        <v>5244072.46</v>
      </c>
      <c r="K881">
        <v>23.100435438689001</v>
      </c>
      <c r="L881">
        <v>2228</v>
      </c>
      <c r="M881">
        <v>7.5272813270718597</v>
      </c>
      <c r="N881">
        <v>379.188797127469</v>
      </c>
      <c r="O881">
        <v>844832.64</v>
      </c>
      <c r="P881">
        <v>7.4430710123395896</v>
      </c>
      <c r="Q881">
        <v>11435</v>
      </c>
      <c r="R881">
        <v>38.633061927767798</v>
      </c>
      <c r="S881">
        <v>384.71708089199802</v>
      </c>
      <c r="T881">
        <v>4399239.82</v>
      </c>
      <c r="U881">
        <v>38.7577998650384</v>
      </c>
      <c r="V881">
        <v>215</v>
      </c>
      <c r="W881">
        <v>16.116941529235401</v>
      </c>
    </row>
    <row r="882" spans="1:23" hidden="1" x14ac:dyDescent="0.25">
      <c r="A882" t="s">
        <v>180</v>
      </c>
      <c r="B882">
        <v>11</v>
      </c>
      <c r="C882">
        <v>2025</v>
      </c>
      <c r="D882" t="s">
        <v>102</v>
      </c>
      <c r="E882" t="s">
        <v>103</v>
      </c>
      <c r="F882">
        <v>608</v>
      </c>
      <c r="G882">
        <v>233046.95</v>
      </c>
      <c r="H882">
        <v>3458</v>
      </c>
      <c r="I882">
        <v>5.8414135612689604</v>
      </c>
      <c r="J882">
        <v>1333738.01</v>
      </c>
      <c r="K882">
        <v>5.87519128065796</v>
      </c>
      <c r="L882">
        <v>2033</v>
      </c>
      <c r="M882">
        <v>6.8684752863272402</v>
      </c>
      <c r="N882">
        <v>385.338160354156</v>
      </c>
      <c r="O882">
        <v>783392.48</v>
      </c>
      <c r="P882">
        <v>6.9017762608850202</v>
      </c>
      <c r="Q882">
        <v>1425</v>
      </c>
      <c r="R882">
        <v>4.8143518362106796</v>
      </c>
      <c r="S882">
        <v>386.20738947368397</v>
      </c>
      <c r="T882">
        <v>550345.53</v>
      </c>
      <c r="U882">
        <v>4.8486063004308999</v>
      </c>
      <c r="V882">
        <v>95</v>
      </c>
      <c r="W882">
        <v>7.1214392803598203</v>
      </c>
    </row>
    <row r="883" spans="1:23" hidden="1" x14ac:dyDescent="0.25">
      <c r="A883" t="s">
        <v>180</v>
      </c>
      <c r="B883">
        <v>11</v>
      </c>
      <c r="C883">
        <v>2025</v>
      </c>
      <c r="D883" t="s">
        <v>104</v>
      </c>
      <c r="E883" t="s">
        <v>105</v>
      </c>
      <c r="F883">
        <v>787</v>
      </c>
      <c r="G883">
        <v>320332.76</v>
      </c>
      <c r="H883">
        <v>4265</v>
      </c>
      <c r="I883">
        <v>7.2046352917328296</v>
      </c>
      <c r="J883">
        <v>1623751.62</v>
      </c>
      <c r="K883">
        <v>7.1527176163917199</v>
      </c>
      <c r="L883">
        <v>2526</v>
      </c>
      <c r="M883">
        <v>8.5340720970303092</v>
      </c>
      <c r="N883">
        <v>384.814802058591</v>
      </c>
      <c r="O883">
        <v>972042.19</v>
      </c>
      <c r="P883">
        <v>8.5638015206894593</v>
      </c>
      <c r="Q883">
        <v>1739</v>
      </c>
      <c r="R883">
        <v>5.8751984864353499</v>
      </c>
      <c r="S883">
        <v>374.76102932719999</v>
      </c>
      <c r="T883">
        <v>651709.43000000005</v>
      </c>
      <c r="U883">
        <v>5.7416337120939804</v>
      </c>
      <c r="V883">
        <v>98</v>
      </c>
      <c r="W883">
        <v>7.34632683658171</v>
      </c>
    </row>
    <row r="884" spans="1:23" hidden="1" x14ac:dyDescent="0.25">
      <c r="A884" t="s">
        <v>180</v>
      </c>
      <c r="B884">
        <v>11</v>
      </c>
      <c r="C884">
        <v>2025</v>
      </c>
      <c r="D884" t="s">
        <v>106</v>
      </c>
      <c r="E884" t="s">
        <v>107</v>
      </c>
      <c r="F884">
        <v>19</v>
      </c>
      <c r="G884">
        <v>7428.71000000001</v>
      </c>
      <c r="H884">
        <v>177</v>
      </c>
      <c r="I884">
        <v>0.29899658772255799</v>
      </c>
      <c r="J884">
        <v>67404.33</v>
      </c>
      <c r="K884">
        <v>0.29691988151000598</v>
      </c>
      <c r="L884">
        <v>98</v>
      </c>
      <c r="M884">
        <v>0.33109226663062902</v>
      </c>
      <c r="N884">
        <v>381.80122448979603</v>
      </c>
      <c r="O884">
        <v>37416.519999999997</v>
      </c>
      <c r="P884">
        <v>0.32964376872870899</v>
      </c>
      <c r="Q884">
        <v>79</v>
      </c>
      <c r="R884">
        <v>0.26690090881448703</v>
      </c>
      <c r="S884">
        <v>379.59253164556998</v>
      </c>
      <c r="T884">
        <v>29987.81</v>
      </c>
      <c r="U884">
        <v>0.26419599429130403</v>
      </c>
      <c r="V884">
        <v>9</v>
      </c>
      <c r="W884">
        <v>0.67466266866566704</v>
      </c>
    </row>
    <row r="885" spans="1:23" hidden="1" x14ac:dyDescent="0.25">
      <c r="A885" t="s">
        <v>180</v>
      </c>
      <c r="B885">
        <v>11</v>
      </c>
      <c r="C885">
        <v>2025</v>
      </c>
      <c r="D885" t="s">
        <v>110</v>
      </c>
      <c r="E885" t="s">
        <v>111</v>
      </c>
      <c r="F885">
        <v>-33</v>
      </c>
      <c r="G885">
        <v>-12419.11</v>
      </c>
      <c r="H885">
        <v>129</v>
      </c>
      <c r="I885">
        <v>0.21791276732322001</v>
      </c>
      <c r="J885">
        <v>49180.41</v>
      </c>
      <c r="K885">
        <v>0.21664248438955699</v>
      </c>
      <c r="L885">
        <v>48</v>
      </c>
      <c r="M885">
        <v>0.16216764079867599</v>
      </c>
      <c r="N885">
        <v>382.93020833333298</v>
      </c>
      <c r="O885">
        <v>18380.650000000001</v>
      </c>
      <c r="P885">
        <v>0.161935603249135</v>
      </c>
      <c r="Q885">
        <v>81</v>
      </c>
      <c r="R885">
        <v>0.27365789384776501</v>
      </c>
      <c r="S885">
        <v>380.24395061728399</v>
      </c>
      <c r="T885">
        <v>30799.759999999998</v>
      </c>
      <c r="U885">
        <v>0.27134936552997801</v>
      </c>
      <c r="V885">
        <v>13</v>
      </c>
      <c r="W885">
        <v>0.97451274362818596</v>
      </c>
    </row>
    <row r="886" spans="1:23" hidden="1" x14ac:dyDescent="0.25">
      <c r="A886" t="s">
        <v>180</v>
      </c>
      <c r="B886">
        <v>11</v>
      </c>
      <c r="C886">
        <v>2025</v>
      </c>
      <c r="D886" t="s">
        <v>116</v>
      </c>
      <c r="E886" t="s">
        <v>117</v>
      </c>
      <c r="F886">
        <v>889</v>
      </c>
      <c r="G886">
        <v>339881.92</v>
      </c>
      <c r="H886">
        <v>947</v>
      </c>
      <c r="I886">
        <v>1.5997162066285999</v>
      </c>
      <c r="J886">
        <v>362309.44</v>
      </c>
      <c r="K886">
        <v>1.5959935510783501</v>
      </c>
      <c r="L886">
        <v>918</v>
      </c>
      <c r="M886">
        <v>3.1014561302746699</v>
      </c>
      <c r="N886">
        <v>382.45716775599101</v>
      </c>
      <c r="O886">
        <v>351095.68</v>
      </c>
      <c r="P886">
        <v>3.09319260956307</v>
      </c>
      <c r="Q886">
        <v>29</v>
      </c>
      <c r="R886">
        <v>9.7976282982533205E-2</v>
      </c>
      <c r="S886">
        <v>386.68137931034499</v>
      </c>
      <c r="T886">
        <v>11213.76</v>
      </c>
      <c r="U886">
        <v>9.8794492593625605E-2</v>
      </c>
      <c r="V886">
        <v>20</v>
      </c>
      <c r="W886">
        <v>1.49925037481259</v>
      </c>
    </row>
    <row r="887" spans="1:23" hidden="1" x14ac:dyDescent="0.25">
      <c r="A887" t="s">
        <v>180</v>
      </c>
      <c r="B887">
        <v>11</v>
      </c>
      <c r="C887">
        <v>2025</v>
      </c>
      <c r="D887" t="s">
        <v>118</v>
      </c>
      <c r="E887" t="s">
        <v>119</v>
      </c>
      <c r="F887">
        <v>159</v>
      </c>
      <c r="G887">
        <v>58453.97</v>
      </c>
      <c r="H887">
        <v>557</v>
      </c>
      <c r="I887">
        <v>0.94091016588398302</v>
      </c>
      <c r="J887">
        <v>209910.93</v>
      </c>
      <c r="K887">
        <v>0.92466950510828105</v>
      </c>
      <c r="L887">
        <v>358</v>
      </c>
      <c r="M887">
        <v>1.2095003209567901</v>
      </c>
      <c r="N887">
        <v>374.81131284916199</v>
      </c>
      <c r="O887">
        <v>134182.45000000001</v>
      </c>
      <c r="P887">
        <v>1.1821625451872999</v>
      </c>
      <c r="Q887">
        <v>199</v>
      </c>
      <c r="R887">
        <v>0.67232001081117598</v>
      </c>
      <c r="S887">
        <v>380.54512562814102</v>
      </c>
      <c r="T887">
        <v>75728.479999999996</v>
      </c>
      <c r="U887">
        <v>0.66717646502926098</v>
      </c>
      <c r="V887">
        <v>15</v>
      </c>
      <c r="W887">
        <v>1.1244377811094499</v>
      </c>
    </row>
    <row r="888" spans="1:23" hidden="1" x14ac:dyDescent="0.25">
      <c r="A888" t="s">
        <v>180</v>
      </c>
      <c r="B888">
        <v>11</v>
      </c>
      <c r="C888">
        <v>2025</v>
      </c>
      <c r="D888" t="s">
        <v>120</v>
      </c>
      <c r="E888" t="s">
        <v>121</v>
      </c>
      <c r="F888">
        <v>54</v>
      </c>
      <c r="G888">
        <v>20832.8</v>
      </c>
      <c r="H888">
        <v>148</v>
      </c>
      <c r="I888">
        <v>0.25000844623129198</v>
      </c>
      <c r="J888">
        <v>56739.86</v>
      </c>
      <c r="K888">
        <v>0.24994228869412899</v>
      </c>
      <c r="L888">
        <v>101</v>
      </c>
      <c r="M888">
        <v>0.34122774418054702</v>
      </c>
      <c r="N888">
        <v>384.02306930693101</v>
      </c>
      <c r="O888">
        <v>38786.33</v>
      </c>
      <c r="P888">
        <v>0.34171194959754098</v>
      </c>
      <c r="Q888">
        <v>47</v>
      </c>
      <c r="R888">
        <v>0.158789148282037</v>
      </c>
      <c r="S888">
        <v>381.99</v>
      </c>
      <c r="T888">
        <v>17953.53</v>
      </c>
      <c r="U888">
        <v>0.158172627790717</v>
      </c>
      <c r="V888">
        <v>3</v>
      </c>
      <c r="W888">
        <v>0.224887556221889</v>
      </c>
    </row>
    <row r="889" spans="1:23" hidden="1" x14ac:dyDescent="0.25">
      <c r="A889" t="s">
        <v>180</v>
      </c>
      <c r="B889">
        <v>11</v>
      </c>
      <c r="C889">
        <v>2025</v>
      </c>
      <c r="D889" t="s">
        <v>122</v>
      </c>
      <c r="E889" t="s">
        <v>123</v>
      </c>
      <c r="F889">
        <v>-3940</v>
      </c>
      <c r="G889">
        <v>-1539641.24</v>
      </c>
      <c r="H889">
        <v>14746</v>
      </c>
      <c r="I889">
        <v>24.909625325179899</v>
      </c>
      <c r="J889">
        <v>5647714.9000000004</v>
      </c>
      <c r="K889">
        <v>24.878503189784698</v>
      </c>
      <c r="L889">
        <v>5403</v>
      </c>
      <c r="M889">
        <v>18.253995067400901</v>
      </c>
      <c r="N889">
        <v>380.16598741439901</v>
      </c>
      <c r="O889">
        <v>2054036.83</v>
      </c>
      <c r="P889">
        <v>18.096296548924698</v>
      </c>
      <c r="Q889">
        <v>9343</v>
      </c>
      <c r="R889">
        <v>31.565255582958901</v>
      </c>
      <c r="S889">
        <v>384.63856041956501</v>
      </c>
      <c r="T889">
        <v>3593678.07</v>
      </c>
      <c r="U889">
        <v>31.660709830644699</v>
      </c>
      <c r="V889">
        <v>344</v>
      </c>
      <c r="W889">
        <v>25.787106446776601</v>
      </c>
    </row>
    <row r="890" spans="1:23" hidden="1" x14ac:dyDescent="0.25">
      <c r="A890" t="s">
        <v>180</v>
      </c>
      <c r="B890">
        <v>11</v>
      </c>
      <c r="C890">
        <v>2025</v>
      </c>
      <c r="D890" t="s">
        <v>126</v>
      </c>
      <c r="E890" t="s">
        <v>127</v>
      </c>
      <c r="F890">
        <v>188</v>
      </c>
      <c r="G890">
        <v>72446.63</v>
      </c>
      <c r="H890">
        <v>254</v>
      </c>
      <c r="I890">
        <v>0.42906854961316299</v>
      </c>
      <c r="J890">
        <v>98184.23</v>
      </c>
      <c r="K890">
        <v>0.43250707985304798</v>
      </c>
      <c r="L890">
        <v>221</v>
      </c>
      <c r="M890">
        <v>0.74664684617723598</v>
      </c>
      <c r="N890">
        <v>386.042669683258</v>
      </c>
      <c r="O890">
        <v>85315.43</v>
      </c>
      <c r="P890">
        <v>0.75163857771675002</v>
      </c>
      <c r="Q890">
        <v>33</v>
      </c>
      <c r="R890">
        <v>0.11149025304908899</v>
      </c>
      <c r="S890">
        <v>389.963636363636</v>
      </c>
      <c r="T890">
        <v>12868.8</v>
      </c>
      <c r="U890">
        <v>0.113375581989346</v>
      </c>
      <c r="V890">
        <v>9</v>
      </c>
      <c r="W890">
        <v>0.67466266866566704</v>
      </c>
    </row>
    <row r="891" spans="1:23" hidden="1" x14ac:dyDescent="0.25">
      <c r="A891" t="s">
        <v>180</v>
      </c>
      <c r="B891">
        <v>11</v>
      </c>
      <c r="C891">
        <v>2025</v>
      </c>
      <c r="D891" t="s">
        <v>130</v>
      </c>
      <c r="E891" t="s">
        <v>131</v>
      </c>
      <c r="F891">
        <v>202</v>
      </c>
      <c r="G891">
        <v>78901.95</v>
      </c>
      <c r="H891">
        <v>234</v>
      </c>
      <c r="I891">
        <v>0.39528362444677201</v>
      </c>
      <c r="J891">
        <v>91430.27</v>
      </c>
      <c r="K891">
        <v>0.40275550450286901</v>
      </c>
      <c r="L891">
        <v>218</v>
      </c>
      <c r="M891">
        <v>0.73651136862731803</v>
      </c>
      <c r="N891">
        <v>390.67022935779801</v>
      </c>
      <c r="O891">
        <v>85166.11</v>
      </c>
      <c r="P891">
        <v>0.75032305164573798</v>
      </c>
      <c r="Q891">
        <v>16</v>
      </c>
      <c r="R891">
        <v>5.4055880266225202E-2</v>
      </c>
      <c r="S891">
        <v>391.51</v>
      </c>
      <c r="T891">
        <v>6264.16</v>
      </c>
      <c r="U891">
        <v>5.5187957360001101E-2</v>
      </c>
      <c r="V891">
        <v>17</v>
      </c>
      <c r="W891">
        <v>1.2743628185907001</v>
      </c>
    </row>
    <row r="892" spans="1:23" hidden="1" x14ac:dyDescent="0.25">
      <c r="A892" t="s">
        <v>180</v>
      </c>
      <c r="B892">
        <v>11</v>
      </c>
      <c r="C892">
        <v>2025</v>
      </c>
      <c r="D892" t="s">
        <v>132</v>
      </c>
      <c r="E892" t="s">
        <v>133</v>
      </c>
      <c r="F892">
        <v>60</v>
      </c>
      <c r="G892">
        <v>23503.919999999998</v>
      </c>
      <c r="H892">
        <v>144</v>
      </c>
      <c r="I892">
        <v>0.243251461198013</v>
      </c>
      <c r="J892">
        <v>55216.66</v>
      </c>
      <c r="K892">
        <v>0.243232506644281</v>
      </c>
      <c r="L892">
        <v>102</v>
      </c>
      <c r="M892">
        <v>0.34460623669718599</v>
      </c>
      <c r="N892">
        <v>385.88519607843102</v>
      </c>
      <c r="O892">
        <v>39360.29</v>
      </c>
      <c r="P892">
        <v>0.34676860204676702</v>
      </c>
      <c r="Q892">
        <v>42</v>
      </c>
      <c r="R892">
        <v>0.14189668569884101</v>
      </c>
      <c r="S892">
        <v>377.53261904761899</v>
      </c>
      <c r="T892">
        <v>15856.37</v>
      </c>
      <c r="U892">
        <v>0.13969641124179499</v>
      </c>
      <c r="V892">
        <v>8</v>
      </c>
      <c r="W892">
        <v>0.59970014992503795</v>
      </c>
    </row>
    <row r="893" spans="1:23" hidden="1" x14ac:dyDescent="0.25">
      <c r="A893" t="s">
        <v>180</v>
      </c>
      <c r="B893">
        <v>11</v>
      </c>
      <c r="C893">
        <v>2025</v>
      </c>
      <c r="D893" t="s">
        <v>134</v>
      </c>
      <c r="E893" t="s">
        <v>135</v>
      </c>
      <c r="F893">
        <v>26</v>
      </c>
      <c r="G893">
        <v>9826.7000000000007</v>
      </c>
      <c r="H893">
        <v>26</v>
      </c>
      <c r="I893">
        <v>4.3920402716308003E-2</v>
      </c>
      <c r="J893">
        <v>9826.7000000000007</v>
      </c>
      <c r="K893">
        <v>4.32871686378958E-2</v>
      </c>
      <c r="L893">
        <v>26</v>
      </c>
      <c r="M893">
        <v>8.7840805432616006E-2</v>
      </c>
      <c r="N893">
        <v>377.95</v>
      </c>
      <c r="O893">
        <v>9826.7000000000007</v>
      </c>
      <c r="P893">
        <v>8.6574337275791599E-2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1</v>
      </c>
      <c r="W893">
        <v>7.4962518740629702E-2</v>
      </c>
    </row>
    <row r="894" spans="1:23" hidden="1" x14ac:dyDescent="0.25">
      <c r="A894" t="s">
        <v>180</v>
      </c>
      <c r="B894">
        <v>11</v>
      </c>
      <c r="C894">
        <v>2025</v>
      </c>
      <c r="D894" t="s">
        <v>136</v>
      </c>
      <c r="E894" t="s">
        <v>137</v>
      </c>
      <c r="F894">
        <v>-238</v>
      </c>
      <c r="G894">
        <v>-93534.17</v>
      </c>
      <c r="H894">
        <v>558</v>
      </c>
      <c r="I894">
        <v>0.94259941214230203</v>
      </c>
      <c r="J894">
        <v>215915.87</v>
      </c>
      <c r="K894">
        <v>0.95112160504421495</v>
      </c>
      <c r="L894">
        <v>160</v>
      </c>
      <c r="M894">
        <v>0.54055880266225198</v>
      </c>
      <c r="N894">
        <v>382.4428125</v>
      </c>
      <c r="O894">
        <v>61190.85</v>
      </c>
      <c r="P894">
        <v>0.53909830218612298</v>
      </c>
      <c r="Q894">
        <v>398</v>
      </c>
      <c r="R894">
        <v>1.34464002162235</v>
      </c>
      <c r="S894">
        <v>388.756331658291</v>
      </c>
      <c r="T894">
        <v>154725.01999999999</v>
      </c>
      <c r="U894">
        <v>1.3631449079023099</v>
      </c>
      <c r="V894">
        <v>18</v>
      </c>
      <c r="W894">
        <v>1.3493253373313301</v>
      </c>
    </row>
    <row r="895" spans="1:23" hidden="1" x14ac:dyDescent="0.25">
      <c r="A895" t="s">
        <v>180</v>
      </c>
      <c r="B895">
        <v>11</v>
      </c>
      <c r="C895">
        <v>2025</v>
      </c>
      <c r="D895" t="s">
        <v>142</v>
      </c>
      <c r="E895" t="s">
        <v>143</v>
      </c>
      <c r="F895">
        <v>7060</v>
      </c>
      <c r="G895">
        <v>2732409.17</v>
      </c>
      <c r="H895">
        <v>7854</v>
      </c>
      <c r="I895">
        <v>13.2673401128416</v>
      </c>
      <c r="J895">
        <v>3036783.51</v>
      </c>
      <c r="K895">
        <v>13.3772029179838</v>
      </c>
      <c r="L895">
        <v>7457</v>
      </c>
      <c r="M895">
        <v>25.193418696577599</v>
      </c>
      <c r="N895">
        <v>386.83067453399502</v>
      </c>
      <c r="O895">
        <v>2884596.34</v>
      </c>
      <c r="P895">
        <v>25.413619673305799</v>
      </c>
      <c r="Q895">
        <v>397</v>
      </c>
      <c r="R895">
        <v>1.3412615291057099</v>
      </c>
      <c r="S895">
        <v>383.342997481108</v>
      </c>
      <c r="T895">
        <v>152187.17000000001</v>
      </c>
      <c r="U895">
        <v>1.3407861626617501</v>
      </c>
      <c r="V895">
        <v>149</v>
      </c>
      <c r="W895">
        <v>11.169415292353801</v>
      </c>
    </row>
    <row r="896" spans="1:23" hidden="1" x14ac:dyDescent="0.25">
      <c r="A896" t="s">
        <v>180</v>
      </c>
      <c r="B896">
        <v>11</v>
      </c>
      <c r="C896">
        <v>2025</v>
      </c>
      <c r="D896" t="s">
        <v>165</v>
      </c>
      <c r="E896" t="s">
        <v>166</v>
      </c>
      <c r="F896">
        <v>-130</v>
      </c>
      <c r="G896">
        <v>-48363.9</v>
      </c>
      <c r="H896">
        <v>130</v>
      </c>
      <c r="I896">
        <v>0.21960201358154</v>
      </c>
      <c r="J896">
        <v>48363.9</v>
      </c>
      <c r="K896">
        <v>0.213045711712613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130</v>
      </c>
      <c r="R896">
        <v>0.43920402716307999</v>
      </c>
      <c r="S896">
        <v>372.03</v>
      </c>
      <c r="T896">
        <v>48363.9</v>
      </c>
      <c r="U896">
        <v>0.42609142342522499</v>
      </c>
      <c r="V896">
        <v>1</v>
      </c>
      <c r="W896">
        <v>7.4962518740629702E-2</v>
      </c>
    </row>
    <row r="897" spans="1:23" hidden="1" x14ac:dyDescent="0.25">
      <c r="A897" t="s">
        <v>180</v>
      </c>
      <c r="B897">
        <v>11</v>
      </c>
      <c r="C897">
        <v>2025</v>
      </c>
      <c r="D897" t="s">
        <v>146</v>
      </c>
      <c r="E897" t="s">
        <v>147</v>
      </c>
      <c r="F897">
        <v>235</v>
      </c>
      <c r="G897">
        <v>91457.600000000006</v>
      </c>
      <c r="H897">
        <v>529</v>
      </c>
      <c r="I897">
        <v>0.89361127065103596</v>
      </c>
      <c r="J897">
        <v>203754.54</v>
      </c>
      <c r="K897">
        <v>0.89755025936651101</v>
      </c>
      <c r="L897">
        <v>382</v>
      </c>
      <c r="M897">
        <v>1.2905841413561301</v>
      </c>
      <c r="N897">
        <v>386.40332460732998</v>
      </c>
      <c r="O897">
        <v>147606.07</v>
      </c>
      <c r="P897">
        <v>1.30042615406333</v>
      </c>
      <c r="Q897">
        <v>147</v>
      </c>
      <c r="R897">
        <v>0.496638399945944</v>
      </c>
      <c r="S897">
        <v>381.96238095238101</v>
      </c>
      <c r="T897">
        <v>56148.47</v>
      </c>
      <c r="U897">
        <v>0.494674364669693</v>
      </c>
      <c r="V897">
        <v>20</v>
      </c>
      <c r="W897">
        <v>1.49925037481259</v>
      </c>
    </row>
    <row r="898" spans="1:23" x14ac:dyDescent="0.25">
      <c r="A898" t="s">
        <v>180</v>
      </c>
      <c r="B898">
        <v>11</v>
      </c>
      <c r="C898">
        <v>2025</v>
      </c>
      <c r="D898" t="s">
        <v>148</v>
      </c>
      <c r="E898" t="s">
        <v>148</v>
      </c>
      <c r="F898">
        <v>0</v>
      </c>
      <c r="G898" s="4">
        <v>-6.9849193096160899E-10</v>
      </c>
      <c r="H898">
        <v>59198</v>
      </c>
      <c r="I898">
        <v>0</v>
      </c>
      <c r="J898">
        <v>22701184.460000001</v>
      </c>
      <c r="K898">
        <v>0</v>
      </c>
      <c r="L898">
        <v>29599</v>
      </c>
      <c r="M898">
        <v>100</v>
      </c>
      <c r="N898">
        <v>382.693688044662</v>
      </c>
      <c r="O898">
        <v>11350592.23</v>
      </c>
      <c r="P898">
        <v>100</v>
      </c>
      <c r="Q898">
        <v>29599</v>
      </c>
      <c r="R898">
        <v>100</v>
      </c>
      <c r="S898">
        <v>381.97619047619003</v>
      </c>
      <c r="T898">
        <v>11350592.23</v>
      </c>
      <c r="U898">
        <v>100</v>
      </c>
      <c r="V898">
        <v>1334</v>
      </c>
      <c r="W898">
        <v>100</v>
      </c>
    </row>
    <row r="899" spans="1:23" hidden="1" x14ac:dyDescent="0.25">
      <c r="A899" t="s">
        <v>180</v>
      </c>
      <c r="B899">
        <v>11</v>
      </c>
      <c r="C899">
        <v>2025</v>
      </c>
      <c r="D899" t="s">
        <v>149</v>
      </c>
      <c r="E899" t="s">
        <v>150</v>
      </c>
      <c r="F899">
        <v>3296</v>
      </c>
      <c r="G899">
        <v>1272919.6100000001</v>
      </c>
      <c r="H899">
        <v>5766</v>
      </c>
      <c r="I899">
        <v>9.7401939254704608</v>
      </c>
      <c r="J899">
        <v>2212607.17</v>
      </c>
      <c r="K899">
        <v>9.7466595802464102</v>
      </c>
      <c r="L899">
        <v>4531</v>
      </c>
      <c r="M899">
        <v>15.307949592891701</v>
      </c>
      <c r="N899">
        <v>384.631072610903</v>
      </c>
      <c r="O899">
        <v>1742763.39</v>
      </c>
      <c r="P899">
        <v>15.3539423731021</v>
      </c>
      <c r="Q899">
        <v>1235</v>
      </c>
      <c r="R899">
        <v>4.1724382580492598</v>
      </c>
      <c r="S899">
        <v>380.44030769230801</v>
      </c>
      <c r="T899">
        <v>469843.78</v>
      </c>
      <c r="U899">
        <v>4.1393767873907699</v>
      </c>
      <c r="V899">
        <v>123</v>
      </c>
      <c r="W899">
        <v>9.2203898050974509</v>
      </c>
    </row>
    <row r="900" spans="1:23" hidden="1" x14ac:dyDescent="0.25">
      <c r="A900" t="s">
        <v>180</v>
      </c>
      <c r="B900">
        <v>11</v>
      </c>
      <c r="C900">
        <v>2025</v>
      </c>
      <c r="D900" t="s">
        <v>153</v>
      </c>
      <c r="E900" t="s">
        <v>154</v>
      </c>
      <c r="F900">
        <v>34</v>
      </c>
      <c r="G900">
        <v>13165.61</v>
      </c>
      <c r="H900">
        <v>42</v>
      </c>
      <c r="I900">
        <v>7.0948342849420601E-2</v>
      </c>
      <c r="J900">
        <v>16262.21</v>
      </c>
      <c r="K900">
        <v>7.1635953747939393E-2</v>
      </c>
      <c r="L900">
        <v>38</v>
      </c>
      <c r="M900">
        <v>0.12838271563228501</v>
      </c>
      <c r="N900">
        <v>387.20815789473698</v>
      </c>
      <c r="O900">
        <v>14713.91</v>
      </c>
      <c r="P900">
        <v>0.12963120956024299</v>
      </c>
      <c r="Q900">
        <v>4</v>
      </c>
      <c r="R900">
        <v>1.3513970066556301E-2</v>
      </c>
      <c r="S900">
        <v>387.07499999999999</v>
      </c>
      <c r="T900">
        <v>1548.3</v>
      </c>
      <c r="U900">
        <v>1.3640697935635399E-2</v>
      </c>
      <c r="V900">
        <v>16</v>
      </c>
      <c r="W900">
        <v>1.1994002998500799</v>
      </c>
    </row>
    <row r="901" spans="1:23" hidden="1" x14ac:dyDescent="0.25">
      <c r="A901" t="s">
        <v>180</v>
      </c>
      <c r="B901">
        <v>12</v>
      </c>
      <c r="C901">
        <v>2025</v>
      </c>
      <c r="D901" t="s">
        <v>88</v>
      </c>
      <c r="E901" t="s">
        <v>89</v>
      </c>
      <c r="F901">
        <v>823</v>
      </c>
      <c r="G901">
        <v>361256.69</v>
      </c>
      <c r="H901">
        <v>1839</v>
      </c>
      <c r="I901">
        <v>3.19770474700052</v>
      </c>
      <c r="J901">
        <v>810610.19</v>
      </c>
      <c r="K901">
        <v>3.2901112530112799</v>
      </c>
      <c r="L901">
        <v>1331</v>
      </c>
      <c r="M901">
        <v>4.6287602156146797</v>
      </c>
      <c r="N901">
        <v>440.22046581517702</v>
      </c>
      <c r="O901">
        <v>585933.43999999994</v>
      </c>
      <c r="P901">
        <v>4.7563828539081401</v>
      </c>
      <c r="Q901">
        <v>508</v>
      </c>
      <c r="R901">
        <v>1.7666492783863701</v>
      </c>
      <c r="S901">
        <v>442.27706692913398</v>
      </c>
      <c r="T901">
        <v>224676.75</v>
      </c>
      <c r="U901">
        <v>1.82383965211442</v>
      </c>
      <c r="V901">
        <v>71</v>
      </c>
      <c r="W901">
        <v>2.8241845664279999</v>
      </c>
    </row>
    <row r="902" spans="1:23" hidden="1" x14ac:dyDescent="0.25">
      <c r="A902" t="s">
        <v>180</v>
      </c>
      <c r="B902">
        <v>12</v>
      </c>
      <c r="C902">
        <v>2025</v>
      </c>
      <c r="D902" t="s">
        <v>90</v>
      </c>
      <c r="E902" t="s">
        <v>91</v>
      </c>
      <c r="F902">
        <v>1163</v>
      </c>
      <c r="G902">
        <v>504968.16</v>
      </c>
      <c r="H902">
        <v>2213</v>
      </c>
      <c r="I902">
        <v>3.8480264301860498</v>
      </c>
      <c r="J902">
        <v>953383.28</v>
      </c>
      <c r="K902">
        <v>3.8695998356013801</v>
      </c>
      <c r="L902">
        <v>1688</v>
      </c>
      <c r="M902">
        <v>5.8702834289688699</v>
      </c>
      <c r="N902">
        <v>431.97613744075801</v>
      </c>
      <c r="O902">
        <v>729175.72</v>
      </c>
      <c r="P902">
        <v>5.9191687234886698</v>
      </c>
      <c r="Q902">
        <v>525</v>
      </c>
      <c r="R902">
        <v>1.82576943140323</v>
      </c>
      <c r="S902">
        <v>427.062019047619</v>
      </c>
      <c r="T902">
        <v>224207.56</v>
      </c>
      <c r="U902">
        <v>1.8200309477140999</v>
      </c>
      <c r="V902">
        <v>204</v>
      </c>
      <c r="W902">
        <v>8.1145584725536999</v>
      </c>
    </row>
    <row r="903" spans="1:23" hidden="1" x14ac:dyDescent="0.25">
      <c r="A903" t="s">
        <v>180</v>
      </c>
      <c r="B903">
        <v>12</v>
      </c>
      <c r="C903">
        <v>2025</v>
      </c>
      <c r="D903" t="s">
        <v>92</v>
      </c>
      <c r="E903" t="s">
        <v>93</v>
      </c>
      <c r="F903">
        <v>34</v>
      </c>
      <c r="G903">
        <v>13961.23</v>
      </c>
      <c r="H903">
        <v>34</v>
      </c>
      <c r="I903">
        <v>5.91201530168666E-2</v>
      </c>
      <c r="J903">
        <v>13961.23</v>
      </c>
      <c r="K903">
        <v>5.6665954234893998E-2</v>
      </c>
      <c r="L903">
        <v>34</v>
      </c>
      <c r="M903">
        <v>0.11824030603373301</v>
      </c>
      <c r="N903">
        <v>410.624411764706</v>
      </c>
      <c r="O903">
        <v>13961.23</v>
      </c>
      <c r="P903">
        <v>0.113331908469788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3</v>
      </c>
      <c r="W903">
        <v>0.119331742243437</v>
      </c>
    </row>
    <row r="904" spans="1:23" hidden="1" x14ac:dyDescent="0.25">
      <c r="A904" t="s">
        <v>180</v>
      </c>
      <c r="B904">
        <v>12</v>
      </c>
      <c r="C904">
        <v>2025</v>
      </c>
      <c r="D904" t="s">
        <v>94</v>
      </c>
      <c r="E904" t="s">
        <v>95</v>
      </c>
      <c r="F904">
        <v>-13037</v>
      </c>
      <c r="G904">
        <v>-5680032.8899999997</v>
      </c>
      <c r="H904">
        <v>15311</v>
      </c>
      <c r="I904">
        <v>26.623195965918999</v>
      </c>
      <c r="J904">
        <v>6618848.2300000004</v>
      </c>
      <c r="K904">
        <v>26.8646351996844</v>
      </c>
      <c r="L904">
        <v>1137</v>
      </c>
      <c r="M904">
        <v>3.9540949400104299</v>
      </c>
      <c r="N904">
        <v>412.84755496921701</v>
      </c>
      <c r="O904">
        <v>469407.67</v>
      </c>
      <c r="P904">
        <v>3.8104713618682902</v>
      </c>
      <c r="Q904">
        <v>14174</v>
      </c>
      <c r="R904">
        <v>49.292296991827499</v>
      </c>
      <c r="S904">
        <v>433.85357414985202</v>
      </c>
      <c r="T904">
        <v>6149440.5599999996</v>
      </c>
      <c r="U904">
        <v>49.918799037500399</v>
      </c>
      <c r="V904">
        <v>542</v>
      </c>
      <c r="W904">
        <v>21.5592680986476</v>
      </c>
    </row>
    <row r="905" spans="1:23" hidden="1" x14ac:dyDescent="0.25">
      <c r="A905" t="s">
        <v>180</v>
      </c>
      <c r="B905">
        <v>12</v>
      </c>
      <c r="C905">
        <v>2025</v>
      </c>
      <c r="D905" t="s">
        <v>102</v>
      </c>
      <c r="E905" t="s">
        <v>103</v>
      </c>
      <c r="F905">
        <v>1528</v>
      </c>
      <c r="G905">
        <v>682510.75</v>
      </c>
      <c r="H905">
        <v>5520</v>
      </c>
      <c r="I905">
        <v>9.5983307250912908</v>
      </c>
      <c r="J905">
        <v>2393749.61</v>
      </c>
      <c r="K905">
        <v>9.7157704478799793</v>
      </c>
      <c r="L905">
        <v>3524</v>
      </c>
      <c r="M905">
        <v>12.2552599547905</v>
      </c>
      <c r="N905">
        <v>436.47280930760502</v>
      </c>
      <c r="O905">
        <v>1538130.18</v>
      </c>
      <c r="P905">
        <v>12.4859506486447</v>
      </c>
      <c r="Q905">
        <v>1996</v>
      </c>
      <c r="R905">
        <v>6.9414014953921104</v>
      </c>
      <c r="S905">
        <v>428.667049098196</v>
      </c>
      <c r="T905">
        <v>855619.43</v>
      </c>
      <c r="U905">
        <v>6.9455902471151996</v>
      </c>
      <c r="V905">
        <v>256</v>
      </c>
      <c r="W905">
        <v>10.182975338106599</v>
      </c>
    </row>
    <row r="906" spans="1:23" hidden="1" x14ac:dyDescent="0.25">
      <c r="A906" t="s">
        <v>180</v>
      </c>
      <c r="B906">
        <v>12</v>
      </c>
      <c r="C906">
        <v>2025</v>
      </c>
      <c r="D906" t="s">
        <v>104</v>
      </c>
      <c r="E906" t="s">
        <v>105</v>
      </c>
      <c r="F906">
        <v>1926</v>
      </c>
      <c r="G906">
        <v>826854.46</v>
      </c>
      <c r="H906">
        <v>4364</v>
      </c>
      <c r="I906">
        <v>7.5882455225178198</v>
      </c>
      <c r="J906">
        <v>1862828.9</v>
      </c>
      <c r="K906">
        <v>7.5608651383035701</v>
      </c>
      <c r="L906">
        <v>3145</v>
      </c>
      <c r="M906">
        <v>10.9372283081203</v>
      </c>
      <c r="N906">
        <v>427.612616852146</v>
      </c>
      <c r="O906">
        <v>1344841.68</v>
      </c>
      <c r="P906">
        <v>10.9169087669293</v>
      </c>
      <c r="Q906">
        <v>1219</v>
      </c>
      <c r="R906">
        <v>4.23926273691532</v>
      </c>
      <c r="S906">
        <v>424.92799015586502</v>
      </c>
      <c r="T906">
        <v>517987.22</v>
      </c>
      <c r="U906">
        <v>4.2048215096778696</v>
      </c>
      <c r="V906">
        <v>196</v>
      </c>
      <c r="W906">
        <v>7.7963404932378699</v>
      </c>
    </row>
    <row r="907" spans="1:23" hidden="1" x14ac:dyDescent="0.25">
      <c r="A907" t="s">
        <v>180</v>
      </c>
      <c r="B907">
        <v>12</v>
      </c>
      <c r="C907">
        <v>2025</v>
      </c>
      <c r="D907" t="s">
        <v>106</v>
      </c>
      <c r="E907" t="s">
        <v>107</v>
      </c>
      <c r="F907">
        <v>764</v>
      </c>
      <c r="G907">
        <v>328280.71000000002</v>
      </c>
      <c r="H907">
        <v>764</v>
      </c>
      <c r="I907">
        <v>1.32846461484959</v>
      </c>
      <c r="J907">
        <v>328280.71000000002</v>
      </c>
      <c r="K907">
        <v>1.3324284242189599</v>
      </c>
      <c r="L907">
        <v>764</v>
      </c>
      <c r="M907">
        <v>2.65692922969918</v>
      </c>
      <c r="N907">
        <v>429.68679319371699</v>
      </c>
      <c r="O907">
        <v>328280.71000000002</v>
      </c>
      <c r="P907">
        <v>2.6648568484379198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21</v>
      </c>
      <c r="W907">
        <v>0.83532219570405697</v>
      </c>
    </row>
    <row r="908" spans="1:23" hidden="1" x14ac:dyDescent="0.25">
      <c r="A908" t="s">
        <v>180</v>
      </c>
      <c r="B908">
        <v>12</v>
      </c>
      <c r="C908">
        <v>2025</v>
      </c>
      <c r="D908" t="s">
        <v>173</v>
      </c>
      <c r="E908" t="s">
        <v>174</v>
      </c>
      <c r="F908">
        <v>503</v>
      </c>
      <c r="G908">
        <v>203721.59</v>
      </c>
      <c r="H908">
        <v>503</v>
      </c>
      <c r="I908">
        <v>0.87463049904364498</v>
      </c>
      <c r="J908">
        <v>203721.59</v>
      </c>
      <c r="K908">
        <v>0.82686685167423202</v>
      </c>
      <c r="L908">
        <v>503</v>
      </c>
      <c r="M908">
        <v>1.74926099808729</v>
      </c>
      <c r="N908">
        <v>405.01310139165003</v>
      </c>
      <c r="O908">
        <v>203721.59</v>
      </c>
      <c r="P908">
        <v>1.65373370334846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23</v>
      </c>
      <c r="W908">
        <v>0.91487669053301501</v>
      </c>
    </row>
    <row r="909" spans="1:23" hidden="1" x14ac:dyDescent="0.25">
      <c r="A909" t="s">
        <v>180</v>
      </c>
      <c r="B909">
        <v>12</v>
      </c>
      <c r="C909">
        <v>2025</v>
      </c>
      <c r="D909" t="s">
        <v>110</v>
      </c>
      <c r="E909" t="s">
        <v>111</v>
      </c>
      <c r="F909">
        <v>248</v>
      </c>
      <c r="G909">
        <v>114939.92</v>
      </c>
      <c r="H909">
        <v>608</v>
      </c>
      <c r="I909">
        <v>1.0572074421839699</v>
      </c>
      <c r="J909">
        <v>264387.7</v>
      </c>
      <c r="K909">
        <v>1.0730989539223199</v>
      </c>
      <c r="L909">
        <v>428</v>
      </c>
      <c r="M909">
        <v>1.48843679360111</v>
      </c>
      <c r="N909">
        <v>443.13974299065399</v>
      </c>
      <c r="O909">
        <v>189663.81</v>
      </c>
      <c r="P909">
        <v>1.53961803902316</v>
      </c>
      <c r="Q909">
        <v>180</v>
      </c>
      <c r="R909">
        <v>0.62597809076682298</v>
      </c>
      <c r="S909">
        <v>415.13272222222201</v>
      </c>
      <c r="T909">
        <v>74723.89</v>
      </c>
      <c r="U909">
        <v>0.60657986882147896</v>
      </c>
      <c r="V909">
        <v>48</v>
      </c>
      <c r="W909">
        <v>1.90930787589499</v>
      </c>
    </row>
    <row r="910" spans="1:23" hidden="1" x14ac:dyDescent="0.25">
      <c r="A910" t="s">
        <v>180</v>
      </c>
      <c r="B910">
        <v>12</v>
      </c>
      <c r="C910">
        <v>2025</v>
      </c>
      <c r="D910" t="s">
        <v>112</v>
      </c>
      <c r="E910" t="s">
        <v>113</v>
      </c>
      <c r="F910">
        <v>320</v>
      </c>
      <c r="G910">
        <v>142089.69</v>
      </c>
      <c r="H910">
        <v>320</v>
      </c>
      <c r="I910">
        <v>0.55642496957050902</v>
      </c>
      <c r="J910">
        <v>142089.69</v>
      </c>
      <c r="K910">
        <v>0.57671479309418106</v>
      </c>
      <c r="L910">
        <v>320</v>
      </c>
      <c r="M910">
        <v>1.11284993914102</v>
      </c>
      <c r="N910">
        <v>444.03028124999997</v>
      </c>
      <c r="O910">
        <v>142089.69</v>
      </c>
      <c r="P910">
        <v>1.1534295861883599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5</v>
      </c>
      <c r="W910">
        <v>0.198886237072395</v>
      </c>
    </row>
    <row r="911" spans="1:23" hidden="1" x14ac:dyDescent="0.25">
      <c r="A911" t="s">
        <v>180</v>
      </c>
      <c r="B911">
        <v>12</v>
      </c>
      <c r="C911">
        <v>2025</v>
      </c>
      <c r="D911" t="s">
        <v>116</v>
      </c>
      <c r="E911" t="s">
        <v>117</v>
      </c>
      <c r="F911">
        <v>2126</v>
      </c>
      <c r="G911">
        <v>923025.55</v>
      </c>
      <c r="H911">
        <v>2260</v>
      </c>
      <c r="I911">
        <v>3.9297513475917198</v>
      </c>
      <c r="J911">
        <v>977907.77</v>
      </c>
      <c r="K911">
        <v>3.96914003571084</v>
      </c>
      <c r="L911">
        <v>2193</v>
      </c>
      <c r="M911">
        <v>7.6264997391757996</v>
      </c>
      <c r="N911">
        <v>433.40932968536202</v>
      </c>
      <c r="O911">
        <v>950466.66</v>
      </c>
      <c r="P911">
        <v>7.7155236690968501</v>
      </c>
      <c r="Q911">
        <v>67</v>
      </c>
      <c r="R911">
        <v>0.233002956007651</v>
      </c>
      <c r="S911">
        <v>409.56880597014901</v>
      </c>
      <c r="T911">
        <v>27441.11</v>
      </c>
      <c r="U911">
        <v>0.22275640232482299</v>
      </c>
      <c r="V911">
        <v>59</v>
      </c>
      <c r="W911">
        <v>2.3468575974542598</v>
      </c>
    </row>
    <row r="912" spans="1:23" hidden="1" x14ac:dyDescent="0.25">
      <c r="A912" t="s">
        <v>180</v>
      </c>
      <c r="B912">
        <v>12</v>
      </c>
      <c r="C912">
        <v>2025</v>
      </c>
      <c r="D912" t="s">
        <v>118</v>
      </c>
      <c r="E912" t="s">
        <v>119</v>
      </c>
      <c r="F912">
        <v>-72</v>
      </c>
      <c r="G912">
        <v>-40282.14</v>
      </c>
      <c r="H912">
        <v>1504</v>
      </c>
      <c r="I912">
        <v>2.61519735698139</v>
      </c>
      <c r="J912">
        <v>638776.98</v>
      </c>
      <c r="K912">
        <v>2.5926732182611301</v>
      </c>
      <c r="L912">
        <v>716</v>
      </c>
      <c r="M912">
        <v>2.4900017388280302</v>
      </c>
      <c r="N912">
        <v>417.94332402234602</v>
      </c>
      <c r="O912">
        <v>299247.42</v>
      </c>
      <c r="P912">
        <v>2.4291757397636302</v>
      </c>
      <c r="Q912">
        <v>788</v>
      </c>
      <c r="R912">
        <v>2.74039297513476</v>
      </c>
      <c r="S912">
        <v>430.875076142132</v>
      </c>
      <c r="T912">
        <v>339529.56</v>
      </c>
      <c r="U912">
        <v>2.7561706967586201</v>
      </c>
      <c r="V912">
        <v>54</v>
      </c>
      <c r="W912">
        <v>2.14797136038186</v>
      </c>
    </row>
    <row r="913" spans="1:23" hidden="1" x14ac:dyDescent="0.25">
      <c r="A913" t="s">
        <v>180</v>
      </c>
      <c r="B913">
        <v>12</v>
      </c>
      <c r="C913">
        <v>2025</v>
      </c>
      <c r="D913" t="s">
        <v>120</v>
      </c>
      <c r="E913" t="s">
        <v>121</v>
      </c>
      <c r="F913">
        <v>6</v>
      </c>
      <c r="G913">
        <v>2355.86</v>
      </c>
      <c r="H913">
        <v>10</v>
      </c>
      <c r="I913">
        <v>1.73882802990784E-2</v>
      </c>
      <c r="J913">
        <v>4060.3</v>
      </c>
      <c r="K913">
        <v>1.6479978768342E-2</v>
      </c>
      <c r="L913">
        <v>8</v>
      </c>
      <c r="M913">
        <v>2.78212484785255E-2</v>
      </c>
      <c r="N913">
        <v>401.01</v>
      </c>
      <c r="O913">
        <v>3208.08</v>
      </c>
      <c r="P913">
        <v>2.6041962558009401E-2</v>
      </c>
      <c r="Q913">
        <v>2</v>
      </c>
      <c r="R913">
        <v>6.9553121196313699E-3</v>
      </c>
      <c r="S913">
        <v>426.11</v>
      </c>
      <c r="T913">
        <v>852.22</v>
      </c>
      <c r="U913">
        <v>6.9179949786747101E-3</v>
      </c>
      <c r="V913">
        <v>2</v>
      </c>
      <c r="W913">
        <v>7.9554494828957795E-2</v>
      </c>
    </row>
    <row r="914" spans="1:23" hidden="1" x14ac:dyDescent="0.25">
      <c r="A914" t="s">
        <v>180</v>
      </c>
      <c r="B914">
        <v>12</v>
      </c>
      <c r="C914">
        <v>2025</v>
      </c>
      <c r="D914" t="s">
        <v>122</v>
      </c>
      <c r="E914" t="s">
        <v>123</v>
      </c>
      <c r="F914">
        <v>-3444</v>
      </c>
      <c r="G914">
        <v>-1444820.75</v>
      </c>
      <c r="H914">
        <v>9020</v>
      </c>
      <c r="I914">
        <v>15.684228829768699</v>
      </c>
      <c r="J914">
        <v>3767468.83</v>
      </c>
      <c r="K914">
        <v>15.291433226311</v>
      </c>
      <c r="L914">
        <v>2788</v>
      </c>
      <c r="M914">
        <v>9.6957050947661294</v>
      </c>
      <c r="N914">
        <v>416.54377331420397</v>
      </c>
      <c r="O914">
        <v>1161324.04</v>
      </c>
      <c r="P914">
        <v>9.4271829777923806</v>
      </c>
      <c r="Q914">
        <v>6232</v>
      </c>
      <c r="R914">
        <v>21.672752564771301</v>
      </c>
      <c r="S914">
        <v>418.187546534018</v>
      </c>
      <c r="T914">
        <v>2606144.79</v>
      </c>
      <c r="U914">
        <v>21.155683474829601</v>
      </c>
      <c r="V914">
        <v>332</v>
      </c>
      <c r="W914">
        <v>13.206046141607001</v>
      </c>
    </row>
    <row r="915" spans="1:23" hidden="1" x14ac:dyDescent="0.25">
      <c r="A915" t="s">
        <v>180</v>
      </c>
      <c r="B915">
        <v>12</v>
      </c>
      <c r="C915">
        <v>2025</v>
      </c>
      <c r="D915" t="s">
        <v>126</v>
      </c>
      <c r="E915" t="s">
        <v>127</v>
      </c>
      <c r="F915">
        <v>-2</v>
      </c>
      <c r="G915">
        <v>-1095.74</v>
      </c>
      <c r="H915">
        <v>38</v>
      </c>
      <c r="I915">
        <v>6.6075465136497993E-2</v>
      </c>
      <c r="J915">
        <v>16706.66</v>
      </c>
      <c r="K915">
        <v>6.7809127919096907E-2</v>
      </c>
      <c r="L915">
        <v>18</v>
      </c>
      <c r="M915">
        <v>6.2597809076682304E-2</v>
      </c>
      <c r="N915">
        <v>433.636666666667</v>
      </c>
      <c r="O915">
        <v>7805.46</v>
      </c>
      <c r="P915">
        <v>6.3361729466858696E-2</v>
      </c>
      <c r="Q915">
        <v>20</v>
      </c>
      <c r="R915">
        <v>6.9553121196313697E-2</v>
      </c>
      <c r="S915">
        <v>445.06</v>
      </c>
      <c r="T915">
        <v>8901.2000000000007</v>
      </c>
      <c r="U915">
        <v>7.22565263713352E-2</v>
      </c>
      <c r="V915">
        <v>10</v>
      </c>
      <c r="W915">
        <v>0.397772474144789</v>
      </c>
    </row>
    <row r="916" spans="1:23" hidden="1" x14ac:dyDescent="0.25">
      <c r="A916" t="s">
        <v>180</v>
      </c>
      <c r="B916">
        <v>12</v>
      </c>
      <c r="C916">
        <v>2025</v>
      </c>
      <c r="D916" t="s">
        <v>175</v>
      </c>
      <c r="E916" t="s">
        <v>176</v>
      </c>
      <c r="F916">
        <v>20</v>
      </c>
      <c r="G916">
        <v>8076.91</v>
      </c>
      <c r="H916">
        <v>82</v>
      </c>
      <c r="I916">
        <v>0.14258389845244299</v>
      </c>
      <c r="J916">
        <v>33519.03</v>
      </c>
      <c r="K916">
        <v>0.136047312448691</v>
      </c>
      <c r="L916">
        <v>51</v>
      </c>
      <c r="M916">
        <v>0.17736045905059999</v>
      </c>
      <c r="N916">
        <v>407.803333333333</v>
      </c>
      <c r="O916">
        <v>20797.97</v>
      </c>
      <c r="P916">
        <v>0.16882994065690499</v>
      </c>
      <c r="Q916">
        <v>31</v>
      </c>
      <c r="R916">
        <v>0.10780733785428601</v>
      </c>
      <c r="S916">
        <v>410.35677419354801</v>
      </c>
      <c r="T916">
        <v>12721.06</v>
      </c>
      <c r="U916">
        <v>0.10326468424047699</v>
      </c>
      <c r="V916">
        <v>15</v>
      </c>
      <c r="W916">
        <v>0.59665871121718395</v>
      </c>
    </row>
    <row r="917" spans="1:23" hidden="1" x14ac:dyDescent="0.25">
      <c r="A917" t="s">
        <v>180</v>
      </c>
      <c r="B917">
        <v>12</v>
      </c>
      <c r="C917">
        <v>2025</v>
      </c>
      <c r="D917" t="s">
        <v>130</v>
      </c>
      <c r="E917" t="s">
        <v>131</v>
      </c>
      <c r="F917">
        <v>600</v>
      </c>
      <c r="G917">
        <v>269721.94</v>
      </c>
      <c r="H917">
        <v>792</v>
      </c>
      <c r="I917">
        <v>1.37715179968701</v>
      </c>
      <c r="J917">
        <v>350243.36</v>
      </c>
      <c r="K917">
        <v>1.4215706072341401</v>
      </c>
      <c r="L917">
        <v>696</v>
      </c>
      <c r="M917">
        <v>2.4204486176317199</v>
      </c>
      <c r="N917">
        <v>445.37737068965498</v>
      </c>
      <c r="O917">
        <v>309982.65000000002</v>
      </c>
      <c r="P917">
        <v>2.51632021799099</v>
      </c>
      <c r="Q917">
        <v>96</v>
      </c>
      <c r="R917">
        <v>0.33385498174230599</v>
      </c>
      <c r="S917">
        <v>419.38239583333302</v>
      </c>
      <c r="T917">
        <v>40260.71</v>
      </c>
      <c r="U917">
        <v>0.32682099647729301</v>
      </c>
      <c r="V917">
        <v>30</v>
      </c>
      <c r="W917">
        <v>1.1933174224343699</v>
      </c>
    </row>
    <row r="918" spans="1:23" hidden="1" x14ac:dyDescent="0.25">
      <c r="A918" t="s">
        <v>180</v>
      </c>
      <c r="B918">
        <v>12</v>
      </c>
      <c r="C918">
        <v>2025</v>
      </c>
      <c r="D918" t="s">
        <v>132</v>
      </c>
      <c r="E918" t="s">
        <v>133</v>
      </c>
      <c r="F918">
        <v>105</v>
      </c>
      <c r="G918">
        <v>48993.87</v>
      </c>
      <c r="H918">
        <v>229</v>
      </c>
      <c r="I918">
        <v>0.39819161884889598</v>
      </c>
      <c r="J918">
        <v>100135.87</v>
      </c>
      <c r="K918">
        <v>0.40643228617330202</v>
      </c>
      <c r="L918">
        <v>167</v>
      </c>
      <c r="M918">
        <v>0.580768561989219</v>
      </c>
      <c r="N918">
        <v>446.49622754491003</v>
      </c>
      <c r="O918">
        <v>74564.87</v>
      </c>
      <c r="P918">
        <v>0.60528900547456299</v>
      </c>
      <c r="Q918">
        <v>62</v>
      </c>
      <c r="R918">
        <v>0.21561467570857201</v>
      </c>
      <c r="S918">
        <v>412.43548387096803</v>
      </c>
      <c r="T918">
        <v>25571</v>
      </c>
      <c r="U918">
        <v>0.20757556687204101</v>
      </c>
      <c r="V918">
        <v>21</v>
      </c>
      <c r="W918">
        <v>0.83532219570405697</v>
      </c>
    </row>
    <row r="919" spans="1:23" hidden="1" x14ac:dyDescent="0.25">
      <c r="A919" t="s">
        <v>180</v>
      </c>
      <c r="B919">
        <v>12</v>
      </c>
      <c r="C919">
        <v>2025</v>
      </c>
      <c r="D919" t="s">
        <v>134</v>
      </c>
      <c r="E919" t="s">
        <v>135</v>
      </c>
      <c r="F919">
        <v>300</v>
      </c>
      <c r="G919">
        <v>128100</v>
      </c>
      <c r="H919">
        <v>300</v>
      </c>
      <c r="I919">
        <v>0.52164840897235298</v>
      </c>
      <c r="J919">
        <v>128100</v>
      </c>
      <c r="K919">
        <v>0.51993332517907997</v>
      </c>
      <c r="L919">
        <v>300</v>
      </c>
      <c r="M919">
        <v>1.04329681794471</v>
      </c>
      <c r="N919">
        <v>427</v>
      </c>
      <c r="O919">
        <v>128100</v>
      </c>
      <c r="P919">
        <v>1.0398666503581599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6</v>
      </c>
      <c r="W919">
        <v>0.23866348448687399</v>
      </c>
    </row>
    <row r="920" spans="1:23" hidden="1" x14ac:dyDescent="0.25">
      <c r="A920" t="s">
        <v>180</v>
      </c>
      <c r="B920">
        <v>12</v>
      </c>
      <c r="C920">
        <v>2025</v>
      </c>
      <c r="D920" t="s">
        <v>136</v>
      </c>
      <c r="E920" t="s">
        <v>137</v>
      </c>
      <c r="F920">
        <v>98</v>
      </c>
      <c r="G920">
        <v>39482.31</v>
      </c>
      <c r="H920">
        <v>98</v>
      </c>
      <c r="I920">
        <v>0.170405146930969</v>
      </c>
      <c r="J920">
        <v>39482.31</v>
      </c>
      <c r="K920">
        <v>0.16025112196761301</v>
      </c>
      <c r="L920">
        <v>98</v>
      </c>
      <c r="M920">
        <v>0.34081029386193701</v>
      </c>
      <c r="N920">
        <v>402.88071428571402</v>
      </c>
      <c r="O920">
        <v>39482.31</v>
      </c>
      <c r="P920">
        <v>0.32050224393522603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3</v>
      </c>
      <c r="W920">
        <v>0.119331742243437</v>
      </c>
    </row>
    <row r="921" spans="1:23" hidden="1" x14ac:dyDescent="0.25">
      <c r="A921" t="s">
        <v>180</v>
      </c>
      <c r="B921">
        <v>12</v>
      </c>
      <c r="C921">
        <v>2025</v>
      </c>
      <c r="D921" t="s">
        <v>138</v>
      </c>
      <c r="E921" t="s">
        <v>139</v>
      </c>
      <c r="F921">
        <v>35</v>
      </c>
      <c r="G921">
        <v>14411.5</v>
      </c>
      <c r="H921">
        <v>35</v>
      </c>
      <c r="I921">
        <v>6.08589810467745E-2</v>
      </c>
      <c r="J921">
        <v>14411.5</v>
      </c>
      <c r="K921">
        <v>5.8493513784686202E-2</v>
      </c>
      <c r="L921">
        <v>35</v>
      </c>
      <c r="M921">
        <v>0.121717962093549</v>
      </c>
      <c r="N921">
        <v>411.75714285714298</v>
      </c>
      <c r="O921">
        <v>14411.5</v>
      </c>
      <c r="P921">
        <v>0.116987027569372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2</v>
      </c>
      <c r="W921">
        <v>7.9554494828957795E-2</v>
      </c>
    </row>
    <row r="922" spans="1:23" hidden="1" x14ac:dyDescent="0.25">
      <c r="A922" t="s">
        <v>180</v>
      </c>
      <c r="B922">
        <v>12</v>
      </c>
      <c r="C922">
        <v>2025</v>
      </c>
      <c r="D922" t="s">
        <v>142</v>
      </c>
      <c r="E922" t="s">
        <v>143</v>
      </c>
      <c r="F922">
        <v>1681</v>
      </c>
      <c r="G922">
        <v>708563.72</v>
      </c>
      <c r="H922">
        <v>4425</v>
      </c>
      <c r="I922">
        <v>7.6943140323422003</v>
      </c>
      <c r="J922">
        <v>1864968.66</v>
      </c>
      <c r="K922">
        <v>7.5695500136500602</v>
      </c>
      <c r="L922">
        <v>3053</v>
      </c>
      <c r="M922">
        <v>10.617283950617299</v>
      </c>
      <c r="N922">
        <v>421.47598755322599</v>
      </c>
      <c r="O922">
        <v>1286766.19</v>
      </c>
      <c r="P922">
        <v>10.4454742216193</v>
      </c>
      <c r="Q922">
        <v>1372</v>
      </c>
      <c r="R922">
        <v>4.7713441140671202</v>
      </c>
      <c r="S922">
        <v>421.43037172011702</v>
      </c>
      <c r="T922">
        <v>578202.47</v>
      </c>
      <c r="U922">
        <v>4.6936258056808304</v>
      </c>
      <c r="V922">
        <v>315</v>
      </c>
      <c r="W922">
        <v>12.529832935560901</v>
      </c>
    </row>
    <row r="923" spans="1:23" hidden="1" x14ac:dyDescent="0.25">
      <c r="A923" t="s">
        <v>180</v>
      </c>
      <c r="B923">
        <v>12</v>
      </c>
      <c r="C923">
        <v>2025</v>
      </c>
      <c r="D923" t="s">
        <v>146</v>
      </c>
      <c r="E923" t="s">
        <v>147</v>
      </c>
      <c r="F923">
        <v>927</v>
      </c>
      <c r="G923">
        <v>388675.79</v>
      </c>
      <c r="H923">
        <v>951</v>
      </c>
      <c r="I923">
        <v>1.65362545644236</v>
      </c>
      <c r="J923">
        <v>398471.19</v>
      </c>
      <c r="K923">
        <v>1.6173181171332101</v>
      </c>
      <c r="L923">
        <v>939</v>
      </c>
      <c r="M923">
        <v>3.2655190401669301</v>
      </c>
      <c r="N923">
        <v>419.14109691160797</v>
      </c>
      <c r="O923">
        <v>393573.49</v>
      </c>
      <c r="P923">
        <v>3.1948785848249099</v>
      </c>
      <c r="Q923">
        <v>12</v>
      </c>
      <c r="R923">
        <v>4.17318727177882E-2</v>
      </c>
      <c r="S923">
        <v>408.14166666666699</v>
      </c>
      <c r="T923">
        <v>4897.7</v>
      </c>
      <c r="U923">
        <v>3.9757649441523497E-2</v>
      </c>
      <c r="V923">
        <v>37</v>
      </c>
      <c r="W923">
        <v>1.4717581543357201</v>
      </c>
    </row>
    <row r="924" spans="1:23" x14ac:dyDescent="0.25">
      <c r="A924" t="s">
        <v>180</v>
      </c>
      <c r="B924">
        <v>12</v>
      </c>
      <c r="C924">
        <v>2025</v>
      </c>
      <c r="D924" t="s">
        <v>148</v>
      </c>
      <c r="E924" t="s">
        <v>148</v>
      </c>
      <c r="F924">
        <v>0</v>
      </c>
      <c r="G924" s="4">
        <v>-3.4469849197194001E-10</v>
      </c>
      <c r="H924">
        <v>57510</v>
      </c>
      <c r="I924">
        <v>0</v>
      </c>
      <c r="J924">
        <v>24637774.460000001</v>
      </c>
      <c r="K924">
        <v>0</v>
      </c>
      <c r="L924">
        <v>28755</v>
      </c>
      <c r="M924">
        <v>100</v>
      </c>
      <c r="N924">
        <v>427</v>
      </c>
      <c r="O924">
        <v>12318887.23</v>
      </c>
      <c r="P924">
        <v>100</v>
      </c>
      <c r="Q924">
        <v>28755</v>
      </c>
      <c r="R924">
        <v>100</v>
      </c>
      <c r="S924">
        <v>418.187546534018</v>
      </c>
      <c r="T924">
        <v>12318887.23</v>
      </c>
      <c r="U924">
        <v>100</v>
      </c>
      <c r="V924">
        <v>2514</v>
      </c>
      <c r="W924">
        <v>100</v>
      </c>
    </row>
    <row r="925" spans="1:23" hidden="1" x14ac:dyDescent="0.25">
      <c r="A925" t="s">
        <v>180</v>
      </c>
      <c r="B925">
        <v>12</v>
      </c>
      <c r="C925">
        <v>2025</v>
      </c>
      <c r="D925" t="s">
        <v>149</v>
      </c>
      <c r="E925" t="s">
        <v>150</v>
      </c>
      <c r="F925">
        <v>3368</v>
      </c>
      <c r="G925">
        <v>1465345.83</v>
      </c>
      <c r="H925">
        <v>6106</v>
      </c>
      <c r="I925">
        <v>10.617283950617299</v>
      </c>
      <c r="J925">
        <v>2633387.09</v>
      </c>
      <c r="K925">
        <v>10.6884130069271</v>
      </c>
      <c r="L925">
        <v>4737</v>
      </c>
      <c r="M925">
        <v>16.473656755346902</v>
      </c>
      <c r="N925">
        <v>432.629609457463</v>
      </c>
      <c r="O925">
        <v>2049366.46</v>
      </c>
      <c r="P925">
        <v>16.635970617615602</v>
      </c>
      <c r="Q925">
        <v>1369</v>
      </c>
      <c r="R925">
        <v>4.7609111458876701</v>
      </c>
      <c r="S925">
        <v>426.60382030679301</v>
      </c>
      <c r="T925">
        <v>584020.63</v>
      </c>
      <c r="U925">
        <v>4.7408553962385804</v>
      </c>
      <c r="V925">
        <v>223</v>
      </c>
      <c r="W925">
        <v>8.8703261734288006</v>
      </c>
    </row>
    <row r="926" spans="1:23" hidden="1" x14ac:dyDescent="0.25">
      <c r="A926" t="s">
        <v>180</v>
      </c>
      <c r="B926">
        <v>12</v>
      </c>
      <c r="C926">
        <v>2025</v>
      </c>
      <c r="D926" t="s">
        <v>153</v>
      </c>
      <c r="E926" t="s">
        <v>154</v>
      </c>
      <c r="F926">
        <v>-20</v>
      </c>
      <c r="G926">
        <v>-9104.96000000001</v>
      </c>
      <c r="H926">
        <v>184</v>
      </c>
      <c r="I926">
        <v>0.31994435750304301</v>
      </c>
      <c r="J926">
        <v>78273.78</v>
      </c>
      <c r="K926">
        <v>0.31769825690660197</v>
      </c>
      <c r="L926">
        <v>82</v>
      </c>
      <c r="M926">
        <v>0.28516779690488597</v>
      </c>
      <c r="N926">
        <v>421.761097560976</v>
      </c>
      <c r="O926">
        <v>34584.410000000003</v>
      </c>
      <c r="P926">
        <v>0.28074297097043899</v>
      </c>
      <c r="Q926">
        <v>102</v>
      </c>
      <c r="R926">
        <v>0.35472091810119999</v>
      </c>
      <c r="S926">
        <v>428.32715686274503</v>
      </c>
      <c r="T926">
        <v>43689.37</v>
      </c>
      <c r="U926">
        <v>0.35465354284276501</v>
      </c>
      <c r="V926">
        <v>36</v>
      </c>
      <c r="W926">
        <v>1.4319809069212399</v>
      </c>
    </row>
    <row r="927" spans="1:23" hidden="1" x14ac:dyDescent="0.25">
      <c r="A927" t="s">
        <v>180</v>
      </c>
      <c r="B927">
        <v>1</v>
      </c>
      <c r="C927">
        <v>2026</v>
      </c>
      <c r="D927" t="s">
        <v>88</v>
      </c>
      <c r="E927" t="s">
        <v>89</v>
      </c>
      <c r="F927">
        <v>693</v>
      </c>
      <c r="G927">
        <v>332400.28999999998</v>
      </c>
      <c r="H927">
        <v>2769</v>
      </c>
      <c r="I927">
        <v>2.8070637849235598</v>
      </c>
      <c r="J927">
        <v>1334708.17</v>
      </c>
      <c r="K927">
        <v>2.7750695730186301</v>
      </c>
      <c r="L927">
        <v>1731</v>
      </c>
      <c r="M927">
        <v>3.50959004095535</v>
      </c>
      <c r="N927">
        <v>481.54490467937597</v>
      </c>
      <c r="O927">
        <v>833554.23</v>
      </c>
      <c r="P927">
        <v>3.46618239643339</v>
      </c>
      <c r="Q927">
        <v>1038</v>
      </c>
      <c r="R927">
        <v>2.10453752889177</v>
      </c>
      <c r="S927">
        <v>482.807263969171</v>
      </c>
      <c r="T927">
        <v>501153.94</v>
      </c>
      <c r="U927">
        <v>2.0839567498912501</v>
      </c>
      <c r="V927">
        <v>116</v>
      </c>
      <c r="W927">
        <v>2.8599605522682401</v>
      </c>
    </row>
    <row r="928" spans="1:23" hidden="1" x14ac:dyDescent="0.25">
      <c r="A928" t="s">
        <v>180</v>
      </c>
      <c r="B928">
        <v>1</v>
      </c>
      <c r="C928">
        <v>2026</v>
      </c>
      <c r="D928" t="s">
        <v>90</v>
      </c>
      <c r="E928" t="s">
        <v>91</v>
      </c>
      <c r="F928">
        <v>2803</v>
      </c>
      <c r="G928">
        <v>1386787.48</v>
      </c>
      <c r="H928">
        <v>4661</v>
      </c>
      <c r="I928">
        <v>4.7250719759944904</v>
      </c>
      <c r="J928">
        <v>2283740.4</v>
      </c>
      <c r="K928">
        <v>4.7482578133266298</v>
      </c>
      <c r="L928">
        <v>3732</v>
      </c>
      <c r="M928">
        <v>7.5666031385588601</v>
      </c>
      <c r="N928">
        <v>491.76418542336501</v>
      </c>
      <c r="O928">
        <v>1835263.94</v>
      </c>
      <c r="P928">
        <v>7.63160851770495</v>
      </c>
      <c r="Q928">
        <v>929</v>
      </c>
      <c r="R928">
        <v>1.8835408134301099</v>
      </c>
      <c r="S928">
        <v>482.75184068891298</v>
      </c>
      <c r="T928">
        <v>448476.46</v>
      </c>
      <c r="U928">
        <v>1.8649071101473</v>
      </c>
      <c r="V928">
        <v>369</v>
      </c>
      <c r="W928">
        <v>9.0976331360946805</v>
      </c>
    </row>
    <row r="929" spans="1:23" hidden="1" x14ac:dyDescent="0.25">
      <c r="A929" t="s">
        <v>180</v>
      </c>
      <c r="B929">
        <v>1</v>
      </c>
      <c r="C929">
        <v>2026</v>
      </c>
      <c r="D929" t="s">
        <v>92</v>
      </c>
      <c r="E929" t="s">
        <v>93</v>
      </c>
      <c r="F929">
        <v>-27</v>
      </c>
      <c r="G929">
        <v>-14328.57</v>
      </c>
      <c r="H929">
        <v>227</v>
      </c>
      <c r="I929">
        <v>0.23012043307246299</v>
      </c>
      <c r="J929">
        <v>113430.57</v>
      </c>
      <c r="K929">
        <v>0.235840111368434</v>
      </c>
      <c r="L929">
        <v>100</v>
      </c>
      <c r="M929">
        <v>0.20274928024005501</v>
      </c>
      <c r="N929">
        <v>495.51</v>
      </c>
      <c r="O929">
        <v>49551</v>
      </c>
      <c r="P929">
        <v>0.20604874613337501</v>
      </c>
      <c r="Q929">
        <v>127</v>
      </c>
      <c r="R929">
        <v>0.25749158590486998</v>
      </c>
      <c r="S929">
        <v>502.98874015747998</v>
      </c>
      <c r="T929">
        <v>63879.57</v>
      </c>
      <c r="U929">
        <v>0.26563147659110597</v>
      </c>
      <c r="V929">
        <v>10</v>
      </c>
      <c r="W929">
        <v>0.24654832347139999</v>
      </c>
    </row>
    <row r="930" spans="1:23" hidden="1" x14ac:dyDescent="0.25">
      <c r="A930" t="s">
        <v>180</v>
      </c>
      <c r="B930">
        <v>1</v>
      </c>
      <c r="C930">
        <v>2026</v>
      </c>
      <c r="D930" t="s">
        <v>94</v>
      </c>
      <c r="E930" t="s">
        <v>95</v>
      </c>
      <c r="F930">
        <v>-22150</v>
      </c>
      <c r="G930">
        <v>-10857043.09</v>
      </c>
      <c r="H930">
        <v>27524</v>
      </c>
      <c r="I930">
        <v>27.902355946636401</v>
      </c>
      <c r="J930">
        <v>13552872.27</v>
      </c>
      <c r="K930">
        <v>28.178566902370001</v>
      </c>
      <c r="L930">
        <v>2687</v>
      </c>
      <c r="M930">
        <v>5.4478731600502801</v>
      </c>
      <c r="N930">
        <v>501.64294380349799</v>
      </c>
      <c r="O930">
        <v>1347914.59</v>
      </c>
      <c r="P930">
        <v>5.6050556227802204</v>
      </c>
      <c r="Q930">
        <v>24837</v>
      </c>
      <c r="R930">
        <v>50.356838733222503</v>
      </c>
      <c r="S930">
        <v>491.402249869147</v>
      </c>
      <c r="T930">
        <v>12204957.68</v>
      </c>
      <c r="U930">
        <v>50.7520781725731</v>
      </c>
      <c r="V930">
        <v>1017</v>
      </c>
      <c r="W930">
        <v>25.073964497041398</v>
      </c>
    </row>
    <row r="931" spans="1:23" hidden="1" x14ac:dyDescent="0.25">
      <c r="A931" t="s">
        <v>180</v>
      </c>
      <c r="B931">
        <v>1</v>
      </c>
      <c r="C931">
        <v>2026</v>
      </c>
      <c r="D931" t="s">
        <v>96</v>
      </c>
      <c r="E931" t="s">
        <v>97</v>
      </c>
      <c r="F931">
        <v>80</v>
      </c>
      <c r="G931">
        <v>37856.800000000003</v>
      </c>
      <c r="H931">
        <v>80</v>
      </c>
      <c r="I931">
        <v>8.1099712096022097E-2</v>
      </c>
      <c r="J931">
        <v>37856.800000000003</v>
      </c>
      <c r="K931">
        <v>7.8710280024622506E-2</v>
      </c>
      <c r="L931">
        <v>80</v>
      </c>
      <c r="M931">
        <v>0.162199424192044</v>
      </c>
      <c r="N931">
        <v>473.21</v>
      </c>
      <c r="O931">
        <v>37856.800000000003</v>
      </c>
      <c r="P931">
        <v>0.157420560081975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4</v>
      </c>
      <c r="W931">
        <v>9.8619329388560203E-2</v>
      </c>
    </row>
    <row r="932" spans="1:23" hidden="1" x14ac:dyDescent="0.25">
      <c r="A932" t="s">
        <v>180</v>
      </c>
      <c r="B932">
        <v>1</v>
      </c>
      <c r="C932">
        <v>2026</v>
      </c>
      <c r="D932" t="s">
        <v>102</v>
      </c>
      <c r="E932" t="s">
        <v>103</v>
      </c>
      <c r="F932">
        <v>4311</v>
      </c>
      <c r="G932">
        <v>2125454.75</v>
      </c>
      <c r="H932">
        <v>7203</v>
      </c>
      <c r="I932">
        <v>7.3020153278455897</v>
      </c>
      <c r="J932">
        <v>3497488.09</v>
      </c>
      <c r="K932">
        <v>7.2718314000835296</v>
      </c>
      <c r="L932">
        <v>5757</v>
      </c>
      <c r="M932">
        <v>11.67227606342</v>
      </c>
      <c r="N932">
        <v>488.35702970297001</v>
      </c>
      <c r="O932">
        <v>2811471.42</v>
      </c>
      <c r="P932">
        <v>11.690988292482899</v>
      </c>
      <c r="Q932">
        <v>1446</v>
      </c>
      <c r="R932">
        <v>2.9317545922711998</v>
      </c>
      <c r="S932">
        <v>474.423699861687</v>
      </c>
      <c r="T932">
        <v>686016.67</v>
      </c>
      <c r="U932">
        <v>2.8526745095217998</v>
      </c>
      <c r="V932">
        <v>449</v>
      </c>
      <c r="W932">
        <v>11.070019723865901</v>
      </c>
    </row>
    <row r="933" spans="1:23" hidden="1" x14ac:dyDescent="0.25">
      <c r="A933" t="s">
        <v>180</v>
      </c>
      <c r="B933">
        <v>1</v>
      </c>
      <c r="C933">
        <v>2026</v>
      </c>
      <c r="D933" t="s">
        <v>104</v>
      </c>
      <c r="E933" t="s">
        <v>105</v>
      </c>
      <c r="F933">
        <v>2237</v>
      </c>
      <c r="G933">
        <v>1094677.8700000001</v>
      </c>
      <c r="H933">
        <v>4297</v>
      </c>
      <c r="I933">
        <v>4.3560682859575897</v>
      </c>
      <c r="J933">
        <v>2122347.29</v>
      </c>
      <c r="K933">
        <v>4.4126959887100501</v>
      </c>
      <c r="L933">
        <v>3267</v>
      </c>
      <c r="M933">
        <v>6.6238189854426004</v>
      </c>
      <c r="N933">
        <v>492.35157024793398</v>
      </c>
      <c r="O933">
        <v>1608512.58</v>
      </c>
      <c r="P933">
        <v>6.6887045720320604</v>
      </c>
      <c r="Q933">
        <v>1030</v>
      </c>
      <c r="R933">
        <v>2.08831758647257</v>
      </c>
      <c r="S933">
        <v>498.868650485437</v>
      </c>
      <c r="T933">
        <v>513834.71</v>
      </c>
      <c r="U933">
        <v>2.1366874063344898</v>
      </c>
      <c r="V933">
        <v>308</v>
      </c>
      <c r="W933">
        <v>7.5936883629191296</v>
      </c>
    </row>
    <row r="934" spans="1:23" hidden="1" x14ac:dyDescent="0.25">
      <c r="A934" t="s">
        <v>180</v>
      </c>
      <c r="B934">
        <v>1</v>
      </c>
      <c r="C934">
        <v>2026</v>
      </c>
      <c r="D934" t="s">
        <v>106</v>
      </c>
      <c r="E934" t="s">
        <v>107</v>
      </c>
      <c r="F934">
        <v>840</v>
      </c>
      <c r="G934">
        <v>416927.88</v>
      </c>
      <c r="H934">
        <v>1290</v>
      </c>
      <c r="I934">
        <v>1.30773285754836</v>
      </c>
      <c r="J934">
        <v>643370.5</v>
      </c>
      <c r="K934">
        <v>1.33766911663377</v>
      </c>
      <c r="L934">
        <v>1065</v>
      </c>
      <c r="M934">
        <v>2.1592798345565898</v>
      </c>
      <c r="N934">
        <v>497.792666666667</v>
      </c>
      <c r="O934">
        <v>530149.18999999994</v>
      </c>
      <c r="P934">
        <v>2.20452818032178</v>
      </c>
      <c r="Q934">
        <v>225</v>
      </c>
      <c r="R934">
        <v>0.45618588054012399</v>
      </c>
      <c r="S934">
        <v>503.20582222222203</v>
      </c>
      <c r="T934">
        <v>113221.31</v>
      </c>
      <c r="U934">
        <v>0.47081005330623399</v>
      </c>
      <c r="V934">
        <v>58</v>
      </c>
      <c r="W934">
        <v>1.42998027613412</v>
      </c>
    </row>
    <row r="935" spans="1:23" hidden="1" x14ac:dyDescent="0.25">
      <c r="A935" t="s">
        <v>180</v>
      </c>
      <c r="B935">
        <v>1</v>
      </c>
      <c r="C935">
        <v>2026</v>
      </c>
      <c r="D935" t="s">
        <v>108</v>
      </c>
      <c r="E935" t="s">
        <v>109</v>
      </c>
      <c r="F935">
        <v>130</v>
      </c>
      <c r="G935">
        <v>60836</v>
      </c>
      <c r="H935">
        <v>130</v>
      </c>
      <c r="I935">
        <v>0.13178703215603599</v>
      </c>
      <c r="J935">
        <v>60836</v>
      </c>
      <c r="K935">
        <v>0.126487674488545</v>
      </c>
      <c r="L935">
        <v>130</v>
      </c>
      <c r="M935">
        <v>0.26357406431207198</v>
      </c>
      <c r="N935">
        <v>467.96923076923099</v>
      </c>
      <c r="O935">
        <v>60836</v>
      </c>
      <c r="P935">
        <v>0.25297534902968699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3</v>
      </c>
      <c r="W935">
        <v>7.3964497041420094E-2</v>
      </c>
    </row>
    <row r="936" spans="1:23" hidden="1" x14ac:dyDescent="0.25">
      <c r="A936" t="s">
        <v>180</v>
      </c>
      <c r="B936">
        <v>1</v>
      </c>
      <c r="C936">
        <v>2026</v>
      </c>
      <c r="D936" t="s">
        <v>110</v>
      </c>
      <c r="E936" t="s">
        <v>111</v>
      </c>
      <c r="F936">
        <v>164</v>
      </c>
      <c r="G936">
        <v>80393.289999999994</v>
      </c>
      <c r="H936">
        <v>206</v>
      </c>
      <c r="I936">
        <v>0.208831758647257</v>
      </c>
      <c r="J936">
        <v>101627.29</v>
      </c>
      <c r="K936">
        <v>0.211299223760157</v>
      </c>
      <c r="L936">
        <v>185</v>
      </c>
      <c r="M936">
        <v>0.37508616844410197</v>
      </c>
      <c r="N936">
        <v>491.947513513513</v>
      </c>
      <c r="O936">
        <v>91010.29</v>
      </c>
      <c r="P936">
        <v>0.378449600204534</v>
      </c>
      <c r="Q936">
        <v>21</v>
      </c>
      <c r="R936">
        <v>4.2577348850411603E-2</v>
      </c>
      <c r="S936">
        <v>505.57142857142901</v>
      </c>
      <c r="T936">
        <v>10617</v>
      </c>
      <c r="U936">
        <v>4.4148847385287203E-2</v>
      </c>
      <c r="V936">
        <v>21</v>
      </c>
      <c r="W936">
        <v>0.51775147928994103</v>
      </c>
    </row>
    <row r="937" spans="1:23" hidden="1" x14ac:dyDescent="0.25">
      <c r="A937" t="s">
        <v>180</v>
      </c>
      <c r="B937">
        <v>1</v>
      </c>
      <c r="C937">
        <v>2026</v>
      </c>
      <c r="D937" t="s">
        <v>112</v>
      </c>
      <c r="E937" t="s">
        <v>113</v>
      </c>
      <c r="F937">
        <v>-80</v>
      </c>
      <c r="G937">
        <v>-39672.800000000003</v>
      </c>
      <c r="H937">
        <v>80</v>
      </c>
      <c r="I937">
        <v>8.1099712096022097E-2</v>
      </c>
      <c r="J937">
        <v>39672.800000000003</v>
      </c>
      <c r="K937">
        <v>8.2486031501892501E-2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80</v>
      </c>
      <c r="R937">
        <v>0.162199424192044</v>
      </c>
      <c r="S937">
        <v>495.91</v>
      </c>
      <c r="T937">
        <v>39672.800000000003</v>
      </c>
      <c r="U937">
        <v>0.16497206296948499</v>
      </c>
      <c r="V937">
        <v>4</v>
      </c>
      <c r="W937">
        <v>9.8619329388560203E-2</v>
      </c>
    </row>
    <row r="938" spans="1:23" hidden="1" x14ac:dyDescent="0.25">
      <c r="A938" t="s">
        <v>180</v>
      </c>
      <c r="B938">
        <v>1</v>
      </c>
      <c r="C938">
        <v>2026</v>
      </c>
      <c r="D938" t="s">
        <v>167</v>
      </c>
      <c r="E938" t="s">
        <v>168</v>
      </c>
      <c r="F938">
        <v>-2</v>
      </c>
      <c r="G938">
        <v>-1032.02</v>
      </c>
      <c r="H938">
        <v>2</v>
      </c>
      <c r="I938">
        <v>2.0274928024005502E-3</v>
      </c>
      <c r="J938">
        <v>1032.02</v>
      </c>
      <c r="K938">
        <v>2.1457329513062599E-3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2</v>
      </c>
      <c r="R938">
        <v>4.0549856048011004E-3</v>
      </c>
      <c r="S938">
        <v>516.01</v>
      </c>
      <c r="T938">
        <v>1032.02</v>
      </c>
      <c r="U938">
        <v>4.2914659017202596E-3</v>
      </c>
      <c r="V938">
        <v>1</v>
      </c>
      <c r="W938">
        <v>2.4654832347139999E-2</v>
      </c>
    </row>
    <row r="939" spans="1:23" hidden="1" x14ac:dyDescent="0.25">
      <c r="A939" t="s">
        <v>180</v>
      </c>
      <c r="B939">
        <v>1</v>
      </c>
      <c r="C939">
        <v>2026</v>
      </c>
      <c r="D939" t="s">
        <v>116</v>
      </c>
      <c r="E939" t="s">
        <v>117</v>
      </c>
      <c r="F939">
        <v>4245</v>
      </c>
      <c r="G939">
        <v>2055139.12</v>
      </c>
      <c r="H939">
        <v>4417</v>
      </c>
      <c r="I939">
        <v>4.4777178541016198</v>
      </c>
      <c r="J939">
        <v>2151359.36</v>
      </c>
      <c r="K939">
        <v>4.4730166749221496</v>
      </c>
      <c r="L939">
        <v>4331</v>
      </c>
      <c r="M939">
        <v>8.7810713271967895</v>
      </c>
      <c r="N939">
        <v>485.62670053105501</v>
      </c>
      <c r="O939">
        <v>2103249.2400000002</v>
      </c>
      <c r="P939">
        <v>8.7459762408018893</v>
      </c>
      <c r="Q939">
        <v>86</v>
      </c>
      <c r="R939">
        <v>0.17436438100644699</v>
      </c>
      <c r="S939">
        <v>559.41999999999996</v>
      </c>
      <c r="T939">
        <v>48110.12</v>
      </c>
      <c r="U939">
        <v>0.20005711081923799</v>
      </c>
      <c r="V939">
        <v>52</v>
      </c>
      <c r="W939">
        <v>1.2820512820512799</v>
      </c>
    </row>
    <row r="940" spans="1:23" hidden="1" x14ac:dyDescent="0.25">
      <c r="A940" t="s">
        <v>180</v>
      </c>
      <c r="B940">
        <v>1</v>
      </c>
      <c r="C940">
        <v>2026</v>
      </c>
      <c r="D940" t="s">
        <v>118</v>
      </c>
      <c r="E940" t="s">
        <v>119</v>
      </c>
      <c r="F940">
        <v>487</v>
      </c>
      <c r="G940">
        <v>235667.25</v>
      </c>
      <c r="H940">
        <v>1435</v>
      </c>
      <c r="I940">
        <v>1.4547260857224</v>
      </c>
      <c r="J940">
        <v>693308.47</v>
      </c>
      <c r="K940">
        <v>1.4414980615673401</v>
      </c>
      <c r="L940">
        <v>961</v>
      </c>
      <c r="M940">
        <v>1.9484205831069299</v>
      </c>
      <c r="N940">
        <v>483.33804370447501</v>
      </c>
      <c r="O940">
        <v>464487.86</v>
      </c>
      <c r="P940">
        <v>1.9314875814246899</v>
      </c>
      <c r="Q940">
        <v>474</v>
      </c>
      <c r="R940">
        <v>0.96103158833786195</v>
      </c>
      <c r="S940">
        <v>482.743902953587</v>
      </c>
      <c r="T940">
        <v>228820.61</v>
      </c>
      <c r="U940">
        <v>0.951508541913753</v>
      </c>
      <c r="V940">
        <v>53</v>
      </c>
      <c r="W940">
        <v>1.30670611439842</v>
      </c>
    </row>
    <row r="941" spans="1:23" hidden="1" x14ac:dyDescent="0.25">
      <c r="A941" t="s">
        <v>180</v>
      </c>
      <c r="B941">
        <v>1</v>
      </c>
      <c r="C941">
        <v>2026</v>
      </c>
      <c r="D941" t="s">
        <v>120</v>
      </c>
      <c r="E941" t="s">
        <v>121</v>
      </c>
      <c r="F941">
        <v>-351</v>
      </c>
      <c r="G941">
        <v>-198115.35</v>
      </c>
      <c r="H941">
        <v>351</v>
      </c>
      <c r="I941">
        <v>0.35582498682129698</v>
      </c>
      <c r="J941">
        <v>198115.35</v>
      </c>
      <c r="K941">
        <v>0.41191317479755601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351</v>
      </c>
      <c r="R941">
        <v>0.71164997364259397</v>
      </c>
      <c r="S941">
        <v>564.43119658119701</v>
      </c>
      <c r="T941">
        <v>198115.35</v>
      </c>
      <c r="U941">
        <v>0.82382634942382504</v>
      </c>
      <c r="V941">
        <v>35</v>
      </c>
      <c r="W941">
        <v>0.86291913214990101</v>
      </c>
    </row>
    <row r="942" spans="1:23" hidden="1" x14ac:dyDescent="0.25">
      <c r="A942" t="s">
        <v>180</v>
      </c>
      <c r="B942">
        <v>1</v>
      </c>
      <c r="C942">
        <v>2026</v>
      </c>
      <c r="D942" t="s">
        <v>122</v>
      </c>
      <c r="E942" t="s">
        <v>123</v>
      </c>
      <c r="F942">
        <v>-6391</v>
      </c>
      <c r="G942">
        <v>-3033915.67</v>
      </c>
      <c r="H942">
        <v>15825</v>
      </c>
      <c r="I942">
        <v>16.042536798994401</v>
      </c>
      <c r="J942">
        <v>7579680.4100000001</v>
      </c>
      <c r="K942">
        <v>15.7593554544559</v>
      </c>
      <c r="L942">
        <v>4717</v>
      </c>
      <c r="M942">
        <v>9.5636835489234002</v>
      </c>
      <c r="N942">
        <v>481.84913504346002</v>
      </c>
      <c r="O942">
        <v>2272882.37</v>
      </c>
      <c r="P942">
        <v>9.4513645021726003</v>
      </c>
      <c r="Q942">
        <v>11108</v>
      </c>
      <c r="R942">
        <v>22.5213900490653</v>
      </c>
      <c r="S942">
        <v>477.74559236586299</v>
      </c>
      <c r="T942">
        <v>5306798.04</v>
      </c>
      <c r="U942">
        <v>22.067346404116101</v>
      </c>
      <c r="V942">
        <v>508</v>
      </c>
      <c r="W942">
        <v>12.5246548323471</v>
      </c>
    </row>
    <row r="943" spans="1:23" hidden="1" x14ac:dyDescent="0.25">
      <c r="A943" t="s">
        <v>180</v>
      </c>
      <c r="B943">
        <v>1</v>
      </c>
      <c r="C943">
        <v>2026</v>
      </c>
      <c r="D943" t="s">
        <v>124</v>
      </c>
      <c r="E943" t="s">
        <v>125</v>
      </c>
      <c r="F943">
        <v>41</v>
      </c>
      <c r="G943">
        <v>19932.560000000001</v>
      </c>
      <c r="H943">
        <v>41</v>
      </c>
      <c r="I943">
        <v>4.1563602449211298E-2</v>
      </c>
      <c r="J943">
        <v>19932.560000000001</v>
      </c>
      <c r="K943">
        <v>4.1442947613311E-2</v>
      </c>
      <c r="L943">
        <v>41</v>
      </c>
      <c r="M943">
        <v>8.3127204898422596E-2</v>
      </c>
      <c r="N943">
        <v>486.16</v>
      </c>
      <c r="O943">
        <v>19932.560000000001</v>
      </c>
      <c r="P943">
        <v>8.2885895243855298E-2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1</v>
      </c>
      <c r="W943">
        <v>2.4654832347139999E-2</v>
      </c>
    </row>
    <row r="944" spans="1:23" hidden="1" x14ac:dyDescent="0.25">
      <c r="A944" t="s">
        <v>180</v>
      </c>
      <c r="B944">
        <v>1</v>
      </c>
      <c r="C944">
        <v>2026</v>
      </c>
      <c r="D944" t="s">
        <v>126</v>
      </c>
      <c r="E944" t="s">
        <v>127</v>
      </c>
      <c r="F944">
        <v>174</v>
      </c>
      <c r="G944">
        <v>86042.99</v>
      </c>
      <c r="H944">
        <v>176</v>
      </c>
      <c r="I944">
        <v>0.17841936661124899</v>
      </c>
      <c r="J944">
        <v>87039.79</v>
      </c>
      <c r="K944">
        <v>0.18096950202300099</v>
      </c>
      <c r="L944">
        <v>175</v>
      </c>
      <c r="M944">
        <v>0.35481124042009698</v>
      </c>
      <c r="N944">
        <v>494.52222857142903</v>
      </c>
      <c r="O944">
        <v>86541.39</v>
      </c>
      <c r="P944">
        <v>0.35986649912493002</v>
      </c>
      <c r="Q944">
        <v>1</v>
      </c>
      <c r="R944">
        <v>2.0274928024005502E-3</v>
      </c>
      <c r="S944">
        <v>498.4</v>
      </c>
      <c r="T944">
        <v>498.4</v>
      </c>
      <c r="U944">
        <v>2.0725049954626699E-3</v>
      </c>
      <c r="V944">
        <v>17</v>
      </c>
      <c r="W944">
        <v>0.41913214990138098</v>
      </c>
    </row>
    <row r="945" spans="1:23" hidden="1" x14ac:dyDescent="0.25">
      <c r="A945" t="s">
        <v>180</v>
      </c>
      <c r="B945">
        <v>1</v>
      </c>
      <c r="C945">
        <v>2026</v>
      </c>
      <c r="D945" t="s">
        <v>130</v>
      </c>
      <c r="E945" t="s">
        <v>131</v>
      </c>
      <c r="F945">
        <v>-47</v>
      </c>
      <c r="G945">
        <v>1768.18999999994</v>
      </c>
      <c r="H945">
        <v>2667</v>
      </c>
      <c r="I945">
        <v>2.7036616520011401</v>
      </c>
      <c r="J945">
        <v>1258792.77</v>
      </c>
      <c r="K945">
        <v>2.6172294388239399</v>
      </c>
      <c r="L945">
        <v>1310</v>
      </c>
      <c r="M945">
        <v>2.65601557114472</v>
      </c>
      <c r="N945">
        <v>481.13013740458001</v>
      </c>
      <c r="O945">
        <v>630280.48</v>
      </c>
      <c r="P945">
        <v>2.6209057862876999</v>
      </c>
      <c r="Q945">
        <v>1357</v>
      </c>
      <c r="R945">
        <v>2.7513077328575499</v>
      </c>
      <c r="S945">
        <v>463.16307295504799</v>
      </c>
      <c r="T945">
        <v>628512.29</v>
      </c>
      <c r="U945">
        <v>2.61355309136172</v>
      </c>
      <c r="V945">
        <v>87</v>
      </c>
      <c r="W945">
        <v>2.1449704142011798</v>
      </c>
    </row>
    <row r="946" spans="1:23" hidden="1" x14ac:dyDescent="0.25">
      <c r="A946" t="s">
        <v>180</v>
      </c>
      <c r="B946">
        <v>1</v>
      </c>
      <c r="C946">
        <v>2026</v>
      </c>
      <c r="D946" t="s">
        <v>132</v>
      </c>
      <c r="E946" t="s">
        <v>133</v>
      </c>
      <c r="F946">
        <v>526</v>
      </c>
      <c r="G946">
        <v>257805.92</v>
      </c>
      <c r="H946">
        <v>530</v>
      </c>
      <c r="I946">
        <v>0.53728559263614595</v>
      </c>
      <c r="J946">
        <v>259803.92</v>
      </c>
      <c r="K946">
        <v>0.54017347728002996</v>
      </c>
      <c r="L946">
        <v>528</v>
      </c>
      <c r="M946">
        <v>1.0705161996674899</v>
      </c>
      <c r="N946">
        <v>490.16083333333302</v>
      </c>
      <c r="O946">
        <v>258804.92</v>
      </c>
      <c r="P946">
        <v>1.0761927964955</v>
      </c>
      <c r="Q946">
        <v>2</v>
      </c>
      <c r="R946">
        <v>4.0549856048011004E-3</v>
      </c>
      <c r="S946">
        <v>499.5</v>
      </c>
      <c r="T946">
        <v>999</v>
      </c>
      <c r="U946">
        <v>4.1541582874542599E-3</v>
      </c>
      <c r="V946">
        <v>55</v>
      </c>
      <c r="W946">
        <v>1.3560157790927001</v>
      </c>
    </row>
    <row r="947" spans="1:23" hidden="1" x14ac:dyDescent="0.25">
      <c r="A947" t="s">
        <v>180</v>
      </c>
      <c r="B947">
        <v>1</v>
      </c>
      <c r="C947">
        <v>2026</v>
      </c>
      <c r="D947" t="s">
        <v>134</v>
      </c>
      <c r="E947" t="s">
        <v>135</v>
      </c>
      <c r="F947">
        <v>2010</v>
      </c>
      <c r="G947">
        <v>984925.6</v>
      </c>
      <c r="H947">
        <v>2010</v>
      </c>
      <c r="I947">
        <v>2.0376302664125499</v>
      </c>
      <c r="J947">
        <v>984925.6</v>
      </c>
      <c r="K947">
        <v>2.0478162385468202</v>
      </c>
      <c r="L947">
        <v>2010</v>
      </c>
      <c r="M947">
        <v>4.0752605328251104</v>
      </c>
      <c r="N947">
        <v>490.01273631840797</v>
      </c>
      <c r="O947">
        <v>984925.6</v>
      </c>
      <c r="P947">
        <v>4.0956324779451903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19</v>
      </c>
      <c r="W947">
        <v>0.46844181459566098</v>
      </c>
    </row>
    <row r="948" spans="1:23" hidden="1" x14ac:dyDescent="0.25">
      <c r="A948" t="s">
        <v>180</v>
      </c>
      <c r="B948">
        <v>1</v>
      </c>
      <c r="C948">
        <v>2026</v>
      </c>
      <c r="D948" t="s">
        <v>177</v>
      </c>
      <c r="E948" t="s">
        <v>178</v>
      </c>
      <c r="F948">
        <v>1240</v>
      </c>
      <c r="G948">
        <v>622007.65</v>
      </c>
      <c r="H948">
        <v>1240</v>
      </c>
      <c r="I948">
        <v>1.25704553748834</v>
      </c>
      <c r="J948">
        <v>622007.65</v>
      </c>
      <c r="K948">
        <v>1.2932523696920299</v>
      </c>
      <c r="L948">
        <v>1240</v>
      </c>
      <c r="M948">
        <v>2.5140910749766801</v>
      </c>
      <c r="N948">
        <v>501.61907258064502</v>
      </c>
      <c r="O948">
        <v>622007.65</v>
      </c>
      <c r="P948">
        <v>2.5865047399218399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6</v>
      </c>
      <c r="W948">
        <v>0.14792899408283999</v>
      </c>
    </row>
    <row r="949" spans="1:23" hidden="1" x14ac:dyDescent="0.25">
      <c r="A949" t="s">
        <v>180</v>
      </c>
      <c r="B949">
        <v>1</v>
      </c>
      <c r="C949">
        <v>2026</v>
      </c>
      <c r="D949" t="s">
        <v>136</v>
      </c>
      <c r="E949" t="s">
        <v>137</v>
      </c>
      <c r="F949">
        <v>-218</v>
      </c>
      <c r="G949">
        <v>-123119.34</v>
      </c>
      <c r="H949">
        <v>374</v>
      </c>
      <c r="I949">
        <v>0.37914115404890297</v>
      </c>
      <c r="J949">
        <v>203841.14</v>
      </c>
      <c r="K949">
        <v>0.42381799861420599</v>
      </c>
      <c r="L949">
        <v>78</v>
      </c>
      <c r="M949">
        <v>0.158144438587243</v>
      </c>
      <c r="N949">
        <v>517.44743589743598</v>
      </c>
      <c r="O949">
        <v>40360.9</v>
      </c>
      <c r="P949">
        <v>0.16783340069452801</v>
      </c>
      <c r="Q949">
        <v>296</v>
      </c>
      <c r="R949">
        <v>0.60013786951056303</v>
      </c>
      <c r="S949">
        <v>552.29810810810795</v>
      </c>
      <c r="T949">
        <v>163480.24</v>
      </c>
      <c r="U949">
        <v>0.67980259642743901</v>
      </c>
      <c r="V949">
        <v>20</v>
      </c>
      <c r="W949">
        <v>0.49309664694280098</v>
      </c>
    </row>
    <row r="950" spans="1:23" hidden="1" x14ac:dyDescent="0.25">
      <c r="A950" t="s">
        <v>180</v>
      </c>
      <c r="B950">
        <v>1</v>
      </c>
      <c r="C950">
        <v>2026</v>
      </c>
      <c r="D950" t="s">
        <v>138</v>
      </c>
      <c r="E950" t="s">
        <v>139</v>
      </c>
      <c r="F950">
        <v>120</v>
      </c>
      <c r="G950">
        <v>60890.8</v>
      </c>
      <c r="H950">
        <v>120</v>
      </c>
      <c r="I950">
        <v>0.12164956814403299</v>
      </c>
      <c r="J950">
        <v>60890.8</v>
      </c>
      <c r="K950">
        <v>0.12660161236351999</v>
      </c>
      <c r="L950">
        <v>120</v>
      </c>
      <c r="M950">
        <v>0.24329913628806599</v>
      </c>
      <c r="N950">
        <v>507.42333333333301</v>
      </c>
      <c r="O950">
        <v>60890.8</v>
      </c>
      <c r="P950">
        <v>0.25320322477968399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2</v>
      </c>
      <c r="W950">
        <v>4.9309664694280102E-2</v>
      </c>
    </row>
    <row r="951" spans="1:23" hidden="1" x14ac:dyDescent="0.25">
      <c r="A951" t="s">
        <v>180</v>
      </c>
      <c r="B951">
        <v>1</v>
      </c>
      <c r="C951">
        <v>2026</v>
      </c>
      <c r="D951" t="s">
        <v>140</v>
      </c>
      <c r="E951" t="s">
        <v>141</v>
      </c>
      <c r="F951">
        <v>20</v>
      </c>
      <c r="G951">
        <v>9920</v>
      </c>
      <c r="H951">
        <v>20</v>
      </c>
      <c r="I951">
        <v>2.02749280240055E-2</v>
      </c>
      <c r="J951">
        <v>9920</v>
      </c>
      <c r="K951">
        <v>2.06252503604176E-2</v>
      </c>
      <c r="L951">
        <v>20</v>
      </c>
      <c r="M951">
        <v>4.0549856048011E-2</v>
      </c>
      <c r="N951">
        <v>496</v>
      </c>
      <c r="O951">
        <v>9920</v>
      </c>
      <c r="P951">
        <v>4.1250500729411797E-2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1</v>
      </c>
      <c r="W951">
        <v>2.4654832347139999E-2</v>
      </c>
    </row>
    <row r="952" spans="1:23" hidden="1" x14ac:dyDescent="0.25">
      <c r="A952" t="s">
        <v>180</v>
      </c>
      <c r="B952">
        <v>1</v>
      </c>
      <c r="C952">
        <v>2026</v>
      </c>
      <c r="D952" t="s">
        <v>142</v>
      </c>
      <c r="E952" t="s">
        <v>143</v>
      </c>
      <c r="F952">
        <v>5112</v>
      </c>
      <c r="G952">
        <v>2441181.19</v>
      </c>
      <c r="H952">
        <v>8714</v>
      </c>
      <c r="I952">
        <v>8.8337861400591997</v>
      </c>
      <c r="J952">
        <v>4210480.3499999996</v>
      </c>
      <c r="K952">
        <v>8.7542551770532793</v>
      </c>
      <c r="L952">
        <v>6913</v>
      </c>
      <c r="M952">
        <v>14.016057742995001</v>
      </c>
      <c r="N952">
        <v>481.09804281787899</v>
      </c>
      <c r="O952">
        <v>3325830.77</v>
      </c>
      <c r="P952">
        <v>13.8298573189299</v>
      </c>
      <c r="Q952">
        <v>1801</v>
      </c>
      <c r="R952">
        <v>3.6515145371233899</v>
      </c>
      <c r="S952">
        <v>491.19910049972202</v>
      </c>
      <c r="T952">
        <v>884649.58</v>
      </c>
      <c r="U952">
        <v>3.6786530372872202</v>
      </c>
      <c r="V952">
        <v>384</v>
      </c>
      <c r="W952">
        <v>9.4674556213017809</v>
      </c>
    </row>
    <row r="953" spans="1:23" hidden="1" x14ac:dyDescent="0.25">
      <c r="A953" t="s">
        <v>180</v>
      </c>
      <c r="B953">
        <v>1</v>
      </c>
      <c r="C953">
        <v>2026</v>
      </c>
      <c r="D953" t="s">
        <v>146</v>
      </c>
      <c r="E953" t="s">
        <v>147</v>
      </c>
      <c r="F953">
        <v>-58</v>
      </c>
      <c r="G953">
        <v>-28501.45</v>
      </c>
      <c r="H953">
        <v>1046</v>
      </c>
      <c r="I953">
        <v>1.0603787356554899</v>
      </c>
      <c r="J953">
        <v>517106.27</v>
      </c>
      <c r="K953">
        <v>1.07514579452537</v>
      </c>
      <c r="L953">
        <v>494</v>
      </c>
      <c r="M953">
        <v>1.0015814443858699</v>
      </c>
      <c r="N953">
        <v>494.53929149797602</v>
      </c>
      <c r="O953">
        <v>244302.41</v>
      </c>
      <c r="P953">
        <v>1.0158867683368999</v>
      </c>
      <c r="Q953">
        <v>552</v>
      </c>
      <c r="R953">
        <v>1.1191760269251001</v>
      </c>
      <c r="S953">
        <v>494.20989130434799</v>
      </c>
      <c r="T953">
        <v>272803.86</v>
      </c>
      <c r="U953">
        <v>1.1344048206891999</v>
      </c>
      <c r="V953">
        <v>35</v>
      </c>
      <c r="W953">
        <v>0.86291913214990101</v>
      </c>
    </row>
    <row r="954" spans="1:23" x14ac:dyDescent="0.25">
      <c r="A954" t="s">
        <v>180</v>
      </c>
      <c r="B954">
        <v>1</v>
      </c>
      <c r="C954">
        <v>2026</v>
      </c>
      <c r="D954" t="s">
        <v>148</v>
      </c>
      <c r="E954" t="s">
        <v>148</v>
      </c>
      <c r="F954">
        <v>0</v>
      </c>
      <c r="G954">
        <v>-1.0000006055179299E-2</v>
      </c>
      <c r="H954">
        <v>98644</v>
      </c>
      <c r="I954">
        <v>0</v>
      </c>
      <c r="J954">
        <v>48096385.869999997</v>
      </c>
      <c r="K954">
        <v>0</v>
      </c>
      <c r="L954">
        <v>49322</v>
      </c>
      <c r="M954">
        <v>100</v>
      </c>
      <c r="N954">
        <v>488.35702970297001</v>
      </c>
      <c r="O954">
        <v>24048192.93</v>
      </c>
      <c r="P954">
        <v>100</v>
      </c>
      <c r="Q954">
        <v>49322</v>
      </c>
      <c r="R954">
        <v>100</v>
      </c>
      <c r="S954">
        <v>487.24439999999998</v>
      </c>
      <c r="T954">
        <v>24048192.940000001</v>
      </c>
      <c r="U954">
        <v>100</v>
      </c>
      <c r="V954">
        <v>4056</v>
      </c>
      <c r="W954">
        <v>100</v>
      </c>
    </row>
    <row r="955" spans="1:23" hidden="1" x14ac:dyDescent="0.25">
      <c r="A955" t="s">
        <v>180</v>
      </c>
      <c r="B955">
        <v>1</v>
      </c>
      <c r="C955">
        <v>2026</v>
      </c>
      <c r="D955" t="s">
        <v>149</v>
      </c>
      <c r="E955" t="s">
        <v>150</v>
      </c>
      <c r="F955">
        <v>4114</v>
      </c>
      <c r="G955">
        <v>1996843.5</v>
      </c>
      <c r="H955">
        <v>10982</v>
      </c>
      <c r="I955">
        <v>11.1329629779814</v>
      </c>
      <c r="J955">
        <v>5340118.9800000004</v>
      </c>
      <c r="K955">
        <v>11.102952713399</v>
      </c>
      <c r="L955">
        <v>7548</v>
      </c>
      <c r="M955">
        <v>15.303515672519399</v>
      </c>
      <c r="N955">
        <v>486.02030206677301</v>
      </c>
      <c r="O955">
        <v>3668481.24</v>
      </c>
      <c r="P955">
        <v>15.2547064583118</v>
      </c>
      <c r="Q955">
        <v>3434</v>
      </c>
      <c r="R955">
        <v>6.9624102834434902</v>
      </c>
      <c r="S955">
        <v>486.79025626091999</v>
      </c>
      <c r="T955">
        <v>1671637.74</v>
      </c>
      <c r="U955">
        <v>6.9511989702125199</v>
      </c>
      <c r="V955">
        <v>374</v>
      </c>
      <c r="W955">
        <v>9.2209072978303706</v>
      </c>
    </row>
    <row r="956" spans="1:23" hidden="1" x14ac:dyDescent="0.25">
      <c r="A956" t="s">
        <v>180</v>
      </c>
      <c r="B956">
        <v>1</v>
      </c>
      <c r="C956">
        <v>2026</v>
      </c>
      <c r="D956" t="s">
        <v>153</v>
      </c>
      <c r="E956" t="s">
        <v>154</v>
      </c>
      <c r="F956">
        <v>-23</v>
      </c>
      <c r="G956">
        <v>-11730.85</v>
      </c>
      <c r="H956">
        <v>227</v>
      </c>
      <c r="I956">
        <v>0.23012043307246299</v>
      </c>
      <c r="J956">
        <v>110080.25</v>
      </c>
      <c r="K956">
        <v>0.22887426572453201</v>
      </c>
      <c r="L956">
        <v>102</v>
      </c>
      <c r="M956">
        <v>0.20680426584485601</v>
      </c>
      <c r="N956">
        <v>482.10490196078399</v>
      </c>
      <c r="O956">
        <v>49174.7</v>
      </c>
      <c r="P956">
        <v>0.20448397159461701</v>
      </c>
      <c r="Q956">
        <v>125</v>
      </c>
      <c r="R956">
        <v>0.25343660030006898</v>
      </c>
      <c r="S956">
        <v>487.24439999999998</v>
      </c>
      <c r="T956">
        <v>60905.55</v>
      </c>
      <c r="U956">
        <v>0.25326455984430402</v>
      </c>
      <c r="V956">
        <v>47</v>
      </c>
      <c r="W956">
        <v>1.1587771203155799</v>
      </c>
    </row>
    <row r="957" spans="1:23" hidden="1" x14ac:dyDescent="0.25">
      <c r="A957" t="s">
        <v>181</v>
      </c>
      <c r="B957">
        <v>2</v>
      </c>
      <c r="C957">
        <v>2025</v>
      </c>
      <c r="D957" t="s">
        <v>88</v>
      </c>
      <c r="E957" t="s">
        <v>89</v>
      </c>
      <c r="F957">
        <v>277</v>
      </c>
      <c r="G957">
        <v>42206.45</v>
      </c>
      <c r="H957">
        <v>1949</v>
      </c>
      <c r="I957">
        <v>4.7127381758390596</v>
      </c>
      <c r="J957">
        <v>278633.40999999997</v>
      </c>
      <c r="K957">
        <v>4.66892908866076</v>
      </c>
      <c r="L957">
        <v>1113</v>
      </c>
      <c r="M957">
        <v>5.3825321597833398</v>
      </c>
      <c r="N957">
        <v>144.132911051213</v>
      </c>
      <c r="O957">
        <v>160419.93</v>
      </c>
      <c r="P957">
        <v>5.3761627335208901</v>
      </c>
      <c r="Q957">
        <v>836</v>
      </c>
      <c r="R957">
        <v>4.0429441918947697</v>
      </c>
      <c r="S957">
        <v>141.403684210526</v>
      </c>
      <c r="T957">
        <v>118213.48</v>
      </c>
      <c r="U957">
        <v>3.96169544380064</v>
      </c>
      <c r="V957">
        <v>8</v>
      </c>
      <c r="W957">
        <v>1.99004975124378</v>
      </c>
    </row>
    <row r="958" spans="1:23" hidden="1" x14ac:dyDescent="0.25">
      <c r="A958" t="s">
        <v>181</v>
      </c>
      <c r="B958">
        <v>2</v>
      </c>
      <c r="C958">
        <v>2025</v>
      </c>
      <c r="D958" t="s">
        <v>90</v>
      </c>
      <c r="E958" t="s">
        <v>91</v>
      </c>
      <c r="F958">
        <v>173</v>
      </c>
      <c r="G958">
        <v>22867.000000000098</v>
      </c>
      <c r="H958">
        <v>4581</v>
      </c>
      <c r="I958">
        <v>11.0769900377213</v>
      </c>
      <c r="J958">
        <v>663536.84</v>
      </c>
      <c r="K958">
        <v>11.1185749536426</v>
      </c>
      <c r="L958">
        <v>2377</v>
      </c>
      <c r="M958">
        <v>11.4953090240836</v>
      </c>
      <c r="N958">
        <v>144.38448464451</v>
      </c>
      <c r="O958">
        <v>343201.92</v>
      </c>
      <c r="P958">
        <v>11.501746524741799</v>
      </c>
      <c r="Q958">
        <v>2204</v>
      </c>
      <c r="R958">
        <v>10.658671051358899</v>
      </c>
      <c r="S958">
        <v>145.34252268602501</v>
      </c>
      <c r="T958">
        <v>320334.92</v>
      </c>
      <c r="U958">
        <v>10.735403382543501</v>
      </c>
      <c r="V958">
        <v>38</v>
      </c>
      <c r="W958">
        <v>9.4527363184079594</v>
      </c>
    </row>
    <row r="959" spans="1:23" hidden="1" x14ac:dyDescent="0.25">
      <c r="A959" t="s">
        <v>181</v>
      </c>
      <c r="B959">
        <v>2</v>
      </c>
      <c r="C959">
        <v>2025</v>
      </c>
      <c r="D959" t="s">
        <v>94</v>
      </c>
      <c r="E959" t="s">
        <v>95</v>
      </c>
      <c r="F959">
        <v>-712</v>
      </c>
      <c r="G959">
        <v>-102222.35</v>
      </c>
      <c r="H959">
        <v>7146</v>
      </c>
      <c r="I959">
        <v>17.279233968468901</v>
      </c>
      <c r="J959">
        <v>1031811.77</v>
      </c>
      <c r="K959">
        <v>17.289584859818302</v>
      </c>
      <c r="L959">
        <v>3217</v>
      </c>
      <c r="M959">
        <v>15.5575974465616</v>
      </c>
      <c r="N959">
        <v>144.48079266397301</v>
      </c>
      <c r="O959">
        <v>464794.71</v>
      </c>
      <c r="P959">
        <v>15.576692987209601</v>
      </c>
      <c r="Q959">
        <v>3929</v>
      </c>
      <c r="R959">
        <v>19.000870490376201</v>
      </c>
      <c r="S959">
        <v>144.315871723085</v>
      </c>
      <c r="T959">
        <v>567017.06000000006</v>
      </c>
      <c r="U959">
        <v>19.002476732427098</v>
      </c>
      <c r="V959">
        <v>48</v>
      </c>
      <c r="W959">
        <v>11.9402985074627</v>
      </c>
    </row>
    <row r="960" spans="1:23" hidden="1" x14ac:dyDescent="0.25">
      <c r="A960" t="s">
        <v>181</v>
      </c>
      <c r="B960">
        <v>2</v>
      </c>
      <c r="C960">
        <v>2025</v>
      </c>
      <c r="D960" t="s">
        <v>100</v>
      </c>
      <c r="E960" t="s">
        <v>101</v>
      </c>
      <c r="F960">
        <v>103</v>
      </c>
      <c r="G960">
        <v>15129.67</v>
      </c>
      <c r="H960">
        <v>103</v>
      </c>
      <c r="I960">
        <v>0.24905696875906799</v>
      </c>
      <c r="J960">
        <v>15129.67</v>
      </c>
      <c r="K960">
        <v>0.25352076897324699</v>
      </c>
      <c r="L960">
        <v>103</v>
      </c>
      <c r="M960">
        <v>0.49811393751813499</v>
      </c>
      <c r="N960">
        <v>146.88999999999999</v>
      </c>
      <c r="O960">
        <v>15129.67</v>
      </c>
      <c r="P960">
        <v>0.50704153794649398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1</v>
      </c>
      <c r="W960">
        <v>0.248756218905473</v>
      </c>
    </row>
    <row r="961" spans="1:23" hidden="1" x14ac:dyDescent="0.25">
      <c r="A961" t="s">
        <v>181</v>
      </c>
      <c r="B961">
        <v>2</v>
      </c>
      <c r="C961">
        <v>2025</v>
      </c>
      <c r="D961" t="s">
        <v>102</v>
      </c>
      <c r="E961" t="s">
        <v>103</v>
      </c>
      <c r="F961">
        <v>135</v>
      </c>
      <c r="G961">
        <v>18470.91</v>
      </c>
      <c r="H961">
        <v>5061</v>
      </c>
      <c r="I961">
        <v>12.237643872714999</v>
      </c>
      <c r="J961">
        <v>732865.79</v>
      </c>
      <c r="K961">
        <v>12.280287582940399</v>
      </c>
      <c r="L961">
        <v>2598</v>
      </c>
      <c r="M961">
        <v>12.5640777638069</v>
      </c>
      <c r="N961">
        <v>144.59905696689799</v>
      </c>
      <c r="O961">
        <v>375668.35</v>
      </c>
      <c r="P961">
        <v>12.5897959401508</v>
      </c>
      <c r="Q961">
        <v>2463</v>
      </c>
      <c r="R961">
        <v>11.911209981622999</v>
      </c>
      <c r="S961">
        <v>145.025351197726</v>
      </c>
      <c r="T961">
        <v>357197.44</v>
      </c>
      <c r="U961">
        <v>11.97077922573</v>
      </c>
      <c r="V961">
        <v>55</v>
      </c>
      <c r="W961">
        <v>13.681592039801</v>
      </c>
    </row>
    <row r="962" spans="1:23" hidden="1" x14ac:dyDescent="0.25">
      <c r="A962" t="s">
        <v>181</v>
      </c>
      <c r="B962">
        <v>2</v>
      </c>
      <c r="C962">
        <v>2025</v>
      </c>
      <c r="D962" t="s">
        <v>104</v>
      </c>
      <c r="E962" t="s">
        <v>105</v>
      </c>
      <c r="F962">
        <v>181</v>
      </c>
      <c r="G962">
        <v>26801.8</v>
      </c>
      <c r="H962">
        <v>473</v>
      </c>
      <c r="I962">
        <v>1.1437276332333901</v>
      </c>
      <c r="J962">
        <v>67699.92</v>
      </c>
      <c r="K962">
        <v>1.13441573926115</v>
      </c>
      <c r="L962">
        <v>327</v>
      </c>
      <c r="M962">
        <v>1.58139085017893</v>
      </c>
      <c r="N962">
        <v>144.49804281345601</v>
      </c>
      <c r="O962">
        <v>47250.86</v>
      </c>
      <c r="P962">
        <v>1.5835209045335701</v>
      </c>
      <c r="Q962">
        <v>146</v>
      </c>
      <c r="R962">
        <v>0.706064416287842</v>
      </c>
      <c r="S962">
        <v>140.062054794521</v>
      </c>
      <c r="T962">
        <v>20449.060000000001</v>
      </c>
      <c r="U962">
        <v>0.68531057398873496</v>
      </c>
      <c r="V962">
        <v>8</v>
      </c>
      <c r="W962">
        <v>1.99004975124378</v>
      </c>
    </row>
    <row r="963" spans="1:23" hidden="1" x14ac:dyDescent="0.25">
      <c r="A963" t="s">
        <v>181</v>
      </c>
      <c r="B963">
        <v>2</v>
      </c>
      <c r="C963">
        <v>2025</v>
      </c>
      <c r="D963" t="s">
        <v>106</v>
      </c>
      <c r="E963" t="s">
        <v>107</v>
      </c>
      <c r="F963">
        <v>-38</v>
      </c>
      <c r="G963">
        <v>-5156.28</v>
      </c>
      <c r="H963">
        <v>360</v>
      </c>
      <c r="I963">
        <v>0.87049037624528502</v>
      </c>
      <c r="J963">
        <v>52035</v>
      </c>
      <c r="K963">
        <v>0.87192603761502496</v>
      </c>
      <c r="L963">
        <v>161</v>
      </c>
      <c r="M963">
        <v>0.77860528097494897</v>
      </c>
      <c r="N963">
        <v>145.586086956522</v>
      </c>
      <c r="O963">
        <v>23439.360000000001</v>
      </c>
      <c r="P963">
        <v>0.78552467719927399</v>
      </c>
      <c r="Q963">
        <v>199</v>
      </c>
      <c r="R963">
        <v>0.96237547151562097</v>
      </c>
      <c r="S963">
        <v>143.69668341708501</v>
      </c>
      <c r="T963">
        <v>28595.64</v>
      </c>
      <c r="U963">
        <v>0.95832739803077605</v>
      </c>
      <c r="V963">
        <v>8</v>
      </c>
      <c r="W963">
        <v>1.99004975124378</v>
      </c>
    </row>
    <row r="964" spans="1:23" hidden="1" x14ac:dyDescent="0.25">
      <c r="A964" t="s">
        <v>181</v>
      </c>
      <c r="B964">
        <v>2</v>
      </c>
      <c r="C964">
        <v>2025</v>
      </c>
      <c r="D964" t="s">
        <v>110</v>
      </c>
      <c r="E964" t="s">
        <v>111</v>
      </c>
      <c r="F964">
        <v>25</v>
      </c>
      <c r="G964">
        <v>3606.3</v>
      </c>
      <c r="H964">
        <v>25</v>
      </c>
      <c r="I964">
        <v>6.0450720572589198E-2</v>
      </c>
      <c r="J964">
        <v>3606.3</v>
      </c>
      <c r="K964">
        <v>6.0429074074201297E-2</v>
      </c>
      <c r="L964">
        <v>25</v>
      </c>
      <c r="M964">
        <v>0.12090144114517801</v>
      </c>
      <c r="N964">
        <v>144.25200000000001</v>
      </c>
      <c r="O964">
        <v>3606.3</v>
      </c>
      <c r="P964">
        <v>0.120858148148403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2</v>
      </c>
      <c r="W964">
        <v>0.49751243781094501</v>
      </c>
    </row>
    <row r="965" spans="1:23" hidden="1" x14ac:dyDescent="0.25">
      <c r="A965" t="s">
        <v>181</v>
      </c>
      <c r="B965">
        <v>2</v>
      </c>
      <c r="C965">
        <v>2025</v>
      </c>
      <c r="D965" t="s">
        <v>116</v>
      </c>
      <c r="E965" t="s">
        <v>117</v>
      </c>
      <c r="F965">
        <v>-40</v>
      </c>
      <c r="G965">
        <v>-5598.8</v>
      </c>
      <c r="H965">
        <v>40</v>
      </c>
      <c r="I965">
        <v>9.6721152916142805E-2</v>
      </c>
      <c r="J965">
        <v>5598.8</v>
      </c>
      <c r="K965">
        <v>9.3816460063399706E-2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40</v>
      </c>
      <c r="R965">
        <v>0.193442305832286</v>
      </c>
      <c r="S965">
        <v>139.97</v>
      </c>
      <c r="T965">
        <v>5598.8</v>
      </c>
      <c r="U965">
        <v>0.187632920126799</v>
      </c>
      <c r="V965">
        <v>1</v>
      </c>
      <c r="W965">
        <v>0.248756218905473</v>
      </c>
    </row>
    <row r="966" spans="1:23" hidden="1" x14ac:dyDescent="0.25">
      <c r="A966" t="s">
        <v>181</v>
      </c>
      <c r="B966">
        <v>2</v>
      </c>
      <c r="C966">
        <v>2025</v>
      </c>
      <c r="D966" t="s">
        <v>122</v>
      </c>
      <c r="E966" t="s">
        <v>123</v>
      </c>
      <c r="F966">
        <v>-1185</v>
      </c>
      <c r="G966">
        <v>-166729.1</v>
      </c>
      <c r="H966">
        <v>8543</v>
      </c>
      <c r="I966">
        <v>20.6572202340652</v>
      </c>
      <c r="J966">
        <v>1234036.04</v>
      </c>
      <c r="K966">
        <v>20.678161903167801</v>
      </c>
      <c r="L966">
        <v>3679</v>
      </c>
      <c r="M966">
        <v>17.7918560789245</v>
      </c>
      <c r="N966">
        <v>145.053946724653</v>
      </c>
      <c r="O966">
        <v>533653.47</v>
      </c>
      <c r="P966">
        <v>17.8843607401406</v>
      </c>
      <c r="Q966">
        <v>4864</v>
      </c>
      <c r="R966">
        <v>23.5225843892059</v>
      </c>
      <c r="S966">
        <v>143.99312705592101</v>
      </c>
      <c r="T966">
        <v>700382.57</v>
      </c>
      <c r="U966">
        <v>23.471963066194999</v>
      </c>
      <c r="V966">
        <v>72</v>
      </c>
      <c r="W966">
        <v>17.910447761194</v>
      </c>
    </row>
    <row r="967" spans="1:23" hidden="1" x14ac:dyDescent="0.25">
      <c r="A967" t="s">
        <v>181</v>
      </c>
      <c r="B967">
        <v>2</v>
      </c>
      <c r="C967">
        <v>2025</v>
      </c>
      <c r="D967" t="s">
        <v>126</v>
      </c>
      <c r="E967" t="s">
        <v>127</v>
      </c>
      <c r="F967">
        <v>-17</v>
      </c>
      <c r="G967">
        <v>-2473.7199999999998</v>
      </c>
      <c r="H967">
        <v>21</v>
      </c>
      <c r="I967">
        <v>5.0778605280974901E-2</v>
      </c>
      <c r="J967">
        <v>3049.96</v>
      </c>
      <c r="K967">
        <v>5.1106746183997701E-2</v>
      </c>
      <c r="L967">
        <v>2</v>
      </c>
      <c r="M967">
        <v>9.6721152916142798E-3</v>
      </c>
      <c r="N967">
        <v>144.06</v>
      </c>
      <c r="O967">
        <v>288.12</v>
      </c>
      <c r="P967">
        <v>9.6557828368460108E-3</v>
      </c>
      <c r="Q967">
        <v>19</v>
      </c>
      <c r="R967">
        <v>9.1885095270335601E-2</v>
      </c>
      <c r="S967">
        <v>145.36000000000001</v>
      </c>
      <c r="T967">
        <v>2761.84</v>
      </c>
      <c r="U967">
        <v>9.2557709531149501E-2</v>
      </c>
      <c r="V967">
        <v>2</v>
      </c>
      <c r="W967">
        <v>0.49751243781094501</v>
      </c>
    </row>
    <row r="968" spans="1:23" hidden="1" x14ac:dyDescent="0.25">
      <c r="A968" t="s">
        <v>181</v>
      </c>
      <c r="B968">
        <v>2</v>
      </c>
      <c r="C968">
        <v>2025</v>
      </c>
      <c r="D968" t="s">
        <v>130</v>
      </c>
      <c r="E968" t="s">
        <v>131</v>
      </c>
      <c r="F968">
        <v>179</v>
      </c>
      <c r="G968">
        <v>25453.79</v>
      </c>
      <c r="H968">
        <v>179</v>
      </c>
      <c r="I968">
        <v>0.43282715929973897</v>
      </c>
      <c r="J968">
        <v>25453.79</v>
      </c>
      <c r="K968">
        <v>0.42651719529134102</v>
      </c>
      <c r="L968">
        <v>179</v>
      </c>
      <c r="M968">
        <v>0.86565431859947795</v>
      </c>
      <c r="N968">
        <v>142.19994413407801</v>
      </c>
      <c r="O968">
        <v>25453.79</v>
      </c>
      <c r="P968">
        <v>0.85303439058268304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3</v>
      </c>
      <c r="W968">
        <v>0.74626865671641796</v>
      </c>
    </row>
    <row r="969" spans="1:23" hidden="1" x14ac:dyDescent="0.25">
      <c r="A969" t="s">
        <v>181</v>
      </c>
      <c r="B969">
        <v>2</v>
      </c>
      <c r="C969">
        <v>2025</v>
      </c>
      <c r="D969" t="s">
        <v>132</v>
      </c>
      <c r="E969" t="s">
        <v>133</v>
      </c>
      <c r="F969">
        <v>-212</v>
      </c>
      <c r="G969">
        <v>-30308.81</v>
      </c>
      <c r="H969">
        <v>632</v>
      </c>
      <c r="I969">
        <v>1.5281942160750599</v>
      </c>
      <c r="J969">
        <v>90364.21</v>
      </c>
      <c r="K969">
        <v>1.5141905941676199</v>
      </c>
      <c r="L969">
        <v>210</v>
      </c>
      <c r="M969">
        <v>1.0155721056195</v>
      </c>
      <c r="N969">
        <v>142.98904761904799</v>
      </c>
      <c r="O969">
        <v>30027.7</v>
      </c>
      <c r="P969">
        <v>1.0063201106829101</v>
      </c>
      <c r="Q969">
        <v>422</v>
      </c>
      <c r="R969">
        <v>2.0408163265306101</v>
      </c>
      <c r="S969">
        <v>142.97751184834101</v>
      </c>
      <c r="T969">
        <v>60336.51</v>
      </c>
      <c r="U969">
        <v>2.02206107765232</v>
      </c>
      <c r="V969">
        <v>14</v>
      </c>
      <c r="W969">
        <v>3.4825870646766202</v>
      </c>
    </row>
    <row r="970" spans="1:23" hidden="1" x14ac:dyDescent="0.25">
      <c r="A970" t="s">
        <v>181</v>
      </c>
      <c r="B970">
        <v>2</v>
      </c>
      <c r="C970">
        <v>2025</v>
      </c>
      <c r="D970" t="s">
        <v>136</v>
      </c>
      <c r="E970" t="s">
        <v>137</v>
      </c>
      <c r="F970">
        <v>-128</v>
      </c>
      <c r="G970">
        <v>-18313.259999999998</v>
      </c>
      <c r="H970">
        <v>128</v>
      </c>
      <c r="I970">
        <v>0.30950768933165701</v>
      </c>
      <c r="J970">
        <v>18313.259999999998</v>
      </c>
      <c r="K970">
        <v>0.30686669025874402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128</v>
      </c>
      <c r="R970">
        <v>0.61901537866331402</v>
      </c>
      <c r="S970">
        <v>143.07234374999999</v>
      </c>
      <c r="T970">
        <v>18313.259999999998</v>
      </c>
      <c r="U970">
        <v>0.61373338051748805</v>
      </c>
      <c r="V970">
        <v>3</v>
      </c>
      <c r="W970">
        <v>0.74626865671641796</v>
      </c>
    </row>
    <row r="971" spans="1:23" hidden="1" x14ac:dyDescent="0.25">
      <c r="A971" t="s">
        <v>181</v>
      </c>
      <c r="B971">
        <v>2</v>
      </c>
      <c r="C971">
        <v>2025</v>
      </c>
      <c r="D971" t="s">
        <v>142</v>
      </c>
      <c r="E971" t="s">
        <v>143</v>
      </c>
      <c r="F971">
        <v>235</v>
      </c>
      <c r="G971">
        <v>33655.17</v>
      </c>
      <c r="H971">
        <v>429</v>
      </c>
      <c r="I971">
        <v>1.0373343650256299</v>
      </c>
      <c r="J971">
        <v>60902.87</v>
      </c>
      <c r="K971">
        <v>1.02052076714679</v>
      </c>
      <c r="L971">
        <v>332</v>
      </c>
      <c r="M971">
        <v>1.6055711384079701</v>
      </c>
      <c r="N971">
        <v>142.40668674698799</v>
      </c>
      <c r="O971">
        <v>47279.02</v>
      </c>
      <c r="P971">
        <v>1.5844646323021601</v>
      </c>
      <c r="Q971">
        <v>97</v>
      </c>
      <c r="R971">
        <v>0.46909759164329201</v>
      </c>
      <c r="S971">
        <v>140.45206185567</v>
      </c>
      <c r="T971">
        <v>13623.85</v>
      </c>
      <c r="U971">
        <v>0.45657690199140799</v>
      </c>
      <c r="V971">
        <v>19</v>
      </c>
      <c r="W971">
        <v>4.7263681592039797</v>
      </c>
    </row>
    <row r="972" spans="1:23" x14ac:dyDescent="0.25">
      <c r="A972" t="s">
        <v>181</v>
      </c>
      <c r="B972">
        <v>2</v>
      </c>
      <c r="C972">
        <v>2025</v>
      </c>
      <c r="D972" t="s">
        <v>148</v>
      </c>
      <c r="E972" t="s">
        <v>148</v>
      </c>
      <c r="F972">
        <v>0</v>
      </c>
      <c r="G972" s="4">
        <v>1.7371348803862901E-10</v>
      </c>
      <c r="H972">
        <v>41356</v>
      </c>
      <c r="I972">
        <v>0</v>
      </c>
      <c r="J972">
        <v>5967822.7000000002</v>
      </c>
      <c r="K972">
        <v>0</v>
      </c>
      <c r="L972">
        <v>20678</v>
      </c>
      <c r="M972">
        <v>100</v>
      </c>
      <c r="N972">
        <v>144.25200000000001</v>
      </c>
      <c r="O972">
        <v>2983911.35</v>
      </c>
      <c r="P972">
        <v>100</v>
      </c>
      <c r="Q972">
        <v>20678</v>
      </c>
      <c r="R972">
        <v>100</v>
      </c>
      <c r="S972">
        <v>142.97751184834101</v>
      </c>
      <c r="T972">
        <v>2983911.35</v>
      </c>
      <c r="U972">
        <v>100</v>
      </c>
      <c r="V972">
        <v>402</v>
      </c>
      <c r="W972">
        <v>100</v>
      </c>
    </row>
    <row r="973" spans="1:23" hidden="1" x14ac:dyDescent="0.25">
      <c r="A973" t="s">
        <v>181</v>
      </c>
      <c r="B973">
        <v>2</v>
      </c>
      <c r="C973">
        <v>2025</v>
      </c>
      <c r="D973" t="s">
        <v>149</v>
      </c>
      <c r="E973" t="s">
        <v>150</v>
      </c>
      <c r="F973">
        <v>56</v>
      </c>
      <c r="G973">
        <v>9016.5</v>
      </c>
      <c r="H973">
        <v>1324</v>
      </c>
      <c r="I973">
        <v>3.2014701615243299</v>
      </c>
      <c r="J973">
        <v>190217.94</v>
      </c>
      <c r="K973">
        <v>3.1873926147303302</v>
      </c>
      <c r="L973">
        <v>690</v>
      </c>
      <c r="M973">
        <v>3.3368797756069299</v>
      </c>
      <c r="N973">
        <v>144.37278260869601</v>
      </c>
      <c r="O973">
        <v>99617.22</v>
      </c>
      <c r="P973">
        <v>3.33847786731332</v>
      </c>
      <c r="Q973">
        <v>634</v>
      </c>
      <c r="R973">
        <v>3.06606054744173</v>
      </c>
      <c r="S973">
        <v>142.90334384857999</v>
      </c>
      <c r="T973">
        <v>90600.72</v>
      </c>
      <c r="U973">
        <v>3.03630736214734</v>
      </c>
      <c r="V973">
        <v>13</v>
      </c>
      <c r="W973">
        <v>3.23383084577114</v>
      </c>
    </row>
    <row r="974" spans="1:23" hidden="1" x14ac:dyDescent="0.25">
      <c r="A974" t="s">
        <v>181</v>
      </c>
      <c r="B974">
        <v>2</v>
      </c>
      <c r="C974">
        <v>2025</v>
      </c>
      <c r="D974" t="s">
        <v>151</v>
      </c>
      <c r="E974" t="s">
        <v>152</v>
      </c>
      <c r="F974">
        <v>968</v>
      </c>
      <c r="G974">
        <v>133594.73000000001</v>
      </c>
      <c r="H974">
        <v>10362</v>
      </c>
      <c r="I974">
        <v>25.0556146629268</v>
      </c>
      <c r="J974">
        <v>1494567.13</v>
      </c>
      <c r="K974">
        <v>25.043758924004202</v>
      </c>
      <c r="L974">
        <v>5665</v>
      </c>
      <c r="M974">
        <v>27.396266563497399</v>
      </c>
      <c r="N974">
        <v>143.70360635481001</v>
      </c>
      <c r="O974">
        <v>814080.93</v>
      </c>
      <c r="P974">
        <v>27.2823430226907</v>
      </c>
      <c r="Q974">
        <v>4697</v>
      </c>
      <c r="R974">
        <v>22.714962762356102</v>
      </c>
      <c r="S974">
        <v>144.87677240791999</v>
      </c>
      <c r="T974">
        <v>680486.2</v>
      </c>
      <c r="U974">
        <v>22.805174825317799</v>
      </c>
      <c r="V974">
        <v>107</v>
      </c>
      <c r="W974">
        <v>26.616915422885601</v>
      </c>
    </row>
    <row r="975" spans="1:23" hidden="1" x14ac:dyDescent="0.25">
      <c r="A975" t="s">
        <v>181</v>
      </c>
      <c r="B975">
        <v>3</v>
      </c>
      <c r="C975">
        <v>2025</v>
      </c>
      <c r="D975" t="s">
        <v>88</v>
      </c>
      <c r="E975" t="s">
        <v>89</v>
      </c>
      <c r="F975">
        <v>-37</v>
      </c>
      <c r="G975">
        <v>-5331.09</v>
      </c>
      <c r="H975">
        <v>163</v>
      </c>
      <c r="I975">
        <v>0.27433687895516401</v>
      </c>
      <c r="J975">
        <v>23558.91</v>
      </c>
      <c r="K975">
        <v>0.274408579752768</v>
      </c>
      <c r="L975">
        <v>63</v>
      </c>
      <c r="M975">
        <v>0.21206409048067901</v>
      </c>
      <c r="N975">
        <v>144.66523809523801</v>
      </c>
      <c r="O975">
        <v>9113.91</v>
      </c>
      <c r="P975">
        <v>0.21231331153220101</v>
      </c>
      <c r="Q975">
        <v>100</v>
      </c>
      <c r="R975">
        <v>0.33660966742964898</v>
      </c>
      <c r="S975">
        <v>144.44999999999999</v>
      </c>
      <c r="T975">
        <v>14445</v>
      </c>
      <c r="U975">
        <v>0.33650384797333399</v>
      </c>
      <c r="V975">
        <v>5</v>
      </c>
      <c r="W975">
        <v>0.968992248062015</v>
      </c>
    </row>
    <row r="976" spans="1:23" hidden="1" x14ac:dyDescent="0.25">
      <c r="A976" t="s">
        <v>181</v>
      </c>
      <c r="B976">
        <v>3</v>
      </c>
      <c r="C976">
        <v>2025</v>
      </c>
      <c r="D976" t="s">
        <v>90</v>
      </c>
      <c r="E976" t="s">
        <v>91</v>
      </c>
      <c r="F976">
        <v>786</v>
      </c>
      <c r="G976">
        <v>107109.09</v>
      </c>
      <c r="H976">
        <v>9232</v>
      </c>
      <c r="I976">
        <v>15.5379022485526</v>
      </c>
      <c r="J976">
        <v>1337207.23</v>
      </c>
      <c r="K976">
        <v>15.5754717352981</v>
      </c>
      <c r="L976">
        <v>5009</v>
      </c>
      <c r="M976">
        <v>16.860778241551099</v>
      </c>
      <c r="N976">
        <v>144.172122180076</v>
      </c>
      <c r="O976">
        <v>722158.16</v>
      </c>
      <c r="P976">
        <v>16.823052937718401</v>
      </c>
      <c r="Q976">
        <v>4223</v>
      </c>
      <c r="R976">
        <v>14.2150262555541</v>
      </c>
      <c r="S976">
        <v>145.64268766279901</v>
      </c>
      <c r="T976">
        <v>615049.06999999995</v>
      </c>
      <c r="U976">
        <v>14.3278905328779</v>
      </c>
      <c r="V976">
        <v>75</v>
      </c>
      <c r="W976">
        <v>14.5348837209302</v>
      </c>
    </row>
    <row r="977" spans="1:23" hidden="1" x14ac:dyDescent="0.25">
      <c r="A977" t="s">
        <v>181</v>
      </c>
      <c r="B977">
        <v>3</v>
      </c>
      <c r="C977">
        <v>2025</v>
      </c>
      <c r="D977" t="s">
        <v>92</v>
      </c>
      <c r="E977" t="s">
        <v>93</v>
      </c>
      <c r="F977">
        <v>3250</v>
      </c>
      <c r="G977">
        <v>469639.5</v>
      </c>
      <c r="H977">
        <v>3250</v>
      </c>
      <c r="I977">
        <v>5.4699070957317897</v>
      </c>
      <c r="J977">
        <v>469639.5</v>
      </c>
      <c r="K977">
        <v>5.4702491834639204</v>
      </c>
      <c r="L977">
        <v>3250</v>
      </c>
      <c r="M977">
        <v>10.939814191463601</v>
      </c>
      <c r="N977">
        <v>144.50446153846201</v>
      </c>
      <c r="O977">
        <v>469639.5</v>
      </c>
      <c r="P977">
        <v>10.9404983669278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10</v>
      </c>
      <c r="W977">
        <v>1.93798449612403</v>
      </c>
    </row>
    <row r="978" spans="1:23" hidden="1" x14ac:dyDescent="0.25">
      <c r="A978" t="s">
        <v>181</v>
      </c>
      <c r="B978">
        <v>3</v>
      </c>
      <c r="C978">
        <v>2025</v>
      </c>
      <c r="D978" t="s">
        <v>94</v>
      </c>
      <c r="E978" t="s">
        <v>95</v>
      </c>
      <c r="F978">
        <v>-5401</v>
      </c>
      <c r="G978">
        <v>-778852.25</v>
      </c>
      <c r="H978">
        <v>7911</v>
      </c>
      <c r="I978">
        <v>13.314595395179699</v>
      </c>
      <c r="J978">
        <v>1140281.19</v>
      </c>
      <c r="K978">
        <v>13.2817240639187</v>
      </c>
      <c r="L978">
        <v>1255</v>
      </c>
      <c r="M978">
        <v>4.2244513262420904</v>
      </c>
      <c r="N978">
        <v>143.995593625498</v>
      </c>
      <c r="O978">
        <v>180714.47</v>
      </c>
      <c r="P978">
        <v>4.2098383204888599</v>
      </c>
      <c r="Q978">
        <v>6656</v>
      </c>
      <c r="R978">
        <v>22.404739464117402</v>
      </c>
      <c r="S978">
        <v>144.16567307692301</v>
      </c>
      <c r="T978">
        <v>959566.72</v>
      </c>
      <c r="U978">
        <v>22.353609807348601</v>
      </c>
      <c r="V978">
        <v>51</v>
      </c>
      <c r="W978">
        <v>9.8837209302325597</v>
      </c>
    </row>
    <row r="979" spans="1:23" hidden="1" x14ac:dyDescent="0.25">
      <c r="A979" t="s">
        <v>181</v>
      </c>
      <c r="B979">
        <v>3</v>
      </c>
      <c r="C979">
        <v>2025</v>
      </c>
      <c r="D979" t="s">
        <v>102</v>
      </c>
      <c r="E979" t="s">
        <v>103</v>
      </c>
      <c r="F979">
        <v>-903</v>
      </c>
      <c r="G979">
        <v>-129095.64</v>
      </c>
      <c r="H979">
        <v>7043</v>
      </c>
      <c r="I979">
        <v>11.8537094385351</v>
      </c>
      <c r="J979">
        <v>1012014.98</v>
      </c>
      <c r="K979">
        <v>11.787709760355</v>
      </c>
      <c r="L979">
        <v>3070</v>
      </c>
      <c r="M979">
        <v>10.3339167900902</v>
      </c>
      <c r="N979">
        <v>143.79793811074899</v>
      </c>
      <c r="O979">
        <v>441459.67</v>
      </c>
      <c r="P979">
        <v>10.284034453446701</v>
      </c>
      <c r="Q979">
        <v>3973</v>
      </c>
      <c r="R979">
        <v>13.373502086979901</v>
      </c>
      <c r="S979">
        <v>143.608182733451</v>
      </c>
      <c r="T979">
        <v>570555.31000000006</v>
      </c>
      <c r="U979">
        <v>13.291385067263301</v>
      </c>
      <c r="V979">
        <v>60</v>
      </c>
      <c r="W979">
        <v>11.6279069767442</v>
      </c>
    </row>
    <row r="980" spans="1:23" hidden="1" x14ac:dyDescent="0.25">
      <c r="A980" t="s">
        <v>181</v>
      </c>
      <c r="B980">
        <v>3</v>
      </c>
      <c r="C980">
        <v>2025</v>
      </c>
      <c r="D980" t="s">
        <v>104</v>
      </c>
      <c r="E980" t="s">
        <v>105</v>
      </c>
      <c r="F980">
        <v>133</v>
      </c>
      <c r="G980">
        <v>19345.29</v>
      </c>
      <c r="H980">
        <v>245</v>
      </c>
      <c r="I980">
        <v>0.41234684260131899</v>
      </c>
      <c r="J980">
        <v>35605.29</v>
      </c>
      <c r="K980">
        <v>0.41472194853604999</v>
      </c>
      <c r="L980">
        <v>189</v>
      </c>
      <c r="M980">
        <v>0.63619227144203605</v>
      </c>
      <c r="N980">
        <v>145.371904761905</v>
      </c>
      <c r="O980">
        <v>27475.29</v>
      </c>
      <c r="P980">
        <v>0.64005128481711804</v>
      </c>
      <c r="Q980">
        <v>56</v>
      </c>
      <c r="R980">
        <v>0.188501413760603</v>
      </c>
      <c r="S980">
        <v>145.17857142857099</v>
      </c>
      <c r="T980">
        <v>8130</v>
      </c>
      <c r="U980">
        <v>0.189392612254981</v>
      </c>
      <c r="V980">
        <v>13</v>
      </c>
      <c r="W980">
        <v>2.5193798449612399</v>
      </c>
    </row>
    <row r="981" spans="1:23" hidden="1" x14ac:dyDescent="0.25">
      <c r="A981" t="s">
        <v>181</v>
      </c>
      <c r="B981">
        <v>3</v>
      </c>
      <c r="C981">
        <v>2025</v>
      </c>
      <c r="D981" t="s">
        <v>106</v>
      </c>
      <c r="E981" t="s">
        <v>107</v>
      </c>
      <c r="F981">
        <v>-119</v>
      </c>
      <c r="G981">
        <v>-16995.060000000001</v>
      </c>
      <c r="H981">
        <v>207</v>
      </c>
      <c r="I981">
        <v>0.34839100578968601</v>
      </c>
      <c r="J981">
        <v>29868.06</v>
      </c>
      <c r="K981">
        <v>0.34789605820347602</v>
      </c>
      <c r="L981">
        <v>44</v>
      </c>
      <c r="M981">
        <v>0.14810825366904501</v>
      </c>
      <c r="N981">
        <v>146.28409090909099</v>
      </c>
      <c r="O981">
        <v>6436.5</v>
      </c>
      <c r="P981">
        <v>0.149941641916259</v>
      </c>
      <c r="Q981">
        <v>163</v>
      </c>
      <c r="R981">
        <v>0.54867375791032702</v>
      </c>
      <c r="S981">
        <v>143.751901840491</v>
      </c>
      <c r="T981">
        <v>23431.56</v>
      </c>
      <c r="U981">
        <v>0.54585047449069302</v>
      </c>
      <c r="V981">
        <v>9</v>
      </c>
      <c r="W981">
        <v>1.7441860465116299</v>
      </c>
    </row>
    <row r="982" spans="1:23" hidden="1" x14ac:dyDescent="0.25">
      <c r="A982" t="s">
        <v>181</v>
      </c>
      <c r="B982">
        <v>3</v>
      </c>
      <c r="C982">
        <v>2025</v>
      </c>
      <c r="D982" t="s">
        <v>110</v>
      </c>
      <c r="E982" t="s">
        <v>111</v>
      </c>
      <c r="F982">
        <v>45</v>
      </c>
      <c r="G982">
        <v>6530.7</v>
      </c>
      <c r="H982">
        <v>45</v>
      </c>
      <c r="I982">
        <v>7.5737175171670904E-2</v>
      </c>
      <c r="J982">
        <v>6530.7</v>
      </c>
      <c r="K982">
        <v>7.6068040150898297E-2</v>
      </c>
      <c r="L982">
        <v>45</v>
      </c>
      <c r="M982">
        <v>0.151474350343342</v>
      </c>
      <c r="N982">
        <v>145.12666666666701</v>
      </c>
      <c r="O982">
        <v>6530.7</v>
      </c>
      <c r="P982">
        <v>0.15213608030179701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3</v>
      </c>
      <c r="W982">
        <v>0.581395348837209</v>
      </c>
    </row>
    <row r="983" spans="1:23" hidden="1" x14ac:dyDescent="0.25">
      <c r="A983" t="s">
        <v>181</v>
      </c>
      <c r="B983">
        <v>3</v>
      </c>
      <c r="C983">
        <v>2025</v>
      </c>
      <c r="D983" t="s">
        <v>116</v>
      </c>
      <c r="E983" t="s">
        <v>117</v>
      </c>
      <c r="F983">
        <v>-12</v>
      </c>
      <c r="G983">
        <v>-1620.42</v>
      </c>
      <c r="H983">
        <v>40</v>
      </c>
      <c r="I983">
        <v>6.73219334859297E-2</v>
      </c>
      <c r="J983">
        <v>5679.86</v>
      </c>
      <c r="K983">
        <v>6.6157658219100801E-2</v>
      </c>
      <c r="L983">
        <v>14</v>
      </c>
      <c r="M983">
        <v>4.71253534401508E-2</v>
      </c>
      <c r="N983">
        <v>144.97999999999999</v>
      </c>
      <c r="O983">
        <v>2029.72</v>
      </c>
      <c r="P983">
        <v>4.7283391506295298E-2</v>
      </c>
      <c r="Q983">
        <v>26</v>
      </c>
      <c r="R983">
        <v>8.75185135317086E-2</v>
      </c>
      <c r="S983">
        <v>140.38999999999999</v>
      </c>
      <c r="T983">
        <v>3650.14</v>
      </c>
      <c r="U983">
        <v>8.50319249319062E-2</v>
      </c>
      <c r="V983">
        <v>2</v>
      </c>
      <c r="W983">
        <v>0.387596899224806</v>
      </c>
    </row>
    <row r="984" spans="1:23" hidden="1" x14ac:dyDescent="0.25">
      <c r="A984" t="s">
        <v>181</v>
      </c>
      <c r="B984">
        <v>3</v>
      </c>
      <c r="C984">
        <v>2025</v>
      </c>
      <c r="D984" t="s">
        <v>120</v>
      </c>
      <c r="E984" t="s">
        <v>121</v>
      </c>
      <c r="F984">
        <v>-24</v>
      </c>
      <c r="G984">
        <v>-3477.84</v>
      </c>
      <c r="H984">
        <v>24</v>
      </c>
      <c r="I984">
        <v>4.03931600915578E-2</v>
      </c>
      <c r="J984">
        <v>3477.84</v>
      </c>
      <c r="K984">
        <v>4.0509053050729701E-2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24</v>
      </c>
      <c r="R984">
        <v>8.0786320183115698E-2</v>
      </c>
      <c r="S984">
        <v>144.91</v>
      </c>
      <c r="T984">
        <v>3477.84</v>
      </c>
      <c r="U984">
        <v>8.1018106101459306E-2</v>
      </c>
      <c r="V984">
        <v>1</v>
      </c>
      <c r="W984">
        <v>0.193798449612403</v>
      </c>
    </row>
    <row r="985" spans="1:23" hidden="1" x14ac:dyDescent="0.25">
      <c r="A985" t="s">
        <v>181</v>
      </c>
      <c r="B985">
        <v>3</v>
      </c>
      <c r="C985">
        <v>2025</v>
      </c>
      <c r="D985" t="s">
        <v>122</v>
      </c>
      <c r="E985" t="s">
        <v>123</v>
      </c>
      <c r="F985">
        <v>-382</v>
      </c>
      <c r="G985">
        <v>-54635.269999999902</v>
      </c>
      <c r="H985">
        <v>10664</v>
      </c>
      <c r="I985">
        <v>17.948027467348901</v>
      </c>
      <c r="J985">
        <v>1545247.87</v>
      </c>
      <c r="K985">
        <v>17.998679623662099</v>
      </c>
      <c r="L985">
        <v>5141</v>
      </c>
      <c r="M985">
        <v>17.305103002558202</v>
      </c>
      <c r="N985">
        <v>144.973020813071</v>
      </c>
      <c r="O985">
        <v>745306.3</v>
      </c>
      <c r="P985">
        <v>17.362300994722599</v>
      </c>
      <c r="Q985">
        <v>5523</v>
      </c>
      <c r="R985">
        <v>18.5909519321395</v>
      </c>
      <c r="S985">
        <v>144.83823465507899</v>
      </c>
      <c r="T985">
        <v>799941.57</v>
      </c>
      <c r="U985">
        <v>18.635058252601599</v>
      </c>
      <c r="V985">
        <v>81</v>
      </c>
      <c r="W985">
        <v>15.6976744186047</v>
      </c>
    </row>
    <row r="986" spans="1:23" hidden="1" x14ac:dyDescent="0.25">
      <c r="A986" t="s">
        <v>181</v>
      </c>
      <c r="B986">
        <v>3</v>
      </c>
      <c r="C986">
        <v>2025</v>
      </c>
      <c r="D986" t="s">
        <v>130</v>
      </c>
      <c r="E986" t="s">
        <v>131</v>
      </c>
      <c r="F986">
        <v>519</v>
      </c>
      <c r="G986">
        <v>73877.25</v>
      </c>
      <c r="H986">
        <v>675</v>
      </c>
      <c r="I986">
        <v>1.13605762757506</v>
      </c>
      <c r="J986">
        <v>96420.81</v>
      </c>
      <c r="K986">
        <v>1.1230866593875299</v>
      </c>
      <c r="L986">
        <v>597</v>
      </c>
      <c r="M986">
        <v>2.0095597145549999</v>
      </c>
      <c r="N986">
        <v>142.628190954774</v>
      </c>
      <c r="O986">
        <v>85149.03</v>
      </c>
      <c r="P986">
        <v>1.98359129430231</v>
      </c>
      <c r="Q986">
        <v>78</v>
      </c>
      <c r="R986">
        <v>0.26255554059512598</v>
      </c>
      <c r="S986">
        <v>144.51</v>
      </c>
      <c r="T986">
        <v>11271.78</v>
      </c>
      <c r="U986">
        <v>0.26258202447274998</v>
      </c>
      <c r="V986">
        <v>11</v>
      </c>
      <c r="W986">
        <v>2.1317829457364299</v>
      </c>
    </row>
    <row r="987" spans="1:23" hidden="1" x14ac:dyDescent="0.25">
      <c r="A987" t="s">
        <v>181</v>
      </c>
      <c r="B987">
        <v>3</v>
      </c>
      <c r="C987">
        <v>2025</v>
      </c>
      <c r="D987" t="s">
        <v>132</v>
      </c>
      <c r="E987" t="s">
        <v>133</v>
      </c>
      <c r="F987">
        <v>2202</v>
      </c>
      <c r="G987">
        <v>321647.15000000002</v>
      </c>
      <c r="H987">
        <v>2242</v>
      </c>
      <c r="I987">
        <v>3.7733943718863601</v>
      </c>
      <c r="J987">
        <v>327435.78999999998</v>
      </c>
      <c r="K987">
        <v>3.8138941951951701</v>
      </c>
      <c r="L987">
        <v>2222</v>
      </c>
      <c r="M987">
        <v>7.4794668102867901</v>
      </c>
      <c r="N987">
        <v>146.05826732673299</v>
      </c>
      <c r="O987">
        <v>324541.46999999997</v>
      </c>
      <c r="P987">
        <v>7.5603636886065999</v>
      </c>
      <c r="Q987">
        <v>20</v>
      </c>
      <c r="R987">
        <v>6.73219334859297E-2</v>
      </c>
      <c r="S987">
        <v>144.71600000000001</v>
      </c>
      <c r="T987">
        <v>2894.32</v>
      </c>
      <c r="U987">
        <v>6.7424701783743907E-2</v>
      </c>
      <c r="V987">
        <v>22</v>
      </c>
      <c r="W987">
        <v>4.2635658914728696</v>
      </c>
    </row>
    <row r="988" spans="1:23" hidden="1" x14ac:dyDescent="0.25">
      <c r="A988" t="s">
        <v>181</v>
      </c>
      <c r="B988">
        <v>3</v>
      </c>
      <c r="C988">
        <v>2025</v>
      </c>
      <c r="D988" t="s">
        <v>136</v>
      </c>
      <c r="E988" t="s">
        <v>137</v>
      </c>
      <c r="F988">
        <v>67</v>
      </c>
      <c r="G988">
        <v>9812.15</v>
      </c>
      <c r="H988">
        <v>67</v>
      </c>
      <c r="I988">
        <v>0.112764238588932</v>
      </c>
      <c r="J988">
        <v>9812.15</v>
      </c>
      <c r="K988">
        <v>0.114289589196661</v>
      </c>
      <c r="L988">
        <v>67</v>
      </c>
      <c r="M988">
        <v>0.22552847717786501</v>
      </c>
      <c r="N988">
        <v>146.44999999999999</v>
      </c>
      <c r="O988">
        <v>9812.15</v>
      </c>
      <c r="P988">
        <v>0.22857917839332301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1</v>
      </c>
      <c r="W988">
        <v>0.193798449612403</v>
      </c>
    </row>
    <row r="989" spans="1:23" hidden="1" x14ac:dyDescent="0.25">
      <c r="A989" t="s">
        <v>181</v>
      </c>
      <c r="B989">
        <v>3</v>
      </c>
      <c r="C989">
        <v>2025</v>
      </c>
      <c r="D989" t="s">
        <v>142</v>
      </c>
      <c r="E989" t="s">
        <v>143</v>
      </c>
      <c r="F989">
        <v>254</v>
      </c>
      <c r="G989">
        <v>36601.040000000001</v>
      </c>
      <c r="H989">
        <v>586</v>
      </c>
      <c r="I989">
        <v>0.98626632556886995</v>
      </c>
      <c r="J989">
        <v>84738.62</v>
      </c>
      <c r="K989">
        <v>0.98701528909484704</v>
      </c>
      <c r="L989">
        <v>420</v>
      </c>
      <c r="M989">
        <v>1.41376060320452</v>
      </c>
      <c r="N989">
        <v>144.45197619047599</v>
      </c>
      <c r="O989">
        <v>60669.83</v>
      </c>
      <c r="P989">
        <v>1.41333549677314</v>
      </c>
      <c r="Q989">
        <v>166</v>
      </c>
      <c r="R989">
        <v>0.558772047933217</v>
      </c>
      <c r="S989">
        <v>144.992710843373</v>
      </c>
      <c r="T989">
        <v>24068.79</v>
      </c>
      <c r="U989">
        <v>0.560695081416553</v>
      </c>
      <c r="V989">
        <v>18</v>
      </c>
      <c r="W989">
        <v>3.4883720930232598</v>
      </c>
    </row>
    <row r="990" spans="1:23" x14ac:dyDescent="0.25">
      <c r="A990" t="s">
        <v>181</v>
      </c>
      <c r="B990">
        <v>3</v>
      </c>
      <c r="C990">
        <v>2025</v>
      </c>
      <c r="D990" t="s">
        <v>148</v>
      </c>
      <c r="E990" t="s">
        <v>148</v>
      </c>
      <c r="F990">
        <v>0</v>
      </c>
      <c r="G990" s="4">
        <v>-2.4078872229438301E-10</v>
      </c>
      <c r="H990">
        <v>59416</v>
      </c>
      <c r="I990">
        <v>0</v>
      </c>
      <c r="J990">
        <v>8585340.1600000001</v>
      </c>
      <c r="K990">
        <v>0</v>
      </c>
      <c r="L990">
        <v>29708</v>
      </c>
      <c r="M990">
        <v>100</v>
      </c>
      <c r="N990">
        <v>144.50446153846201</v>
      </c>
      <c r="O990">
        <v>4292670.08</v>
      </c>
      <c r="P990">
        <v>100</v>
      </c>
      <c r="Q990">
        <v>29708</v>
      </c>
      <c r="R990">
        <v>100</v>
      </c>
      <c r="S990">
        <v>144.44999999999999</v>
      </c>
      <c r="T990">
        <v>4292670.08</v>
      </c>
      <c r="U990">
        <v>100</v>
      </c>
      <c r="V990">
        <v>516</v>
      </c>
      <c r="W990">
        <v>100</v>
      </c>
    </row>
    <row r="991" spans="1:23" hidden="1" x14ac:dyDescent="0.25">
      <c r="A991" t="s">
        <v>181</v>
      </c>
      <c r="B991">
        <v>3</v>
      </c>
      <c r="C991">
        <v>2025</v>
      </c>
      <c r="D991" t="s">
        <v>149</v>
      </c>
      <c r="E991" t="s">
        <v>150</v>
      </c>
      <c r="F991">
        <v>20</v>
      </c>
      <c r="G991">
        <v>2982</v>
      </c>
      <c r="H991">
        <v>520</v>
      </c>
      <c r="I991">
        <v>0.87518513531708597</v>
      </c>
      <c r="J991">
        <v>73702</v>
      </c>
      <c r="K991">
        <v>0.85846336460126904</v>
      </c>
      <c r="L991">
        <v>270</v>
      </c>
      <c r="M991">
        <v>0.90884610206005101</v>
      </c>
      <c r="N991">
        <v>142.00740740740699</v>
      </c>
      <c r="O991">
        <v>38342</v>
      </c>
      <c r="P991">
        <v>0.89319699127681396</v>
      </c>
      <c r="Q991">
        <v>250</v>
      </c>
      <c r="R991">
        <v>0.84152416857412105</v>
      </c>
      <c r="S991">
        <v>141.44</v>
      </c>
      <c r="T991">
        <v>35360</v>
      </c>
      <c r="U991">
        <v>0.82372973792572501</v>
      </c>
      <c r="V991">
        <v>8</v>
      </c>
      <c r="W991">
        <v>1.55038759689922</v>
      </c>
    </row>
    <row r="992" spans="1:23" hidden="1" x14ac:dyDescent="0.25">
      <c r="A992" t="s">
        <v>181</v>
      </c>
      <c r="B992">
        <v>3</v>
      </c>
      <c r="C992">
        <v>2025</v>
      </c>
      <c r="D992" t="s">
        <v>151</v>
      </c>
      <c r="E992" t="s">
        <v>152</v>
      </c>
      <c r="F992">
        <v>-398</v>
      </c>
      <c r="G992">
        <v>-57536.6000000001</v>
      </c>
      <c r="H992">
        <v>16502</v>
      </c>
      <c r="I992">
        <v>27.773663659620301</v>
      </c>
      <c r="J992">
        <v>2384119.36</v>
      </c>
      <c r="K992">
        <v>27.7696551979136</v>
      </c>
      <c r="L992">
        <v>8052</v>
      </c>
      <c r="M992">
        <v>27.103810421435298</v>
      </c>
      <c r="N992">
        <v>144.47235221063099</v>
      </c>
      <c r="O992">
        <v>1163291.3799999999</v>
      </c>
      <c r="P992">
        <v>27.0994825672696</v>
      </c>
      <c r="Q992">
        <v>8450</v>
      </c>
      <c r="R992">
        <v>28.443516897805299</v>
      </c>
      <c r="S992">
        <v>144.47668402366901</v>
      </c>
      <c r="T992">
        <v>1220827.98</v>
      </c>
      <c r="U992">
        <v>28.439827828557501</v>
      </c>
      <c r="V992">
        <v>146</v>
      </c>
      <c r="W992">
        <v>28.294573643410899</v>
      </c>
    </row>
    <row r="993" spans="1:23" hidden="1" x14ac:dyDescent="0.25">
      <c r="A993" t="s">
        <v>181</v>
      </c>
      <c r="B993">
        <v>4</v>
      </c>
      <c r="C993">
        <v>2025</v>
      </c>
      <c r="D993" t="s">
        <v>88</v>
      </c>
      <c r="E993" t="s">
        <v>89</v>
      </c>
      <c r="F993">
        <v>-500</v>
      </c>
      <c r="G993">
        <v>-69361.279999999999</v>
      </c>
      <c r="H993">
        <v>2140</v>
      </c>
      <c r="I993">
        <v>2.5996112730806602</v>
      </c>
      <c r="J993">
        <v>300558.32</v>
      </c>
      <c r="K993">
        <v>2.5684532947931502</v>
      </c>
      <c r="L993">
        <v>820</v>
      </c>
      <c r="M993">
        <v>1.99222546161322</v>
      </c>
      <c r="N993">
        <v>140.97380487804901</v>
      </c>
      <c r="O993">
        <v>115598.52</v>
      </c>
      <c r="P993">
        <v>1.9757190522439101</v>
      </c>
      <c r="Q993">
        <v>1320</v>
      </c>
      <c r="R993">
        <v>3.2069970845481</v>
      </c>
      <c r="S993">
        <v>140.12106060606101</v>
      </c>
      <c r="T993">
        <v>184959.8</v>
      </c>
      <c r="U993">
        <v>3.1611875373423799</v>
      </c>
      <c r="V993">
        <v>37</v>
      </c>
      <c r="W993">
        <v>4.1019955654102001</v>
      </c>
    </row>
    <row r="994" spans="1:23" hidden="1" x14ac:dyDescent="0.25">
      <c r="A994" t="s">
        <v>181</v>
      </c>
      <c r="B994">
        <v>4</v>
      </c>
      <c r="C994">
        <v>2025</v>
      </c>
      <c r="D994" t="s">
        <v>90</v>
      </c>
      <c r="E994" t="s">
        <v>91</v>
      </c>
      <c r="F994">
        <v>-1508</v>
      </c>
      <c r="G994">
        <v>-209708.01</v>
      </c>
      <c r="H994">
        <v>3840</v>
      </c>
      <c r="I994">
        <v>4.6647230320699702</v>
      </c>
      <c r="J994">
        <v>543450.03</v>
      </c>
      <c r="K994">
        <v>4.6441104012989403</v>
      </c>
      <c r="L994">
        <v>1166</v>
      </c>
      <c r="M994">
        <v>2.83284742468416</v>
      </c>
      <c r="N994">
        <v>143.11407375643199</v>
      </c>
      <c r="O994">
        <v>166871.01</v>
      </c>
      <c r="P994">
        <v>2.8520281550679401</v>
      </c>
      <c r="Q994">
        <v>2674</v>
      </c>
      <c r="R994">
        <v>6.4965986394557804</v>
      </c>
      <c r="S994">
        <v>140.82985041136899</v>
      </c>
      <c r="T994">
        <v>376579.02</v>
      </c>
      <c r="U994">
        <v>6.4361926475299303</v>
      </c>
      <c r="V994">
        <v>38</v>
      </c>
      <c r="W994">
        <v>4.2128603104212896</v>
      </c>
    </row>
    <row r="995" spans="1:23" hidden="1" x14ac:dyDescent="0.25">
      <c r="A995" t="s">
        <v>181</v>
      </c>
      <c r="B995">
        <v>4</v>
      </c>
      <c r="C995">
        <v>2025</v>
      </c>
      <c r="D995" t="s">
        <v>92</v>
      </c>
      <c r="E995" t="s">
        <v>93</v>
      </c>
      <c r="F995">
        <v>-1250</v>
      </c>
      <c r="G995">
        <v>-185540.32</v>
      </c>
      <c r="H995">
        <v>5250</v>
      </c>
      <c r="I995">
        <v>6.37755102040816</v>
      </c>
      <c r="J995">
        <v>749540.32</v>
      </c>
      <c r="K995">
        <v>6.40527703403556</v>
      </c>
      <c r="L995">
        <v>2000</v>
      </c>
      <c r="M995">
        <v>4.85908649173955</v>
      </c>
      <c r="N995">
        <v>141</v>
      </c>
      <c r="O995">
        <v>282000</v>
      </c>
      <c r="P995">
        <v>4.8197223695665299</v>
      </c>
      <c r="Q995">
        <v>3250</v>
      </c>
      <c r="R995">
        <v>7.8960155490767701</v>
      </c>
      <c r="S995">
        <v>143.85856000000001</v>
      </c>
      <c r="T995">
        <v>467540.32</v>
      </c>
      <c r="U995">
        <v>7.9908316985045804</v>
      </c>
      <c r="V995">
        <v>21</v>
      </c>
      <c r="W995">
        <v>2.3281596452328199</v>
      </c>
    </row>
    <row r="996" spans="1:23" hidden="1" x14ac:dyDescent="0.25">
      <c r="A996" t="s">
        <v>181</v>
      </c>
      <c r="B996">
        <v>4</v>
      </c>
      <c r="C996">
        <v>2025</v>
      </c>
      <c r="D996" t="s">
        <v>94</v>
      </c>
      <c r="E996" t="s">
        <v>95</v>
      </c>
      <c r="F996">
        <v>-5576</v>
      </c>
      <c r="G996">
        <v>-796338.61</v>
      </c>
      <c r="H996">
        <v>16814</v>
      </c>
      <c r="I996">
        <v>20.425170068027199</v>
      </c>
      <c r="J996">
        <v>2397681.33</v>
      </c>
      <c r="K996">
        <v>20.489642449101101</v>
      </c>
      <c r="L996">
        <v>5619</v>
      </c>
      <c r="M996">
        <v>13.6516034985423</v>
      </c>
      <c r="N996">
        <v>142.49356825057799</v>
      </c>
      <c r="O996">
        <v>800671.36</v>
      </c>
      <c r="P996">
        <v>13.684445618664</v>
      </c>
      <c r="Q996">
        <v>11195</v>
      </c>
      <c r="R996">
        <v>27.198736637512098</v>
      </c>
      <c r="S996">
        <v>142.65386065207699</v>
      </c>
      <c r="T996">
        <v>1597009.97</v>
      </c>
      <c r="U996">
        <v>27.294839279538198</v>
      </c>
      <c r="V996">
        <v>128</v>
      </c>
      <c r="W996">
        <v>14.1906873614191</v>
      </c>
    </row>
    <row r="997" spans="1:23" hidden="1" x14ac:dyDescent="0.25">
      <c r="A997" t="s">
        <v>181</v>
      </c>
      <c r="B997">
        <v>4</v>
      </c>
      <c r="C997">
        <v>2025</v>
      </c>
      <c r="D997" t="s">
        <v>102</v>
      </c>
      <c r="E997" t="s">
        <v>103</v>
      </c>
      <c r="F997">
        <v>2804</v>
      </c>
      <c r="G997">
        <v>396166.34</v>
      </c>
      <c r="H997">
        <v>6942</v>
      </c>
      <c r="I997">
        <v>8.4329446064139901</v>
      </c>
      <c r="J997">
        <v>980164.46</v>
      </c>
      <c r="K997">
        <v>8.3761003080072598</v>
      </c>
      <c r="L997">
        <v>4873</v>
      </c>
      <c r="M997">
        <v>11.8391642371234</v>
      </c>
      <c r="N997">
        <v>141.220069772214</v>
      </c>
      <c r="O997">
        <v>688165.4</v>
      </c>
      <c r="P997">
        <v>11.7615821714245</v>
      </c>
      <c r="Q997">
        <v>2069</v>
      </c>
      <c r="R997">
        <v>5.0267249757045702</v>
      </c>
      <c r="S997">
        <v>141.13052682455299</v>
      </c>
      <c r="T997">
        <v>291999.06</v>
      </c>
      <c r="U997">
        <v>4.9906184445900603</v>
      </c>
      <c r="V997">
        <v>125</v>
      </c>
      <c r="W997">
        <v>13.8580931263858</v>
      </c>
    </row>
    <row r="998" spans="1:23" hidden="1" x14ac:dyDescent="0.25">
      <c r="A998" t="s">
        <v>181</v>
      </c>
      <c r="B998">
        <v>4</v>
      </c>
      <c r="C998">
        <v>2025</v>
      </c>
      <c r="D998" t="s">
        <v>104</v>
      </c>
      <c r="E998" t="s">
        <v>105</v>
      </c>
      <c r="F998">
        <v>-443</v>
      </c>
      <c r="G998">
        <v>-62311.360000000001</v>
      </c>
      <c r="H998">
        <v>1101</v>
      </c>
      <c r="I998">
        <v>1.33746355685131</v>
      </c>
      <c r="J998">
        <v>154567.88</v>
      </c>
      <c r="K998">
        <v>1.32087636321361</v>
      </c>
      <c r="L998">
        <v>329</v>
      </c>
      <c r="M998">
        <v>0.79931972789115602</v>
      </c>
      <c r="N998">
        <v>140.20747720364699</v>
      </c>
      <c r="O998">
        <v>46128.26</v>
      </c>
      <c r="P998">
        <v>0.78838796663539301</v>
      </c>
      <c r="Q998">
        <v>772</v>
      </c>
      <c r="R998">
        <v>1.8756073858114699</v>
      </c>
      <c r="S998">
        <v>140.46582901554399</v>
      </c>
      <c r="T998">
        <v>108439.62</v>
      </c>
      <c r="U998">
        <v>1.8533647597918199</v>
      </c>
      <c r="V998">
        <v>42</v>
      </c>
      <c r="W998">
        <v>4.6563192904656301</v>
      </c>
    </row>
    <row r="999" spans="1:23" hidden="1" x14ac:dyDescent="0.25">
      <c r="A999" t="s">
        <v>181</v>
      </c>
      <c r="B999">
        <v>4</v>
      </c>
      <c r="C999">
        <v>2025</v>
      </c>
      <c r="D999" t="s">
        <v>106</v>
      </c>
      <c r="E999" t="s">
        <v>107</v>
      </c>
      <c r="F999">
        <v>313</v>
      </c>
      <c r="G999">
        <v>43790.86</v>
      </c>
      <c r="H999">
        <v>957</v>
      </c>
      <c r="I999">
        <v>1.16253644314869</v>
      </c>
      <c r="J999">
        <v>134644.22</v>
      </c>
      <c r="K999">
        <v>1.1506165940901401</v>
      </c>
      <c r="L999">
        <v>635</v>
      </c>
      <c r="M999">
        <v>1.54275996112731</v>
      </c>
      <c r="N999">
        <v>140.500062992126</v>
      </c>
      <c r="O999">
        <v>89217.54</v>
      </c>
      <c r="P999">
        <v>1.5248360755166499</v>
      </c>
      <c r="Q999">
        <v>322</v>
      </c>
      <c r="R999">
        <v>0.78231292517006801</v>
      </c>
      <c r="S999">
        <v>141.07664596273301</v>
      </c>
      <c r="T999">
        <v>45426.68</v>
      </c>
      <c r="U999">
        <v>0.77639711266361799</v>
      </c>
      <c r="V999">
        <v>13</v>
      </c>
      <c r="W999">
        <v>1.4412416851441201</v>
      </c>
    </row>
    <row r="1000" spans="1:23" hidden="1" x14ac:dyDescent="0.25">
      <c r="A1000" t="s">
        <v>181</v>
      </c>
      <c r="B1000">
        <v>4</v>
      </c>
      <c r="C1000">
        <v>2025</v>
      </c>
      <c r="D1000" t="s">
        <v>110</v>
      </c>
      <c r="E1000" t="s">
        <v>111</v>
      </c>
      <c r="F1000">
        <v>29</v>
      </c>
      <c r="G1000">
        <v>5222.33</v>
      </c>
      <c r="H1000">
        <v>405</v>
      </c>
      <c r="I1000">
        <v>0.49198250728863002</v>
      </c>
      <c r="J1000">
        <v>58269.41</v>
      </c>
      <c r="K1000">
        <v>0.49794748021000601</v>
      </c>
      <c r="L1000">
        <v>217</v>
      </c>
      <c r="M1000">
        <v>0.52721088435374097</v>
      </c>
      <c r="N1000">
        <v>146.294331797235</v>
      </c>
      <c r="O1000">
        <v>31745.87</v>
      </c>
      <c r="P1000">
        <v>0.54257546021401004</v>
      </c>
      <c r="Q1000">
        <v>188</v>
      </c>
      <c r="R1000">
        <v>0.45675413022351802</v>
      </c>
      <c r="S1000">
        <v>141.08265957446801</v>
      </c>
      <c r="T1000">
        <v>26523.54</v>
      </c>
      <c r="U1000">
        <v>0.45331950020600198</v>
      </c>
      <c r="V1000">
        <v>11</v>
      </c>
      <c r="W1000">
        <v>1.2195121951219501</v>
      </c>
    </row>
    <row r="1001" spans="1:23" hidden="1" x14ac:dyDescent="0.25">
      <c r="A1001" t="s">
        <v>181</v>
      </c>
      <c r="B1001">
        <v>4</v>
      </c>
      <c r="C1001">
        <v>2025</v>
      </c>
      <c r="D1001" t="s">
        <v>116</v>
      </c>
      <c r="E1001" t="s">
        <v>117</v>
      </c>
      <c r="F1001">
        <v>42</v>
      </c>
      <c r="G1001">
        <v>5930.24</v>
      </c>
      <c r="H1001">
        <v>46</v>
      </c>
      <c r="I1001">
        <v>5.5879494655004899E-2</v>
      </c>
      <c r="J1001">
        <v>6486.56</v>
      </c>
      <c r="K1001">
        <v>5.5431592789956498E-2</v>
      </c>
      <c r="L1001">
        <v>44</v>
      </c>
      <c r="M1001">
        <v>0.10689990281827</v>
      </c>
      <c r="N1001">
        <v>141.1</v>
      </c>
      <c r="O1001">
        <v>6208.4</v>
      </c>
      <c r="P1001">
        <v>0.1061090934724</v>
      </c>
      <c r="Q1001">
        <v>2</v>
      </c>
      <c r="R1001">
        <v>4.8590864917395504E-3</v>
      </c>
      <c r="S1001">
        <v>139.08000000000001</v>
      </c>
      <c r="T1001">
        <v>278.16000000000003</v>
      </c>
      <c r="U1001">
        <v>4.7540921075128603E-3</v>
      </c>
      <c r="V1001">
        <v>3</v>
      </c>
      <c r="W1001">
        <v>0.33259423503325902</v>
      </c>
    </row>
    <row r="1002" spans="1:23" hidden="1" x14ac:dyDescent="0.25">
      <c r="A1002" t="s">
        <v>181</v>
      </c>
      <c r="B1002">
        <v>4</v>
      </c>
      <c r="C1002">
        <v>2025</v>
      </c>
      <c r="D1002" t="s">
        <v>122</v>
      </c>
      <c r="E1002" t="s">
        <v>123</v>
      </c>
      <c r="F1002">
        <v>818</v>
      </c>
      <c r="G1002">
        <v>116029.52</v>
      </c>
      <c r="H1002">
        <v>13896</v>
      </c>
      <c r="I1002">
        <v>16.880466472303201</v>
      </c>
      <c r="J1002">
        <v>1977608.56</v>
      </c>
      <c r="K1002">
        <v>16.899865629216801</v>
      </c>
      <c r="L1002">
        <v>7357</v>
      </c>
      <c r="M1002">
        <v>17.8741496598639</v>
      </c>
      <c r="N1002">
        <v>142.28884599700999</v>
      </c>
      <c r="O1002">
        <v>1046819.04</v>
      </c>
      <c r="P1002">
        <v>17.891408311972199</v>
      </c>
      <c r="Q1002">
        <v>6539</v>
      </c>
      <c r="R1002">
        <v>15.886783284742499</v>
      </c>
      <c r="S1002">
        <v>142.34432176173701</v>
      </c>
      <c r="T1002">
        <v>930789.52</v>
      </c>
      <c r="U1002">
        <v>15.908322946461301</v>
      </c>
      <c r="V1002">
        <v>136</v>
      </c>
      <c r="W1002">
        <v>15.0776053215078</v>
      </c>
    </row>
    <row r="1003" spans="1:23" hidden="1" x14ac:dyDescent="0.25">
      <c r="A1003" t="s">
        <v>181</v>
      </c>
      <c r="B1003">
        <v>4</v>
      </c>
      <c r="C1003">
        <v>2025</v>
      </c>
      <c r="D1003" t="s">
        <v>130</v>
      </c>
      <c r="E1003" t="s">
        <v>131</v>
      </c>
      <c r="F1003">
        <v>826</v>
      </c>
      <c r="G1003">
        <v>115919.78</v>
      </c>
      <c r="H1003">
        <v>1262</v>
      </c>
      <c r="I1003">
        <v>1.5330417881438301</v>
      </c>
      <c r="J1003">
        <v>178428.58</v>
      </c>
      <c r="K1003">
        <v>1.52478052907091</v>
      </c>
      <c r="L1003">
        <v>1044</v>
      </c>
      <c r="M1003">
        <v>2.5364431486880501</v>
      </c>
      <c r="N1003">
        <v>140.97143678160899</v>
      </c>
      <c r="O1003">
        <v>147174.18</v>
      </c>
      <c r="P1003">
        <v>2.5153854169099699</v>
      </c>
      <c r="Q1003">
        <v>218</v>
      </c>
      <c r="R1003">
        <v>0.52964042759961105</v>
      </c>
      <c r="S1003">
        <v>143.36880733945</v>
      </c>
      <c r="T1003">
        <v>31254.400000000001</v>
      </c>
      <c r="U1003">
        <v>0.53417564123184402</v>
      </c>
      <c r="V1003">
        <v>19</v>
      </c>
      <c r="W1003">
        <v>2.1064301552106399</v>
      </c>
    </row>
    <row r="1004" spans="1:23" hidden="1" x14ac:dyDescent="0.25">
      <c r="A1004" t="s">
        <v>181</v>
      </c>
      <c r="B1004">
        <v>4</v>
      </c>
      <c r="C1004">
        <v>2025</v>
      </c>
      <c r="D1004" t="s">
        <v>132</v>
      </c>
      <c r="E1004" t="s">
        <v>133</v>
      </c>
      <c r="F1004">
        <v>3468</v>
      </c>
      <c r="G1004">
        <v>496342.53</v>
      </c>
      <c r="H1004">
        <v>4136</v>
      </c>
      <c r="I1004">
        <v>5.0242954324587004</v>
      </c>
      <c r="J1004">
        <v>592580.91</v>
      </c>
      <c r="K1004">
        <v>5.0639635952217903</v>
      </c>
      <c r="L1004">
        <v>3802</v>
      </c>
      <c r="M1004">
        <v>9.2371234207968893</v>
      </c>
      <c r="N1004">
        <v>143.20402945818</v>
      </c>
      <c r="O1004">
        <v>544461.72</v>
      </c>
      <c r="P1004">
        <v>9.3055118129669108</v>
      </c>
      <c r="Q1004">
        <v>334</v>
      </c>
      <c r="R1004">
        <v>0.81146744412050498</v>
      </c>
      <c r="S1004">
        <v>144.06943113772499</v>
      </c>
      <c r="T1004">
        <v>48119.19</v>
      </c>
      <c r="U1004">
        <v>0.82241537747667404</v>
      </c>
      <c r="V1004">
        <v>41</v>
      </c>
      <c r="W1004">
        <v>4.5454545454545503</v>
      </c>
    </row>
    <row r="1005" spans="1:23" hidden="1" x14ac:dyDescent="0.25">
      <c r="A1005" t="s">
        <v>181</v>
      </c>
      <c r="B1005">
        <v>4</v>
      </c>
      <c r="C1005">
        <v>2025</v>
      </c>
      <c r="D1005" t="s">
        <v>134</v>
      </c>
      <c r="E1005" t="s">
        <v>135</v>
      </c>
      <c r="F1005">
        <v>580</v>
      </c>
      <c r="G1005">
        <v>80863.600000000006</v>
      </c>
      <c r="H1005">
        <v>580</v>
      </c>
      <c r="I1005">
        <v>0.70456754130223498</v>
      </c>
      <c r="J1005">
        <v>80863.600000000006</v>
      </c>
      <c r="K1005">
        <v>0.69102854929730495</v>
      </c>
      <c r="L1005">
        <v>580</v>
      </c>
      <c r="M1005">
        <v>1.40913508260447</v>
      </c>
      <c r="N1005">
        <v>139.41999999999999</v>
      </c>
      <c r="O1005">
        <v>80863.600000000006</v>
      </c>
      <c r="P1005">
        <v>1.3820570985946099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2</v>
      </c>
      <c r="W1005">
        <v>0.22172949002217299</v>
      </c>
    </row>
    <row r="1006" spans="1:23" hidden="1" x14ac:dyDescent="0.25">
      <c r="A1006" t="s">
        <v>181</v>
      </c>
      <c r="B1006">
        <v>4</v>
      </c>
      <c r="C1006">
        <v>2025</v>
      </c>
      <c r="D1006" t="s">
        <v>136</v>
      </c>
      <c r="E1006" t="s">
        <v>137</v>
      </c>
      <c r="F1006">
        <v>-26</v>
      </c>
      <c r="G1006">
        <v>-4184.3</v>
      </c>
      <c r="H1006">
        <v>414</v>
      </c>
      <c r="I1006">
        <v>0.50291545189504405</v>
      </c>
      <c r="J1006">
        <v>58212.1</v>
      </c>
      <c r="K1006">
        <v>0.49745773147064498</v>
      </c>
      <c r="L1006">
        <v>194</v>
      </c>
      <c r="M1006">
        <v>0.471331389698737</v>
      </c>
      <c r="N1006">
        <v>139.246907216495</v>
      </c>
      <c r="O1006">
        <v>27013.9</v>
      </c>
      <c r="P1006">
        <v>0.46170034794054299</v>
      </c>
      <c r="Q1006">
        <v>220</v>
      </c>
      <c r="R1006">
        <v>0.53449951409135099</v>
      </c>
      <c r="S1006">
        <v>141.81</v>
      </c>
      <c r="T1006">
        <v>31198.2</v>
      </c>
      <c r="U1006">
        <v>0.53321511500074603</v>
      </c>
      <c r="V1006">
        <v>5</v>
      </c>
      <c r="W1006">
        <v>0.55432372505543204</v>
      </c>
    </row>
    <row r="1007" spans="1:23" hidden="1" x14ac:dyDescent="0.25">
      <c r="A1007" t="s">
        <v>181</v>
      </c>
      <c r="B1007">
        <v>4</v>
      </c>
      <c r="C1007">
        <v>2025</v>
      </c>
      <c r="D1007" t="s">
        <v>138</v>
      </c>
      <c r="E1007" t="s">
        <v>139</v>
      </c>
      <c r="F1007">
        <v>1608</v>
      </c>
      <c r="G1007">
        <v>239743</v>
      </c>
      <c r="H1007">
        <v>2392</v>
      </c>
      <c r="I1007">
        <v>2.9057337220602499</v>
      </c>
      <c r="J1007">
        <v>349878.04</v>
      </c>
      <c r="K1007">
        <v>2.9899202411490999</v>
      </c>
      <c r="L1007">
        <v>2000</v>
      </c>
      <c r="M1007">
        <v>4.85908649173955</v>
      </c>
      <c r="N1007">
        <v>147.40526</v>
      </c>
      <c r="O1007">
        <v>294810.52</v>
      </c>
      <c r="P1007">
        <v>5.0386697093175199</v>
      </c>
      <c r="Q1007">
        <v>392</v>
      </c>
      <c r="R1007">
        <v>0.952380952380952</v>
      </c>
      <c r="S1007">
        <v>140.478367346939</v>
      </c>
      <c r="T1007">
        <v>55067.519999999997</v>
      </c>
      <c r="U1007">
        <v>0.94117077298068097</v>
      </c>
      <c r="V1007">
        <v>7</v>
      </c>
      <c r="W1007">
        <v>0.77605321507760505</v>
      </c>
    </row>
    <row r="1008" spans="1:23" hidden="1" x14ac:dyDescent="0.25">
      <c r="A1008" t="s">
        <v>181</v>
      </c>
      <c r="B1008">
        <v>4</v>
      </c>
      <c r="C1008">
        <v>2025</v>
      </c>
      <c r="D1008" t="s">
        <v>142</v>
      </c>
      <c r="E1008" t="s">
        <v>143</v>
      </c>
      <c r="F1008">
        <v>-46</v>
      </c>
      <c r="G1008">
        <v>-6577.4200000000101</v>
      </c>
      <c r="H1008">
        <v>466</v>
      </c>
      <c r="I1008">
        <v>0.56608357628765804</v>
      </c>
      <c r="J1008">
        <v>65992.3</v>
      </c>
      <c r="K1008">
        <v>0.56394426334954795</v>
      </c>
      <c r="L1008">
        <v>210</v>
      </c>
      <c r="M1008">
        <v>0.51020408163265296</v>
      </c>
      <c r="N1008">
        <v>141.464</v>
      </c>
      <c r="O1008">
        <v>29707.439999999999</v>
      </c>
      <c r="P1008">
        <v>0.50773621670409697</v>
      </c>
      <c r="Q1008">
        <v>256</v>
      </c>
      <c r="R1008">
        <v>0.62196307094266301</v>
      </c>
      <c r="S1008">
        <v>141.737734375</v>
      </c>
      <c r="T1008">
        <v>36284.86</v>
      </c>
      <c r="U1008">
        <v>0.62015230999499904</v>
      </c>
      <c r="V1008">
        <v>30</v>
      </c>
      <c r="W1008">
        <v>3.32594235033259</v>
      </c>
    </row>
    <row r="1009" spans="1:23" hidden="1" x14ac:dyDescent="0.25">
      <c r="A1009" t="s">
        <v>181</v>
      </c>
      <c r="B1009">
        <v>4</v>
      </c>
      <c r="C1009">
        <v>2025</v>
      </c>
      <c r="D1009" t="s">
        <v>146</v>
      </c>
      <c r="E1009" t="s">
        <v>147</v>
      </c>
      <c r="F1009">
        <v>-160</v>
      </c>
      <c r="G1009">
        <v>-21997.18</v>
      </c>
      <c r="H1009">
        <v>540</v>
      </c>
      <c r="I1009">
        <v>0.65597667638484003</v>
      </c>
      <c r="J1009">
        <v>76562.48</v>
      </c>
      <c r="K1009">
        <v>0.654272867952996</v>
      </c>
      <c r="L1009">
        <v>190</v>
      </c>
      <c r="M1009">
        <v>0.46161321671525801</v>
      </c>
      <c r="N1009">
        <v>143.592894736842</v>
      </c>
      <c r="O1009">
        <v>27282.65</v>
      </c>
      <c r="P1009">
        <v>0.46629361172359701</v>
      </c>
      <c r="Q1009">
        <v>350</v>
      </c>
      <c r="R1009">
        <v>0.85034013605442205</v>
      </c>
      <c r="S1009">
        <v>140.799514285714</v>
      </c>
      <c r="T1009">
        <v>49279.83</v>
      </c>
      <c r="U1009">
        <v>0.84225212418239603</v>
      </c>
      <c r="V1009">
        <v>8</v>
      </c>
      <c r="W1009">
        <v>0.88691796008869195</v>
      </c>
    </row>
    <row r="1010" spans="1:23" x14ac:dyDescent="0.25">
      <c r="A1010" t="s">
        <v>181</v>
      </c>
      <c r="B1010">
        <v>4</v>
      </c>
      <c r="C1010">
        <v>2025</v>
      </c>
      <c r="D1010" t="s">
        <v>148</v>
      </c>
      <c r="E1010" t="s">
        <v>148</v>
      </c>
      <c r="F1010">
        <v>0</v>
      </c>
      <c r="G1010" s="4">
        <v>4.15525391872507E-10</v>
      </c>
      <c r="H1010">
        <v>82320</v>
      </c>
      <c r="I1010">
        <v>0</v>
      </c>
      <c r="J1010">
        <v>11701918.84</v>
      </c>
      <c r="K1010">
        <v>0</v>
      </c>
      <c r="L1010">
        <v>41160</v>
      </c>
      <c r="M1010">
        <v>100</v>
      </c>
      <c r="N1010">
        <v>141.16003488610701</v>
      </c>
      <c r="O1010">
        <v>5850959.4199999999</v>
      </c>
      <c r="P1010">
        <v>100</v>
      </c>
      <c r="Q1010">
        <v>41160</v>
      </c>
      <c r="R1010">
        <v>100</v>
      </c>
      <c r="S1010">
        <v>141.10659319951</v>
      </c>
      <c r="T1010">
        <v>5850959.4199999999</v>
      </c>
      <c r="U1010">
        <v>100</v>
      </c>
      <c r="V1010">
        <v>902</v>
      </c>
      <c r="W1010">
        <v>100</v>
      </c>
    </row>
    <row r="1011" spans="1:23" hidden="1" x14ac:dyDescent="0.25">
      <c r="A1011" t="s">
        <v>181</v>
      </c>
      <c r="B1011">
        <v>4</v>
      </c>
      <c r="C1011">
        <v>2025</v>
      </c>
      <c r="D1011" t="s">
        <v>149</v>
      </c>
      <c r="E1011" t="s">
        <v>150</v>
      </c>
      <c r="F1011">
        <v>-115</v>
      </c>
      <c r="G1011">
        <v>-16574.8</v>
      </c>
      <c r="H1011">
        <v>1275</v>
      </c>
      <c r="I1011">
        <v>1.5488338192419799</v>
      </c>
      <c r="J1011">
        <v>180182.8</v>
      </c>
      <c r="K1011">
        <v>1.53977140384952</v>
      </c>
      <c r="L1011">
        <v>580</v>
      </c>
      <c r="M1011">
        <v>1.40913508260447</v>
      </c>
      <c r="N1011">
        <v>141.04137931034501</v>
      </c>
      <c r="O1011">
        <v>81804</v>
      </c>
      <c r="P1011">
        <v>1.39812967631213</v>
      </c>
      <c r="Q1011">
        <v>695</v>
      </c>
      <c r="R1011">
        <v>1.6885325558794899</v>
      </c>
      <c r="S1011">
        <v>141.552230215827</v>
      </c>
      <c r="T1011">
        <v>98378.8</v>
      </c>
      <c r="U1011">
        <v>1.6814131313869201</v>
      </c>
      <c r="V1011">
        <v>11</v>
      </c>
      <c r="W1011">
        <v>1.2195121951219501</v>
      </c>
    </row>
    <row r="1012" spans="1:23" hidden="1" x14ac:dyDescent="0.25">
      <c r="A1012" t="s">
        <v>181</v>
      </c>
      <c r="B1012">
        <v>4</v>
      </c>
      <c r="C1012">
        <v>2025</v>
      </c>
      <c r="D1012" t="s">
        <v>151</v>
      </c>
      <c r="E1012" t="s">
        <v>152</v>
      </c>
      <c r="F1012">
        <v>-869</v>
      </c>
      <c r="G1012">
        <v>-128110.8</v>
      </c>
      <c r="H1012">
        <v>19859</v>
      </c>
      <c r="I1012">
        <v>24.1241496598639</v>
      </c>
      <c r="J1012">
        <v>2815551.06</v>
      </c>
      <c r="K1012">
        <v>24.060592954855899</v>
      </c>
      <c r="L1012">
        <v>9495</v>
      </c>
      <c r="M1012">
        <v>23.068513119533499</v>
      </c>
      <c r="N1012">
        <v>141.518707740916</v>
      </c>
      <c r="O1012">
        <v>1343720.13</v>
      </c>
      <c r="P1012">
        <v>22.965808400701601</v>
      </c>
      <c r="Q1012">
        <v>10364</v>
      </c>
      <c r="R1012">
        <v>25.1797862001944</v>
      </c>
      <c r="S1012">
        <v>142.013791007333</v>
      </c>
      <c r="T1012">
        <v>1471830.93</v>
      </c>
      <c r="U1012">
        <v>25.1553775090103</v>
      </c>
      <c r="V1012">
        <v>222</v>
      </c>
      <c r="W1012">
        <v>24.611973392461199</v>
      </c>
    </row>
    <row r="1013" spans="1:23" hidden="1" x14ac:dyDescent="0.25">
      <c r="A1013" t="s">
        <v>181</v>
      </c>
      <c r="B1013">
        <v>4</v>
      </c>
      <c r="C1013">
        <v>2025</v>
      </c>
      <c r="D1013" t="s">
        <v>153</v>
      </c>
      <c r="E1013" t="s">
        <v>154</v>
      </c>
      <c r="F1013">
        <v>5</v>
      </c>
      <c r="G1013">
        <v>695.88</v>
      </c>
      <c r="H1013">
        <v>5</v>
      </c>
      <c r="I1013">
        <v>6.0738581146744398E-3</v>
      </c>
      <c r="J1013">
        <v>695.88</v>
      </c>
      <c r="K1013">
        <v>5.9467170257694203E-3</v>
      </c>
      <c r="L1013">
        <v>5</v>
      </c>
      <c r="M1013">
        <v>1.21477162293489E-2</v>
      </c>
      <c r="N1013">
        <v>139.17599999999999</v>
      </c>
      <c r="O1013">
        <v>695.88</v>
      </c>
      <c r="P1013">
        <v>1.1893434051538801E-2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3</v>
      </c>
      <c r="W1013">
        <v>0.33259423503325902</v>
      </c>
    </row>
    <row r="1014" spans="1:23" hidden="1" x14ac:dyDescent="0.25">
      <c r="A1014" t="s">
        <v>181</v>
      </c>
      <c r="B1014">
        <v>5</v>
      </c>
      <c r="C1014">
        <v>2025</v>
      </c>
      <c r="D1014" t="s">
        <v>88</v>
      </c>
      <c r="E1014" t="s">
        <v>89</v>
      </c>
      <c r="F1014">
        <v>2306</v>
      </c>
      <c r="G1014">
        <v>359628.28</v>
      </c>
      <c r="H1014">
        <v>3486</v>
      </c>
      <c r="I1014">
        <v>2.6204221540681898</v>
      </c>
      <c r="J1014">
        <v>525728.92000000004</v>
      </c>
      <c r="K1014">
        <v>2.6063593207941702</v>
      </c>
      <c r="L1014">
        <v>2896</v>
      </c>
      <c r="M1014">
        <v>4.35383967767154</v>
      </c>
      <c r="N1014">
        <v>152.858632596685</v>
      </c>
      <c r="O1014">
        <v>442678.6</v>
      </c>
      <c r="P1014">
        <v>4.3892563309095198</v>
      </c>
      <c r="Q1014">
        <v>590</v>
      </c>
      <c r="R1014">
        <v>0.88700463046485101</v>
      </c>
      <c r="S1014">
        <v>140.76325423728801</v>
      </c>
      <c r="T1014">
        <v>83050.320000000007</v>
      </c>
      <c r="U1014">
        <v>0.82346231067881204</v>
      </c>
      <c r="V1014">
        <v>47</v>
      </c>
      <c r="W1014">
        <v>2.44536940686785</v>
      </c>
    </row>
    <row r="1015" spans="1:23" hidden="1" x14ac:dyDescent="0.25">
      <c r="A1015" t="s">
        <v>181</v>
      </c>
      <c r="B1015">
        <v>5</v>
      </c>
      <c r="C1015">
        <v>2025</v>
      </c>
      <c r="D1015" t="s">
        <v>90</v>
      </c>
      <c r="E1015" t="s">
        <v>91</v>
      </c>
      <c r="F1015">
        <v>-5930</v>
      </c>
      <c r="G1015">
        <v>-894655.49</v>
      </c>
      <c r="H1015">
        <v>12016</v>
      </c>
      <c r="I1015">
        <v>9.0324132539539406</v>
      </c>
      <c r="J1015">
        <v>1805678.75</v>
      </c>
      <c r="K1015">
        <v>8.9518522976108308</v>
      </c>
      <c r="L1015">
        <v>3043</v>
      </c>
      <c r="M1015">
        <v>4.5748391364483698</v>
      </c>
      <c r="N1015">
        <v>149.691629970424</v>
      </c>
      <c r="O1015">
        <v>455511.63</v>
      </c>
      <c r="P1015">
        <v>4.5164986646754901</v>
      </c>
      <c r="Q1015">
        <v>8973</v>
      </c>
      <c r="R1015">
        <v>13.489987371459501</v>
      </c>
      <c r="S1015">
        <v>150.46997882536499</v>
      </c>
      <c r="T1015">
        <v>1350167.12</v>
      </c>
      <c r="U1015">
        <v>13.3872059305462</v>
      </c>
      <c r="V1015">
        <v>163</v>
      </c>
      <c r="W1015">
        <v>8.4807492195629592</v>
      </c>
    </row>
    <row r="1016" spans="1:23" hidden="1" x14ac:dyDescent="0.25">
      <c r="A1016" t="s">
        <v>181</v>
      </c>
      <c r="B1016">
        <v>5</v>
      </c>
      <c r="C1016">
        <v>2025</v>
      </c>
      <c r="D1016" t="s">
        <v>92</v>
      </c>
      <c r="E1016" t="s">
        <v>93</v>
      </c>
      <c r="F1016">
        <v>-2000</v>
      </c>
      <c r="G1016">
        <v>-285399.02</v>
      </c>
      <c r="H1016">
        <v>2000</v>
      </c>
      <c r="I1016">
        <v>1.50339767875398</v>
      </c>
      <c r="J1016">
        <v>285399.02</v>
      </c>
      <c r="K1016">
        <v>1.4148972362458601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2000</v>
      </c>
      <c r="R1016">
        <v>3.0067953575079698</v>
      </c>
      <c r="S1016">
        <v>142.69951</v>
      </c>
      <c r="T1016">
        <v>285399.02</v>
      </c>
      <c r="U1016">
        <v>2.8297944724917201</v>
      </c>
      <c r="V1016">
        <v>22</v>
      </c>
      <c r="W1016">
        <v>1.14464099895942</v>
      </c>
    </row>
    <row r="1017" spans="1:23" hidden="1" x14ac:dyDescent="0.25">
      <c r="A1017" t="s">
        <v>181</v>
      </c>
      <c r="B1017">
        <v>5</v>
      </c>
      <c r="C1017">
        <v>2025</v>
      </c>
      <c r="D1017" t="s">
        <v>94</v>
      </c>
      <c r="E1017" t="s">
        <v>95</v>
      </c>
      <c r="F1017">
        <v>-13080</v>
      </c>
      <c r="G1017">
        <v>-2009689.68</v>
      </c>
      <c r="H1017">
        <v>26136</v>
      </c>
      <c r="I1017">
        <v>19.646400865957101</v>
      </c>
      <c r="J1017">
        <v>3960213.8</v>
      </c>
      <c r="K1017">
        <v>19.633198321993898</v>
      </c>
      <c r="L1017">
        <v>6528</v>
      </c>
      <c r="M1017">
        <v>9.8141800469060101</v>
      </c>
      <c r="N1017">
        <v>149.396761642157</v>
      </c>
      <c r="O1017">
        <v>975262.06</v>
      </c>
      <c r="P1017">
        <v>9.6699392542374092</v>
      </c>
      <c r="Q1017">
        <v>19608</v>
      </c>
      <c r="R1017">
        <v>29.4786216850081</v>
      </c>
      <c r="S1017">
        <v>152.23132088943299</v>
      </c>
      <c r="T1017">
        <v>2984951.74</v>
      </c>
      <c r="U1017">
        <v>29.596457389750501</v>
      </c>
      <c r="V1017">
        <v>341</v>
      </c>
      <c r="W1017">
        <v>17.741935483871</v>
      </c>
    </row>
    <row r="1018" spans="1:23" hidden="1" x14ac:dyDescent="0.25">
      <c r="A1018" t="s">
        <v>181</v>
      </c>
      <c r="B1018">
        <v>5</v>
      </c>
      <c r="C1018">
        <v>2025</v>
      </c>
      <c r="D1018" t="s">
        <v>102</v>
      </c>
      <c r="E1018" t="s">
        <v>103</v>
      </c>
      <c r="F1018">
        <v>11052</v>
      </c>
      <c r="G1018">
        <v>1688843.26</v>
      </c>
      <c r="H1018">
        <v>19448</v>
      </c>
      <c r="I1018">
        <v>14.6190390282037</v>
      </c>
      <c r="J1018">
        <v>2941839.98</v>
      </c>
      <c r="K1018">
        <v>14.584497372063799</v>
      </c>
      <c r="L1018">
        <v>15250</v>
      </c>
      <c r="M1018">
        <v>22.926814600998298</v>
      </c>
      <c r="N1018">
        <v>151.82568000000001</v>
      </c>
      <c r="O1018">
        <v>2315341.62</v>
      </c>
      <c r="P1018">
        <v>22.957124793932401</v>
      </c>
      <c r="Q1018">
        <v>4198</v>
      </c>
      <c r="R1018">
        <v>6.31126345540922</v>
      </c>
      <c r="S1018">
        <v>149.23734159123401</v>
      </c>
      <c r="T1018">
        <v>626498.36</v>
      </c>
      <c r="U1018">
        <v>6.2118699501950898</v>
      </c>
      <c r="V1018">
        <v>321</v>
      </c>
      <c r="W1018">
        <v>16.7013527575442</v>
      </c>
    </row>
    <row r="1019" spans="1:23" hidden="1" x14ac:dyDescent="0.25">
      <c r="A1019" t="s">
        <v>181</v>
      </c>
      <c r="B1019">
        <v>5</v>
      </c>
      <c r="C1019">
        <v>2025</v>
      </c>
      <c r="D1019" t="s">
        <v>104</v>
      </c>
      <c r="E1019" t="s">
        <v>105</v>
      </c>
      <c r="F1019">
        <v>1857</v>
      </c>
      <c r="G1019">
        <v>282950.2</v>
      </c>
      <c r="H1019">
        <v>3509</v>
      </c>
      <c r="I1019">
        <v>2.6377112273738601</v>
      </c>
      <c r="J1019">
        <v>538220.6</v>
      </c>
      <c r="K1019">
        <v>2.6682882072636001</v>
      </c>
      <c r="L1019">
        <v>2683</v>
      </c>
      <c r="M1019">
        <v>4.03361597209694</v>
      </c>
      <c r="N1019">
        <v>153.03220275810699</v>
      </c>
      <c r="O1019">
        <v>410585.4</v>
      </c>
      <c r="P1019">
        <v>4.0710451472671503</v>
      </c>
      <c r="Q1019">
        <v>826</v>
      </c>
      <c r="R1019">
        <v>1.24180648265079</v>
      </c>
      <c r="S1019">
        <v>154.52203389830501</v>
      </c>
      <c r="T1019">
        <v>127635.2</v>
      </c>
      <c r="U1019">
        <v>1.2655312672600501</v>
      </c>
      <c r="V1019">
        <v>165</v>
      </c>
      <c r="W1019">
        <v>8.5848074921956297</v>
      </c>
    </row>
    <row r="1020" spans="1:23" hidden="1" x14ac:dyDescent="0.25">
      <c r="A1020" t="s">
        <v>181</v>
      </c>
      <c r="B1020">
        <v>5</v>
      </c>
      <c r="C1020">
        <v>2025</v>
      </c>
      <c r="D1020" t="s">
        <v>106</v>
      </c>
      <c r="E1020" t="s">
        <v>107</v>
      </c>
      <c r="F1020">
        <v>986</v>
      </c>
      <c r="G1020">
        <v>142361.04</v>
      </c>
      <c r="H1020">
        <v>9310</v>
      </c>
      <c r="I1020">
        <v>6.9983161945997896</v>
      </c>
      <c r="J1020">
        <v>1433255.32</v>
      </c>
      <c r="K1020">
        <v>7.1055219149059301</v>
      </c>
      <c r="L1020">
        <v>5148</v>
      </c>
      <c r="M1020">
        <v>7.7394912502255098</v>
      </c>
      <c r="N1020">
        <v>153.031891996892</v>
      </c>
      <c r="O1020">
        <v>787808.18</v>
      </c>
      <c r="P1020">
        <v>7.8112925305341303</v>
      </c>
      <c r="Q1020">
        <v>4162</v>
      </c>
      <c r="R1020">
        <v>6.2571411389740801</v>
      </c>
      <c r="S1020">
        <v>155.081004324844</v>
      </c>
      <c r="T1020">
        <v>645447.14</v>
      </c>
      <c r="U1020">
        <v>6.3997512992777201</v>
      </c>
      <c r="V1020">
        <v>82</v>
      </c>
      <c r="W1020">
        <v>4.2663891779396499</v>
      </c>
    </row>
    <row r="1021" spans="1:23" hidden="1" x14ac:dyDescent="0.25">
      <c r="A1021" t="s">
        <v>181</v>
      </c>
      <c r="B1021">
        <v>5</v>
      </c>
      <c r="C1021">
        <v>2025</v>
      </c>
      <c r="D1021" t="s">
        <v>110</v>
      </c>
      <c r="E1021" t="s">
        <v>111</v>
      </c>
      <c r="F1021">
        <v>812</v>
      </c>
      <c r="G1021">
        <v>130219.26</v>
      </c>
      <c r="H1021">
        <v>1188</v>
      </c>
      <c r="I1021">
        <v>0.89301822117986696</v>
      </c>
      <c r="J1021">
        <v>183884.06</v>
      </c>
      <c r="K1021">
        <v>0.91162558401100302</v>
      </c>
      <c r="L1021">
        <v>1000</v>
      </c>
      <c r="M1021">
        <v>1.50339767875398</v>
      </c>
      <c r="N1021">
        <v>157.05166</v>
      </c>
      <c r="O1021">
        <v>157051.66</v>
      </c>
      <c r="P1021">
        <v>1.5572019811548401</v>
      </c>
      <c r="Q1021">
        <v>188</v>
      </c>
      <c r="R1021">
        <v>0.28263876360574902</v>
      </c>
      <c r="S1021">
        <v>142.72553191489399</v>
      </c>
      <c r="T1021">
        <v>26832.400000000001</v>
      </c>
      <c r="U1021">
        <v>0.266049186867169</v>
      </c>
      <c r="V1021">
        <v>20</v>
      </c>
      <c r="W1021">
        <v>1.04058272632674</v>
      </c>
    </row>
    <row r="1022" spans="1:23" hidden="1" x14ac:dyDescent="0.25">
      <c r="A1022" t="s">
        <v>181</v>
      </c>
      <c r="B1022">
        <v>5</v>
      </c>
      <c r="C1022">
        <v>2025</v>
      </c>
      <c r="D1022" t="s">
        <v>163</v>
      </c>
      <c r="E1022" t="s">
        <v>164</v>
      </c>
      <c r="F1022">
        <v>2000</v>
      </c>
      <c r="G1022">
        <v>311761.09999999998</v>
      </c>
      <c r="H1022">
        <v>2000</v>
      </c>
      <c r="I1022">
        <v>1.50339767875398</v>
      </c>
      <c r="J1022">
        <v>311761.09999999998</v>
      </c>
      <c r="K1022">
        <v>1.5455901662135001</v>
      </c>
      <c r="L1022">
        <v>2000</v>
      </c>
      <c r="M1022">
        <v>3.0067953575079698</v>
      </c>
      <c r="N1022">
        <v>155.88055</v>
      </c>
      <c r="O1022">
        <v>311761.09999999998</v>
      </c>
      <c r="P1022">
        <v>3.09118033242699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8</v>
      </c>
      <c r="W1022">
        <v>0.41623309053069701</v>
      </c>
    </row>
    <row r="1023" spans="1:23" hidden="1" x14ac:dyDescent="0.25">
      <c r="A1023" t="s">
        <v>181</v>
      </c>
      <c r="B1023">
        <v>5</v>
      </c>
      <c r="C1023">
        <v>2025</v>
      </c>
      <c r="D1023" t="s">
        <v>116</v>
      </c>
      <c r="E1023" t="s">
        <v>117</v>
      </c>
      <c r="F1023">
        <v>922</v>
      </c>
      <c r="G1023">
        <v>138374.82</v>
      </c>
      <c r="H1023">
        <v>1030</v>
      </c>
      <c r="I1023">
        <v>0.77424980455830195</v>
      </c>
      <c r="J1023">
        <v>154982.38</v>
      </c>
      <c r="K1023">
        <v>0.76834230590142005</v>
      </c>
      <c r="L1023">
        <v>976</v>
      </c>
      <c r="M1023">
        <v>1.4673161344638901</v>
      </c>
      <c r="N1023">
        <v>150.28545081967201</v>
      </c>
      <c r="O1023">
        <v>146678.6</v>
      </c>
      <c r="P1023">
        <v>1.4543507945921601</v>
      </c>
      <c r="Q1023">
        <v>54</v>
      </c>
      <c r="R1023">
        <v>8.1183474652715096E-2</v>
      </c>
      <c r="S1023">
        <v>153.773703703704</v>
      </c>
      <c r="T1023">
        <v>8303.7800000000007</v>
      </c>
      <c r="U1023">
        <v>8.2333817210680296E-2</v>
      </c>
      <c r="V1023">
        <v>14</v>
      </c>
      <c r="W1023">
        <v>0.72840790842872005</v>
      </c>
    </row>
    <row r="1024" spans="1:23" hidden="1" x14ac:dyDescent="0.25">
      <c r="A1024" t="s">
        <v>181</v>
      </c>
      <c r="B1024">
        <v>5</v>
      </c>
      <c r="C1024">
        <v>2025</v>
      </c>
      <c r="D1024" t="s">
        <v>118</v>
      </c>
      <c r="E1024" t="s">
        <v>119</v>
      </c>
      <c r="F1024">
        <v>14</v>
      </c>
      <c r="G1024">
        <v>1945.16</v>
      </c>
      <c r="H1024">
        <v>14</v>
      </c>
      <c r="I1024">
        <v>1.0523783751277899E-2</v>
      </c>
      <c r="J1024">
        <v>1945.16</v>
      </c>
      <c r="K1024">
        <v>9.6433460355119602E-3</v>
      </c>
      <c r="L1024">
        <v>14</v>
      </c>
      <c r="M1024">
        <v>2.1047567502555799E-2</v>
      </c>
      <c r="N1024">
        <v>138.94</v>
      </c>
      <c r="O1024">
        <v>1945.16</v>
      </c>
      <c r="P1024">
        <v>1.92866920710239E-2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2</v>
      </c>
      <c r="W1024">
        <v>0.104058272632674</v>
      </c>
    </row>
    <row r="1025" spans="1:23" hidden="1" x14ac:dyDescent="0.25">
      <c r="A1025" t="s">
        <v>181</v>
      </c>
      <c r="B1025">
        <v>5</v>
      </c>
      <c r="C1025">
        <v>2025</v>
      </c>
      <c r="D1025" t="s">
        <v>122</v>
      </c>
      <c r="E1025" t="s">
        <v>123</v>
      </c>
      <c r="F1025">
        <v>-9750</v>
      </c>
      <c r="G1025">
        <v>-1534743.86</v>
      </c>
      <c r="H1025">
        <v>9750</v>
      </c>
      <c r="I1025">
        <v>7.3290636839256704</v>
      </c>
      <c r="J1025">
        <v>1534743.86</v>
      </c>
      <c r="K1025">
        <v>7.6086625870660098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9750</v>
      </c>
      <c r="R1025">
        <v>14.6581273678513</v>
      </c>
      <c r="S1025">
        <v>157.40962666666701</v>
      </c>
      <c r="T1025">
        <v>1534743.86</v>
      </c>
      <c r="U1025">
        <v>15.217325174132</v>
      </c>
      <c r="V1025">
        <v>136</v>
      </c>
      <c r="W1025">
        <v>7.0759625390218499</v>
      </c>
    </row>
    <row r="1026" spans="1:23" hidden="1" x14ac:dyDescent="0.25">
      <c r="A1026" t="s">
        <v>181</v>
      </c>
      <c r="B1026">
        <v>5</v>
      </c>
      <c r="C1026">
        <v>2025</v>
      </c>
      <c r="D1026" t="s">
        <v>126</v>
      </c>
      <c r="E1026" t="s">
        <v>127</v>
      </c>
      <c r="F1026">
        <v>32</v>
      </c>
      <c r="G1026">
        <v>4567.2</v>
      </c>
      <c r="H1026">
        <v>32</v>
      </c>
      <c r="I1026">
        <v>2.40543628600637E-2</v>
      </c>
      <c r="J1026">
        <v>4567.2</v>
      </c>
      <c r="K1026">
        <v>2.26423996038322E-2</v>
      </c>
      <c r="L1026">
        <v>32</v>
      </c>
      <c r="M1026">
        <v>4.8108725720127497E-2</v>
      </c>
      <c r="N1026">
        <v>142.72499999999999</v>
      </c>
      <c r="O1026">
        <v>4567.2</v>
      </c>
      <c r="P1026">
        <v>4.5284799207664303E-2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4</v>
      </c>
      <c r="W1026">
        <v>0.20811654526534901</v>
      </c>
    </row>
    <row r="1027" spans="1:23" hidden="1" x14ac:dyDescent="0.25">
      <c r="A1027" t="s">
        <v>181</v>
      </c>
      <c r="B1027">
        <v>5</v>
      </c>
      <c r="C1027">
        <v>2025</v>
      </c>
      <c r="D1027" t="s">
        <v>130</v>
      </c>
      <c r="E1027" t="s">
        <v>131</v>
      </c>
      <c r="F1027">
        <v>2150</v>
      </c>
      <c r="G1027">
        <v>330446.62</v>
      </c>
      <c r="H1027">
        <v>2150</v>
      </c>
      <c r="I1027">
        <v>1.6161525046605301</v>
      </c>
      <c r="J1027">
        <v>330446.62</v>
      </c>
      <c r="K1027">
        <v>1.63822570016108</v>
      </c>
      <c r="L1027">
        <v>2150</v>
      </c>
      <c r="M1027">
        <v>3.2323050093210699</v>
      </c>
      <c r="N1027">
        <v>153.69610232558099</v>
      </c>
      <c r="O1027">
        <v>330446.62</v>
      </c>
      <c r="P1027">
        <v>3.2764514003221601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32</v>
      </c>
      <c r="W1027">
        <v>1.6649323621227901</v>
      </c>
    </row>
    <row r="1028" spans="1:23" hidden="1" x14ac:dyDescent="0.25">
      <c r="A1028" t="s">
        <v>181</v>
      </c>
      <c r="B1028">
        <v>5</v>
      </c>
      <c r="C1028">
        <v>2025</v>
      </c>
      <c r="D1028" t="s">
        <v>132</v>
      </c>
      <c r="E1028" t="s">
        <v>133</v>
      </c>
      <c r="F1028">
        <v>2814</v>
      </c>
      <c r="G1028">
        <v>429518.86</v>
      </c>
      <c r="H1028">
        <v>3714</v>
      </c>
      <c r="I1028">
        <v>2.79180948944615</v>
      </c>
      <c r="J1028">
        <v>568033.66</v>
      </c>
      <c r="K1028">
        <v>2.8160897526159001</v>
      </c>
      <c r="L1028">
        <v>3264</v>
      </c>
      <c r="M1028">
        <v>4.9070900234529997</v>
      </c>
      <c r="N1028">
        <v>152.811354166667</v>
      </c>
      <c r="O1028">
        <v>498776.26</v>
      </c>
      <c r="P1028">
        <v>4.9454770501948202</v>
      </c>
      <c r="Q1028">
        <v>450</v>
      </c>
      <c r="R1028">
        <v>0.67652895543929303</v>
      </c>
      <c r="S1028">
        <v>153.905333333333</v>
      </c>
      <c r="T1028">
        <v>69257.399999999994</v>
      </c>
      <c r="U1028">
        <v>0.68670245503697902</v>
      </c>
      <c r="V1028">
        <v>70</v>
      </c>
      <c r="W1028">
        <v>3.6420395421435998</v>
      </c>
    </row>
    <row r="1029" spans="1:23" hidden="1" x14ac:dyDescent="0.25">
      <c r="A1029" t="s">
        <v>181</v>
      </c>
      <c r="B1029">
        <v>5</v>
      </c>
      <c r="C1029">
        <v>2025</v>
      </c>
      <c r="D1029" t="s">
        <v>134</v>
      </c>
      <c r="E1029" t="s">
        <v>135</v>
      </c>
      <c r="F1029">
        <v>3600</v>
      </c>
      <c r="G1029">
        <v>561447.02</v>
      </c>
      <c r="H1029">
        <v>3600</v>
      </c>
      <c r="I1029">
        <v>2.7061158217571699</v>
      </c>
      <c r="J1029">
        <v>561447.02</v>
      </c>
      <c r="K1029">
        <v>2.7834357556535201</v>
      </c>
      <c r="L1029">
        <v>3600</v>
      </c>
      <c r="M1029">
        <v>5.4122316435143398</v>
      </c>
      <c r="N1029">
        <v>155.957505555556</v>
      </c>
      <c r="O1029">
        <v>561447.02</v>
      </c>
      <c r="P1029">
        <v>5.5668715113070402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24</v>
      </c>
      <c r="W1029">
        <v>1.2486992715920899</v>
      </c>
    </row>
    <row r="1030" spans="1:23" hidden="1" x14ac:dyDescent="0.25">
      <c r="A1030" t="s">
        <v>181</v>
      </c>
      <c r="B1030">
        <v>5</v>
      </c>
      <c r="C1030">
        <v>2025</v>
      </c>
      <c r="D1030" t="s">
        <v>136</v>
      </c>
      <c r="E1030" t="s">
        <v>137</v>
      </c>
      <c r="F1030">
        <v>-234</v>
      </c>
      <c r="G1030">
        <v>-34880.480000000003</v>
      </c>
      <c r="H1030">
        <v>234</v>
      </c>
      <c r="I1030">
        <v>0.17589752841421599</v>
      </c>
      <c r="J1030">
        <v>34880.480000000003</v>
      </c>
      <c r="K1030">
        <v>0.172923840982106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234</v>
      </c>
      <c r="R1030">
        <v>0.35179505682843198</v>
      </c>
      <c r="S1030">
        <v>149.06188034188</v>
      </c>
      <c r="T1030">
        <v>34880.480000000003</v>
      </c>
      <c r="U1030">
        <v>0.34584768196421301</v>
      </c>
      <c r="V1030">
        <v>4</v>
      </c>
      <c r="W1030">
        <v>0.20811654526534901</v>
      </c>
    </row>
    <row r="1031" spans="1:23" hidden="1" x14ac:dyDescent="0.25">
      <c r="A1031" t="s">
        <v>181</v>
      </c>
      <c r="B1031">
        <v>5</v>
      </c>
      <c r="C1031">
        <v>2025</v>
      </c>
      <c r="D1031" t="s">
        <v>138</v>
      </c>
      <c r="E1031" t="s">
        <v>139</v>
      </c>
      <c r="F1031">
        <v>2050</v>
      </c>
      <c r="G1031">
        <v>319306.90000000002</v>
      </c>
      <c r="H1031">
        <v>2050</v>
      </c>
      <c r="I1031">
        <v>1.5409826207228301</v>
      </c>
      <c r="J1031">
        <v>319306.90000000002</v>
      </c>
      <c r="K1031">
        <v>1.582999305058</v>
      </c>
      <c r="L1031">
        <v>2050</v>
      </c>
      <c r="M1031">
        <v>3.08196524144567</v>
      </c>
      <c r="N1031">
        <v>155.75946341463401</v>
      </c>
      <c r="O1031">
        <v>319306.90000000002</v>
      </c>
      <c r="P1031">
        <v>3.1659986101159898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16</v>
      </c>
      <c r="W1031">
        <v>0.83246618106139403</v>
      </c>
    </row>
    <row r="1032" spans="1:23" hidden="1" x14ac:dyDescent="0.25">
      <c r="A1032" t="s">
        <v>181</v>
      </c>
      <c r="B1032">
        <v>5</v>
      </c>
      <c r="C1032">
        <v>2025</v>
      </c>
      <c r="D1032" t="s">
        <v>142</v>
      </c>
      <c r="E1032" t="s">
        <v>143</v>
      </c>
      <c r="F1032">
        <v>1516</v>
      </c>
      <c r="G1032">
        <v>221332.8</v>
      </c>
      <c r="H1032">
        <v>1744</v>
      </c>
      <c r="I1032">
        <v>1.3109627758734701</v>
      </c>
      <c r="J1032">
        <v>254833.64</v>
      </c>
      <c r="K1032">
        <v>1.2633659812093001</v>
      </c>
      <c r="L1032">
        <v>1630</v>
      </c>
      <c r="M1032">
        <v>2.4505382163689902</v>
      </c>
      <c r="N1032">
        <v>146.063325153374</v>
      </c>
      <c r="O1032">
        <v>238083.22</v>
      </c>
      <c r="P1032">
        <v>2.3606478394671102</v>
      </c>
      <c r="Q1032">
        <v>114</v>
      </c>
      <c r="R1032">
        <v>0.171387335377954</v>
      </c>
      <c r="S1032">
        <v>146.93350877193001</v>
      </c>
      <c r="T1032">
        <v>16750.419999999998</v>
      </c>
      <c r="U1032">
        <v>0.16608412295149</v>
      </c>
      <c r="V1032">
        <v>58</v>
      </c>
      <c r="W1032">
        <v>3.0176899063475502</v>
      </c>
    </row>
    <row r="1033" spans="1:23" hidden="1" x14ac:dyDescent="0.25">
      <c r="A1033" t="s">
        <v>181</v>
      </c>
      <c r="B1033">
        <v>5</v>
      </c>
      <c r="C1033">
        <v>2025</v>
      </c>
      <c r="D1033" t="s">
        <v>146</v>
      </c>
      <c r="E1033" t="s">
        <v>147</v>
      </c>
      <c r="F1033">
        <v>76</v>
      </c>
      <c r="G1033">
        <v>17389.82</v>
      </c>
      <c r="H1033">
        <v>1028</v>
      </c>
      <c r="I1033">
        <v>0.77274640687954799</v>
      </c>
      <c r="J1033">
        <v>153802.26</v>
      </c>
      <c r="K1033">
        <v>0.76249173035831397</v>
      </c>
      <c r="L1033">
        <v>552</v>
      </c>
      <c r="M1033">
        <v>0.829875518672199</v>
      </c>
      <c r="N1033">
        <v>155.065289855072</v>
      </c>
      <c r="O1033">
        <v>85596.04</v>
      </c>
      <c r="P1033">
        <v>0.84870368811771002</v>
      </c>
      <c r="Q1033">
        <v>476</v>
      </c>
      <c r="R1033">
        <v>0.71561729508689598</v>
      </c>
      <c r="S1033">
        <v>143.290378151261</v>
      </c>
      <c r="T1033">
        <v>68206.22</v>
      </c>
      <c r="U1033">
        <v>0.67627977259891803</v>
      </c>
      <c r="V1033">
        <v>20</v>
      </c>
      <c r="W1033">
        <v>1.04058272632674</v>
      </c>
    </row>
    <row r="1034" spans="1:23" x14ac:dyDescent="0.25">
      <c r="A1034" t="s">
        <v>181</v>
      </c>
      <c r="B1034">
        <v>5</v>
      </c>
      <c r="C1034">
        <v>2025</v>
      </c>
      <c r="D1034" t="s">
        <v>148</v>
      </c>
      <c r="E1034" t="s">
        <v>148</v>
      </c>
      <c r="F1034">
        <v>0</v>
      </c>
      <c r="G1034" s="4">
        <v>-2.95585778076202E-12</v>
      </c>
      <c r="H1034">
        <v>133032</v>
      </c>
      <c r="I1034">
        <v>0</v>
      </c>
      <c r="J1034">
        <v>20171006.960000001</v>
      </c>
      <c r="K1034">
        <v>0</v>
      </c>
      <c r="L1034">
        <v>66516</v>
      </c>
      <c r="M1034">
        <v>100</v>
      </c>
      <c r="N1034">
        <v>151.82568000000001</v>
      </c>
      <c r="O1034">
        <v>10085503.48</v>
      </c>
      <c r="P1034">
        <v>100</v>
      </c>
      <c r="Q1034">
        <v>66516</v>
      </c>
      <c r="R1034">
        <v>100</v>
      </c>
      <c r="S1034">
        <v>143.290378151261</v>
      </c>
      <c r="T1034">
        <v>10085503.48</v>
      </c>
      <c r="U1034">
        <v>100</v>
      </c>
      <c r="V1034">
        <v>1922</v>
      </c>
      <c r="W1034">
        <v>100</v>
      </c>
    </row>
    <row r="1035" spans="1:23" hidden="1" x14ac:dyDescent="0.25">
      <c r="A1035" t="s">
        <v>181</v>
      </c>
      <c r="B1035">
        <v>5</v>
      </c>
      <c r="C1035">
        <v>2025</v>
      </c>
      <c r="D1035" t="s">
        <v>149</v>
      </c>
      <c r="E1035" t="s">
        <v>150</v>
      </c>
      <c r="F1035">
        <v>976</v>
      </c>
      <c r="G1035">
        <v>152660.74</v>
      </c>
      <c r="H1035">
        <v>976</v>
      </c>
      <c r="I1035">
        <v>0.73365806723194404</v>
      </c>
      <c r="J1035">
        <v>152660.74</v>
      </c>
      <c r="K1035">
        <v>0.75683251858835299</v>
      </c>
      <c r="L1035">
        <v>976</v>
      </c>
      <c r="M1035">
        <v>1.4673161344638901</v>
      </c>
      <c r="N1035">
        <v>156.41469262295101</v>
      </c>
      <c r="O1035">
        <v>152660.74</v>
      </c>
      <c r="P1035">
        <v>1.51366503717671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18</v>
      </c>
      <c r="W1035">
        <v>0.936524453694069</v>
      </c>
    </row>
    <row r="1036" spans="1:23" hidden="1" x14ac:dyDescent="0.25">
      <c r="A1036" t="s">
        <v>181</v>
      </c>
      <c r="B1036">
        <v>5</v>
      </c>
      <c r="C1036">
        <v>2025</v>
      </c>
      <c r="D1036" t="s">
        <v>151</v>
      </c>
      <c r="E1036" t="s">
        <v>152</v>
      </c>
      <c r="F1036">
        <v>-2165</v>
      </c>
      <c r="G1036">
        <v>-332817.99</v>
      </c>
      <c r="H1036">
        <v>27613</v>
      </c>
      <c r="I1036">
        <v>20.756660051716899</v>
      </c>
      <c r="J1036">
        <v>4112808.93</v>
      </c>
      <c r="K1036">
        <v>20.389705571744098</v>
      </c>
      <c r="L1036">
        <v>12724</v>
      </c>
      <c r="M1036">
        <v>19.1292320644657</v>
      </c>
      <c r="N1036">
        <v>148.53783951587599</v>
      </c>
      <c r="O1036">
        <v>1889995.47</v>
      </c>
      <c r="P1036">
        <v>18.7397235422896</v>
      </c>
      <c r="Q1036">
        <v>14889</v>
      </c>
      <c r="R1036">
        <v>22.384088038968098</v>
      </c>
      <c r="S1036">
        <v>149.292327221439</v>
      </c>
      <c r="T1036">
        <v>2222813.46</v>
      </c>
      <c r="U1036">
        <v>22.039687601198501</v>
      </c>
      <c r="V1036">
        <v>353</v>
      </c>
      <c r="W1036">
        <v>18.366285119667001</v>
      </c>
    </row>
    <row r="1037" spans="1:23" hidden="1" x14ac:dyDescent="0.25">
      <c r="A1037" t="s">
        <v>181</v>
      </c>
      <c r="B1037">
        <v>5</v>
      </c>
      <c r="C1037">
        <v>2025</v>
      </c>
      <c r="D1037" t="s">
        <v>153</v>
      </c>
      <c r="E1037" t="s">
        <v>154</v>
      </c>
      <c r="F1037">
        <v>-4</v>
      </c>
      <c r="G1037">
        <v>-566.55999999999995</v>
      </c>
      <c r="H1037">
        <v>4</v>
      </c>
      <c r="I1037">
        <v>3.0067953575079699E-3</v>
      </c>
      <c r="J1037">
        <v>566.55999999999995</v>
      </c>
      <c r="K1037">
        <v>2.80878392002697E-3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4</v>
      </c>
      <c r="R1037">
        <v>6.0135907150159398E-3</v>
      </c>
      <c r="S1037">
        <v>141.63999999999999</v>
      </c>
      <c r="T1037">
        <v>566.55999999999995</v>
      </c>
      <c r="U1037">
        <v>5.6175678400539296E-3</v>
      </c>
      <c r="V1037">
        <v>2</v>
      </c>
      <c r="W1037">
        <v>0.104058272632674</v>
      </c>
    </row>
    <row r="1038" spans="1:23" hidden="1" x14ac:dyDescent="0.25">
      <c r="A1038" t="s">
        <v>181</v>
      </c>
      <c r="B1038">
        <v>6</v>
      </c>
      <c r="C1038">
        <v>2025</v>
      </c>
      <c r="D1038" t="s">
        <v>88</v>
      </c>
      <c r="E1038" t="s">
        <v>89</v>
      </c>
      <c r="F1038">
        <v>2816</v>
      </c>
      <c r="G1038">
        <v>554237.98</v>
      </c>
      <c r="H1038">
        <v>7004</v>
      </c>
      <c r="I1038">
        <v>2.8425093952159499</v>
      </c>
      <c r="J1038">
        <v>1218077.94</v>
      </c>
      <c r="K1038">
        <v>2.7934628810754201</v>
      </c>
      <c r="L1038">
        <v>4910</v>
      </c>
      <c r="M1038">
        <v>3.9853572617105399</v>
      </c>
      <c r="N1038">
        <v>180.48023625254601</v>
      </c>
      <c r="O1038">
        <v>886157.96</v>
      </c>
      <c r="P1038">
        <v>4.0645171983486001</v>
      </c>
      <c r="Q1038">
        <v>2094</v>
      </c>
      <c r="R1038">
        <v>1.6996615287213599</v>
      </c>
      <c r="S1038">
        <v>158.51001910219699</v>
      </c>
      <c r="T1038">
        <v>331919.98</v>
      </c>
      <c r="U1038">
        <v>1.52240856380224</v>
      </c>
      <c r="V1038">
        <v>93</v>
      </c>
      <c r="W1038">
        <v>2.7744630071599001</v>
      </c>
    </row>
    <row r="1039" spans="1:23" hidden="1" x14ac:dyDescent="0.25">
      <c r="A1039" t="s">
        <v>181</v>
      </c>
      <c r="B1039">
        <v>6</v>
      </c>
      <c r="C1039">
        <v>2025</v>
      </c>
      <c r="D1039" t="s">
        <v>90</v>
      </c>
      <c r="E1039" t="s">
        <v>91</v>
      </c>
      <c r="F1039">
        <v>17110</v>
      </c>
      <c r="G1039">
        <v>2965238.77</v>
      </c>
      <c r="H1039">
        <v>22644</v>
      </c>
      <c r="I1039">
        <v>9.18986047191175</v>
      </c>
      <c r="J1039">
        <v>3923941.43</v>
      </c>
      <c r="K1039">
        <v>8.9989190118811209</v>
      </c>
      <c r="L1039">
        <v>19877</v>
      </c>
      <c r="M1039">
        <v>16.1337976152791</v>
      </c>
      <c r="N1039">
        <v>173.295270916134</v>
      </c>
      <c r="O1039">
        <v>3444590.1</v>
      </c>
      <c r="P1039">
        <v>15.7992099994354</v>
      </c>
      <c r="Q1039">
        <v>2767</v>
      </c>
      <c r="R1039">
        <v>2.2459233285444098</v>
      </c>
      <c r="S1039">
        <v>173.238644741597</v>
      </c>
      <c r="T1039">
        <v>479351.33</v>
      </c>
      <c r="U1039">
        <v>2.1986280243268101</v>
      </c>
      <c r="V1039">
        <v>324</v>
      </c>
      <c r="W1039">
        <v>9.6658711217183804</v>
      </c>
    </row>
    <row r="1040" spans="1:23" hidden="1" x14ac:dyDescent="0.25">
      <c r="A1040" t="s">
        <v>181</v>
      </c>
      <c r="B1040">
        <v>6</v>
      </c>
      <c r="C1040">
        <v>2025</v>
      </c>
      <c r="D1040" t="s">
        <v>92</v>
      </c>
      <c r="E1040" t="s">
        <v>93</v>
      </c>
      <c r="F1040">
        <v>605</v>
      </c>
      <c r="G1040">
        <v>109365.75999999999</v>
      </c>
      <c r="H1040">
        <v>605</v>
      </c>
      <c r="I1040">
        <v>0.245533721317197</v>
      </c>
      <c r="J1040">
        <v>109365.75999999999</v>
      </c>
      <c r="K1040">
        <v>0.25081251452645298</v>
      </c>
      <c r="L1040">
        <v>605</v>
      </c>
      <c r="M1040">
        <v>0.491067442634394</v>
      </c>
      <c r="N1040">
        <v>180.76985123966901</v>
      </c>
      <c r="O1040">
        <v>109365.75999999999</v>
      </c>
      <c r="P1040">
        <v>0.50162502905290696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21</v>
      </c>
      <c r="W1040">
        <v>0.62649164677804303</v>
      </c>
    </row>
    <row r="1041" spans="1:23" hidden="1" x14ac:dyDescent="0.25">
      <c r="A1041" t="s">
        <v>181</v>
      </c>
      <c r="B1041">
        <v>6</v>
      </c>
      <c r="C1041">
        <v>2025</v>
      </c>
      <c r="D1041" t="s">
        <v>94</v>
      </c>
      <c r="E1041" t="s">
        <v>95</v>
      </c>
      <c r="F1041">
        <v>-39302</v>
      </c>
      <c r="G1041">
        <v>-6835832.0700000003</v>
      </c>
      <c r="H1041">
        <v>45356</v>
      </c>
      <c r="I1041">
        <v>18.407318122417799</v>
      </c>
      <c r="J1041">
        <v>7957502.9500000002</v>
      </c>
      <c r="K1041">
        <v>18.2492338026195</v>
      </c>
      <c r="L1041">
        <v>3027</v>
      </c>
      <c r="M1041">
        <v>2.4569605766186999</v>
      </c>
      <c r="N1041">
        <v>185.277647836141</v>
      </c>
      <c r="O1041">
        <v>560835.43999999994</v>
      </c>
      <c r="P1041">
        <v>2.5723690292455301</v>
      </c>
      <c r="Q1041">
        <v>42329</v>
      </c>
      <c r="R1041">
        <v>34.357675668216999</v>
      </c>
      <c r="S1041">
        <v>174.74231637884199</v>
      </c>
      <c r="T1041">
        <v>7396667.5099999998</v>
      </c>
      <c r="U1041">
        <v>33.9260985759935</v>
      </c>
      <c r="V1041">
        <v>581</v>
      </c>
      <c r="W1041">
        <v>17.332935560859202</v>
      </c>
    </row>
    <row r="1042" spans="1:23" hidden="1" x14ac:dyDescent="0.25">
      <c r="A1042" t="s">
        <v>181</v>
      </c>
      <c r="B1042">
        <v>6</v>
      </c>
      <c r="C1042">
        <v>2025</v>
      </c>
      <c r="D1042" t="s">
        <v>100</v>
      </c>
      <c r="E1042" t="s">
        <v>101</v>
      </c>
      <c r="F1042">
        <v>230</v>
      </c>
      <c r="G1042">
        <v>40705.4</v>
      </c>
      <c r="H1042">
        <v>230</v>
      </c>
      <c r="I1042">
        <v>9.3343398186702994E-2</v>
      </c>
      <c r="J1042">
        <v>40705.4</v>
      </c>
      <c r="K1042">
        <v>9.3351188971805193E-2</v>
      </c>
      <c r="L1042">
        <v>230</v>
      </c>
      <c r="M1042">
        <v>0.18668679637340599</v>
      </c>
      <c r="N1042">
        <v>176.98</v>
      </c>
      <c r="O1042">
        <v>40705.4</v>
      </c>
      <c r="P1042">
        <v>0.186702377943611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2</v>
      </c>
      <c r="W1042">
        <v>5.9665871121718402E-2</v>
      </c>
    </row>
    <row r="1043" spans="1:23" hidden="1" x14ac:dyDescent="0.25">
      <c r="A1043" t="s">
        <v>181</v>
      </c>
      <c r="B1043">
        <v>6</v>
      </c>
      <c r="C1043">
        <v>2025</v>
      </c>
      <c r="D1043" t="s">
        <v>159</v>
      </c>
      <c r="E1043" t="s">
        <v>160</v>
      </c>
      <c r="F1043">
        <v>400</v>
      </c>
      <c r="G1043">
        <v>72612</v>
      </c>
      <c r="H1043">
        <v>400</v>
      </c>
      <c r="I1043">
        <v>0.162336344672527</v>
      </c>
      <c r="J1043">
        <v>72612</v>
      </c>
      <c r="K1043">
        <v>0.166523766714508</v>
      </c>
      <c r="L1043">
        <v>400</v>
      </c>
      <c r="M1043">
        <v>0.324672689345054</v>
      </c>
      <c r="N1043">
        <v>181.53</v>
      </c>
      <c r="O1043">
        <v>72612</v>
      </c>
      <c r="P1043">
        <v>0.333047533429016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4</v>
      </c>
      <c r="W1043">
        <v>0.119331742243437</v>
      </c>
    </row>
    <row r="1044" spans="1:23" hidden="1" x14ac:dyDescent="0.25">
      <c r="A1044" t="s">
        <v>181</v>
      </c>
      <c r="B1044">
        <v>6</v>
      </c>
      <c r="C1044">
        <v>2025</v>
      </c>
      <c r="D1044" t="s">
        <v>102</v>
      </c>
      <c r="E1044" t="s">
        <v>103</v>
      </c>
      <c r="F1044">
        <v>9890</v>
      </c>
      <c r="G1044">
        <v>1711230.87</v>
      </c>
      <c r="H1044">
        <v>27474</v>
      </c>
      <c r="I1044">
        <v>11.1500718338325</v>
      </c>
      <c r="J1044">
        <v>4777926.57</v>
      </c>
      <c r="K1044">
        <v>10.957394501208199</v>
      </c>
      <c r="L1044">
        <v>18682</v>
      </c>
      <c r="M1044">
        <v>15.1638379558607</v>
      </c>
      <c r="N1044">
        <v>173.67405631088701</v>
      </c>
      <c r="O1044">
        <v>3244578.72</v>
      </c>
      <c r="P1044">
        <v>14.881823110674199</v>
      </c>
      <c r="Q1044">
        <v>8792</v>
      </c>
      <c r="R1044">
        <v>7.1363057118042903</v>
      </c>
      <c r="S1044">
        <v>174.40262170154699</v>
      </c>
      <c r="T1044">
        <v>1533347.85</v>
      </c>
      <c r="U1044">
        <v>7.0329658917421902</v>
      </c>
      <c r="V1044">
        <v>534</v>
      </c>
      <c r="W1044">
        <v>15.9307875894988</v>
      </c>
    </row>
    <row r="1045" spans="1:23" hidden="1" x14ac:dyDescent="0.25">
      <c r="A1045" t="s">
        <v>181</v>
      </c>
      <c r="B1045">
        <v>6</v>
      </c>
      <c r="C1045">
        <v>2025</v>
      </c>
      <c r="D1045" t="s">
        <v>161</v>
      </c>
      <c r="E1045" t="s">
        <v>162</v>
      </c>
      <c r="F1045">
        <v>1044</v>
      </c>
      <c r="G1045">
        <v>185755.68</v>
      </c>
      <c r="H1045">
        <v>1044</v>
      </c>
      <c r="I1045">
        <v>0.42369785959529499</v>
      </c>
      <c r="J1045">
        <v>185755.68</v>
      </c>
      <c r="K1045">
        <v>0.42600032394390402</v>
      </c>
      <c r="L1045">
        <v>1044</v>
      </c>
      <c r="M1045">
        <v>0.84739571919059098</v>
      </c>
      <c r="N1045">
        <v>177.92689655172401</v>
      </c>
      <c r="O1045">
        <v>185755.68</v>
      </c>
      <c r="P1045">
        <v>0.85200064788780805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13</v>
      </c>
      <c r="W1045">
        <v>0.38782816229116901</v>
      </c>
    </row>
    <row r="1046" spans="1:23" hidden="1" x14ac:dyDescent="0.25">
      <c r="A1046" t="s">
        <v>181</v>
      </c>
      <c r="B1046">
        <v>6</v>
      </c>
      <c r="C1046">
        <v>2025</v>
      </c>
      <c r="D1046" t="s">
        <v>104</v>
      </c>
      <c r="E1046" t="s">
        <v>105</v>
      </c>
      <c r="F1046">
        <v>3016</v>
      </c>
      <c r="G1046">
        <v>483615.18</v>
      </c>
      <c r="H1046">
        <v>9246</v>
      </c>
      <c r="I1046">
        <v>3.75240460710546</v>
      </c>
      <c r="J1046">
        <v>1622324.12</v>
      </c>
      <c r="K1046">
        <v>3.7205354940533102</v>
      </c>
      <c r="L1046">
        <v>6131</v>
      </c>
      <c r="M1046">
        <v>4.9764206459363196</v>
      </c>
      <c r="N1046">
        <v>171.74517207633301</v>
      </c>
      <c r="O1046">
        <v>1052969.6499999999</v>
      </c>
      <c r="P1046">
        <v>4.82962795003737</v>
      </c>
      <c r="Q1046">
        <v>3115</v>
      </c>
      <c r="R1046">
        <v>2.5283885682746101</v>
      </c>
      <c r="S1046">
        <v>182.77832102728701</v>
      </c>
      <c r="T1046">
        <v>569354.47</v>
      </c>
      <c r="U1046">
        <v>2.6114430380692499</v>
      </c>
      <c r="V1046">
        <v>245</v>
      </c>
      <c r="W1046">
        <v>7.3090692124104999</v>
      </c>
    </row>
    <row r="1047" spans="1:23" hidden="1" x14ac:dyDescent="0.25">
      <c r="A1047" t="s">
        <v>181</v>
      </c>
      <c r="B1047">
        <v>6</v>
      </c>
      <c r="C1047">
        <v>2025</v>
      </c>
      <c r="D1047" t="s">
        <v>106</v>
      </c>
      <c r="E1047" t="s">
        <v>107</v>
      </c>
      <c r="F1047">
        <v>-5747</v>
      </c>
      <c r="G1047">
        <v>-1065973.04</v>
      </c>
      <c r="H1047">
        <v>30429</v>
      </c>
      <c r="I1047">
        <v>12.349331580100801</v>
      </c>
      <c r="J1047">
        <v>5495843.9400000004</v>
      </c>
      <c r="K1047">
        <v>12.603820775683101</v>
      </c>
      <c r="L1047">
        <v>12341</v>
      </c>
      <c r="M1047">
        <v>10.0169641480183</v>
      </c>
      <c r="N1047">
        <v>179.47779353374901</v>
      </c>
      <c r="O1047">
        <v>2214935.4500000002</v>
      </c>
      <c r="P1047">
        <v>10.1591856487493</v>
      </c>
      <c r="Q1047">
        <v>18088</v>
      </c>
      <c r="R1047">
        <v>14.6816990121833</v>
      </c>
      <c r="S1047">
        <v>181.385918288368</v>
      </c>
      <c r="T1047">
        <v>3280908.49</v>
      </c>
      <c r="U1047">
        <v>15.048455902616899</v>
      </c>
      <c r="V1047">
        <v>205</v>
      </c>
      <c r="W1047">
        <v>6.1157517899761302</v>
      </c>
    </row>
    <row r="1048" spans="1:23" hidden="1" x14ac:dyDescent="0.25">
      <c r="A1048" t="s">
        <v>181</v>
      </c>
      <c r="B1048">
        <v>6</v>
      </c>
      <c r="C1048">
        <v>2025</v>
      </c>
      <c r="D1048" t="s">
        <v>110</v>
      </c>
      <c r="E1048" t="s">
        <v>111</v>
      </c>
      <c r="F1048">
        <v>-14</v>
      </c>
      <c r="G1048">
        <v>-4315.3799999999901</v>
      </c>
      <c r="H1048">
        <v>1066</v>
      </c>
      <c r="I1048">
        <v>0.43262635855228398</v>
      </c>
      <c r="J1048">
        <v>199572.62</v>
      </c>
      <c r="K1048">
        <v>0.45768721995652401</v>
      </c>
      <c r="L1048">
        <v>526</v>
      </c>
      <c r="M1048">
        <v>0.426944586488746</v>
      </c>
      <c r="N1048">
        <v>185.60574144486699</v>
      </c>
      <c r="O1048">
        <v>97628.62</v>
      </c>
      <c r="P1048">
        <v>0.44779060049411501</v>
      </c>
      <c r="Q1048">
        <v>540</v>
      </c>
      <c r="R1048">
        <v>0.43830813061582302</v>
      </c>
      <c r="S1048">
        <v>188.78518518518499</v>
      </c>
      <c r="T1048">
        <v>101944</v>
      </c>
      <c r="U1048">
        <v>0.467583839418933</v>
      </c>
      <c r="V1048">
        <v>37</v>
      </c>
      <c r="W1048">
        <v>1.10381861575179</v>
      </c>
    </row>
    <row r="1049" spans="1:23" hidden="1" x14ac:dyDescent="0.25">
      <c r="A1049" t="s">
        <v>181</v>
      </c>
      <c r="B1049">
        <v>6</v>
      </c>
      <c r="C1049">
        <v>2025</v>
      </c>
      <c r="D1049" t="s">
        <v>163</v>
      </c>
      <c r="E1049" t="s">
        <v>164</v>
      </c>
      <c r="F1049">
        <v>400</v>
      </c>
      <c r="G1049">
        <v>74084</v>
      </c>
      <c r="H1049">
        <v>400</v>
      </c>
      <c r="I1049">
        <v>0.162336344672527</v>
      </c>
      <c r="J1049">
        <v>74084</v>
      </c>
      <c r="K1049">
        <v>0.16989955838260301</v>
      </c>
      <c r="L1049">
        <v>400</v>
      </c>
      <c r="M1049">
        <v>0.324672689345054</v>
      </c>
      <c r="N1049">
        <v>185.21</v>
      </c>
      <c r="O1049">
        <v>74084</v>
      </c>
      <c r="P1049">
        <v>0.33979911676520702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2</v>
      </c>
      <c r="W1049">
        <v>5.9665871121718402E-2</v>
      </c>
    </row>
    <row r="1050" spans="1:23" hidden="1" x14ac:dyDescent="0.25">
      <c r="A1050" t="s">
        <v>181</v>
      </c>
      <c r="B1050">
        <v>6</v>
      </c>
      <c r="C1050">
        <v>2025</v>
      </c>
      <c r="D1050" t="s">
        <v>116</v>
      </c>
      <c r="E1050" t="s">
        <v>117</v>
      </c>
      <c r="F1050">
        <v>150</v>
      </c>
      <c r="G1050">
        <v>27357.58</v>
      </c>
      <c r="H1050">
        <v>238</v>
      </c>
      <c r="I1050">
        <v>9.6590125080153605E-2</v>
      </c>
      <c r="J1050">
        <v>42442.42</v>
      </c>
      <c r="K1050">
        <v>9.7334760740361903E-2</v>
      </c>
      <c r="L1050">
        <v>194</v>
      </c>
      <c r="M1050">
        <v>0.15746625433235101</v>
      </c>
      <c r="N1050">
        <v>179.89690721649501</v>
      </c>
      <c r="O1050">
        <v>34900</v>
      </c>
      <c r="P1050">
        <v>0.160074903826814</v>
      </c>
      <c r="Q1050">
        <v>44</v>
      </c>
      <c r="R1050">
        <v>3.5713995827955897E-2</v>
      </c>
      <c r="S1050">
        <v>171.41863636363601</v>
      </c>
      <c r="T1050">
        <v>7542.42</v>
      </c>
      <c r="U1050">
        <v>3.4594617653909497E-2</v>
      </c>
      <c r="V1050">
        <v>16</v>
      </c>
      <c r="W1050">
        <v>0.47732696897374699</v>
      </c>
    </row>
    <row r="1051" spans="1:23" hidden="1" x14ac:dyDescent="0.25">
      <c r="A1051" t="s">
        <v>181</v>
      </c>
      <c r="B1051">
        <v>6</v>
      </c>
      <c r="C1051">
        <v>2025</v>
      </c>
      <c r="D1051" t="s">
        <v>118</v>
      </c>
      <c r="E1051" t="s">
        <v>119</v>
      </c>
      <c r="F1051">
        <v>1064</v>
      </c>
      <c r="G1051">
        <v>196552.72</v>
      </c>
      <c r="H1051">
        <v>1064</v>
      </c>
      <c r="I1051">
        <v>0.43181467682892199</v>
      </c>
      <c r="J1051">
        <v>196552.72</v>
      </c>
      <c r="K1051">
        <v>0.45076157236244602</v>
      </c>
      <c r="L1051">
        <v>1064</v>
      </c>
      <c r="M1051">
        <v>0.86362935365784399</v>
      </c>
      <c r="N1051">
        <v>184.73</v>
      </c>
      <c r="O1051">
        <v>196552.72</v>
      </c>
      <c r="P1051">
        <v>0.90152314472489303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2</v>
      </c>
      <c r="W1051">
        <v>5.9665871121718402E-2</v>
      </c>
    </row>
    <row r="1052" spans="1:23" hidden="1" x14ac:dyDescent="0.25">
      <c r="A1052" t="s">
        <v>181</v>
      </c>
      <c r="B1052">
        <v>6</v>
      </c>
      <c r="C1052">
        <v>2025</v>
      </c>
      <c r="D1052" t="s">
        <v>122</v>
      </c>
      <c r="E1052" t="s">
        <v>123</v>
      </c>
      <c r="F1052">
        <v>-5060</v>
      </c>
      <c r="G1052">
        <v>-835466.05</v>
      </c>
      <c r="H1052">
        <v>5418</v>
      </c>
      <c r="I1052">
        <v>2.19884578858938</v>
      </c>
      <c r="J1052">
        <v>906247.47</v>
      </c>
      <c r="K1052">
        <v>2.0783306103659598</v>
      </c>
      <c r="L1052">
        <v>179</v>
      </c>
      <c r="M1052">
        <v>0.145291028481912</v>
      </c>
      <c r="N1052">
        <v>197.71346368715101</v>
      </c>
      <c r="O1052">
        <v>35390.71</v>
      </c>
      <c r="P1052">
        <v>0.162325630361395</v>
      </c>
      <c r="Q1052">
        <v>5239</v>
      </c>
      <c r="R1052">
        <v>4.2524005486968504</v>
      </c>
      <c r="S1052">
        <v>166.22576064134401</v>
      </c>
      <c r="T1052">
        <v>870856.76</v>
      </c>
      <c r="U1052">
        <v>3.99433559037052</v>
      </c>
      <c r="V1052">
        <v>77</v>
      </c>
      <c r="W1052">
        <v>2.2971360381861601</v>
      </c>
    </row>
    <row r="1053" spans="1:23" hidden="1" x14ac:dyDescent="0.25">
      <c r="A1053" t="s">
        <v>181</v>
      </c>
      <c r="B1053">
        <v>6</v>
      </c>
      <c r="C1053">
        <v>2025</v>
      </c>
      <c r="D1053" t="s">
        <v>124</v>
      </c>
      <c r="E1053" t="s">
        <v>125</v>
      </c>
      <c r="F1053">
        <v>338</v>
      </c>
      <c r="G1053">
        <v>61477.919999999998</v>
      </c>
      <c r="H1053">
        <v>338</v>
      </c>
      <c r="I1053">
        <v>0.13717421124828499</v>
      </c>
      <c r="J1053">
        <v>61477.919999999998</v>
      </c>
      <c r="K1053">
        <v>0.14098957208413401</v>
      </c>
      <c r="L1053">
        <v>338</v>
      </c>
      <c r="M1053">
        <v>0.27434842249657099</v>
      </c>
      <c r="N1053">
        <v>181.887337278107</v>
      </c>
      <c r="O1053">
        <v>61477.919999999998</v>
      </c>
      <c r="P1053">
        <v>0.28197914416826902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4</v>
      </c>
      <c r="W1053">
        <v>0.119331742243437</v>
      </c>
    </row>
    <row r="1054" spans="1:23" hidden="1" x14ac:dyDescent="0.25">
      <c r="A1054" t="s">
        <v>181</v>
      </c>
      <c r="B1054">
        <v>6</v>
      </c>
      <c r="C1054">
        <v>2025</v>
      </c>
      <c r="D1054" t="s">
        <v>126</v>
      </c>
      <c r="E1054" t="s">
        <v>127</v>
      </c>
      <c r="F1054">
        <v>68</v>
      </c>
      <c r="G1054">
        <v>11835.08</v>
      </c>
      <c r="H1054">
        <v>68</v>
      </c>
      <c r="I1054">
        <v>2.7597178594329599E-2</v>
      </c>
      <c r="J1054">
        <v>11835.08</v>
      </c>
      <c r="K1054">
        <v>2.7141823678834599E-2</v>
      </c>
      <c r="L1054">
        <v>68</v>
      </c>
      <c r="M1054">
        <v>5.5194357188659199E-2</v>
      </c>
      <c r="N1054">
        <v>174.04529411764699</v>
      </c>
      <c r="O1054">
        <v>11835.08</v>
      </c>
      <c r="P1054">
        <v>5.4283647357669197E-2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10</v>
      </c>
      <c r="W1054">
        <v>0.29832935560859197</v>
      </c>
    </row>
    <row r="1055" spans="1:23" hidden="1" x14ac:dyDescent="0.25">
      <c r="A1055" t="s">
        <v>181</v>
      </c>
      <c r="B1055">
        <v>6</v>
      </c>
      <c r="C1055">
        <v>2025</v>
      </c>
      <c r="D1055" t="s">
        <v>130</v>
      </c>
      <c r="E1055" t="s">
        <v>131</v>
      </c>
      <c r="F1055">
        <v>2899</v>
      </c>
      <c r="G1055">
        <v>487799.44</v>
      </c>
      <c r="H1055">
        <v>7119</v>
      </c>
      <c r="I1055">
        <v>2.8891810943093001</v>
      </c>
      <c r="J1055">
        <v>1248143.68</v>
      </c>
      <c r="K1055">
        <v>2.8624137469634099</v>
      </c>
      <c r="L1055">
        <v>5009</v>
      </c>
      <c r="M1055">
        <v>4.0657137523234397</v>
      </c>
      <c r="N1055">
        <v>173.28240367338799</v>
      </c>
      <c r="O1055">
        <v>867971.56</v>
      </c>
      <c r="P1055">
        <v>3.9811021200977099</v>
      </c>
      <c r="Q1055">
        <v>2110</v>
      </c>
      <c r="R1055">
        <v>1.7126484362951599</v>
      </c>
      <c r="S1055">
        <v>180.17636018957299</v>
      </c>
      <c r="T1055">
        <v>380172.12</v>
      </c>
      <c r="U1055">
        <v>1.7437253738291101</v>
      </c>
      <c r="V1055">
        <v>96</v>
      </c>
      <c r="W1055">
        <v>2.8639618138424798</v>
      </c>
    </row>
    <row r="1056" spans="1:23" hidden="1" x14ac:dyDescent="0.25">
      <c r="A1056" t="s">
        <v>181</v>
      </c>
      <c r="B1056">
        <v>6</v>
      </c>
      <c r="C1056">
        <v>2025</v>
      </c>
      <c r="D1056" t="s">
        <v>132</v>
      </c>
      <c r="E1056" t="s">
        <v>133</v>
      </c>
      <c r="F1056">
        <v>837</v>
      </c>
      <c r="G1056">
        <v>163889.42000000001</v>
      </c>
      <c r="H1056">
        <v>2837</v>
      </c>
      <c r="I1056">
        <v>1.1513705245899</v>
      </c>
      <c r="J1056">
        <v>496158.9</v>
      </c>
      <c r="K1056">
        <v>1.1378594298039799</v>
      </c>
      <c r="L1056">
        <v>1837</v>
      </c>
      <c r="M1056">
        <v>1.4910593258171601</v>
      </c>
      <c r="N1056">
        <v>179.653870440936</v>
      </c>
      <c r="O1056">
        <v>330024.15999999997</v>
      </c>
      <c r="P1056">
        <v>1.51371305651935</v>
      </c>
      <c r="Q1056">
        <v>1000</v>
      </c>
      <c r="R1056">
        <v>0.811681723362635</v>
      </c>
      <c r="S1056">
        <v>166.13473999999999</v>
      </c>
      <c r="T1056">
        <v>166134.74</v>
      </c>
      <c r="U1056">
        <v>0.76200580308861898</v>
      </c>
      <c r="V1056">
        <v>51</v>
      </c>
      <c r="W1056">
        <v>1.5214797136038201</v>
      </c>
    </row>
    <row r="1057" spans="1:23" hidden="1" x14ac:dyDescent="0.25">
      <c r="A1057" t="s">
        <v>181</v>
      </c>
      <c r="B1057">
        <v>6</v>
      </c>
      <c r="C1057">
        <v>2025</v>
      </c>
      <c r="D1057" t="s">
        <v>134</v>
      </c>
      <c r="E1057" t="s">
        <v>135</v>
      </c>
      <c r="F1057">
        <v>1486</v>
      </c>
      <c r="G1057">
        <v>280607.64</v>
      </c>
      <c r="H1057">
        <v>1486</v>
      </c>
      <c r="I1057">
        <v>0.60307952045843805</v>
      </c>
      <c r="J1057">
        <v>280607.64</v>
      </c>
      <c r="K1057">
        <v>0.64352780782334296</v>
      </c>
      <c r="L1057">
        <v>1486</v>
      </c>
      <c r="M1057">
        <v>1.2061590409168801</v>
      </c>
      <c r="N1057">
        <v>188.834212651413</v>
      </c>
      <c r="O1057">
        <v>280607.64</v>
      </c>
      <c r="P1057">
        <v>1.2870556156466899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8</v>
      </c>
      <c r="W1057">
        <v>0.23866348448687399</v>
      </c>
    </row>
    <row r="1058" spans="1:23" hidden="1" x14ac:dyDescent="0.25">
      <c r="A1058" t="s">
        <v>181</v>
      </c>
      <c r="B1058">
        <v>6</v>
      </c>
      <c r="C1058">
        <v>2025</v>
      </c>
      <c r="D1058" t="s">
        <v>136</v>
      </c>
      <c r="E1058" t="s">
        <v>137</v>
      </c>
      <c r="F1058">
        <v>1270</v>
      </c>
      <c r="G1058">
        <v>212909.7</v>
      </c>
      <c r="H1058">
        <v>1270</v>
      </c>
      <c r="I1058">
        <v>0.51541789433527296</v>
      </c>
      <c r="J1058">
        <v>212909.7</v>
      </c>
      <c r="K1058">
        <v>0.48827363540538499</v>
      </c>
      <c r="L1058">
        <v>1270</v>
      </c>
      <c r="M1058">
        <v>1.0308357886705499</v>
      </c>
      <c r="N1058">
        <v>167.64543307086601</v>
      </c>
      <c r="O1058">
        <v>212909.7</v>
      </c>
      <c r="P1058">
        <v>0.97654727081077097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15</v>
      </c>
      <c r="W1058">
        <v>0.44749403341288801</v>
      </c>
    </row>
    <row r="1059" spans="1:23" hidden="1" x14ac:dyDescent="0.25">
      <c r="A1059" t="s">
        <v>181</v>
      </c>
      <c r="B1059">
        <v>6</v>
      </c>
      <c r="C1059">
        <v>2025</v>
      </c>
      <c r="D1059" t="s">
        <v>138</v>
      </c>
      <c r="E1059" t="s">
        <v>139</v>
      </c>
      <c r="F1059">
        <v>1421</v>
      </c>
      <c r="G1059">
        <v>209847.99</v>
      </c>
      <c r="H1059">
        <v>4469</v>
      </c>
      <c r="I1059">
        <v>1.81370281085381</v>
      </c>
      <c r="J1059">
        <v>767609.39</v>
      </c>
      <c r="K1059">
        <v>1.76038680918065</v>
      </c>
      <c r="L1059">
        <v>2945</v>
      </c>
      <c r="M1059">
        <v>2.3904026753029601</v>
      </c>
      <c r="N1059">
        <v>165.95201697792899</v>
      </c>
      <c r="O1059">
        <v>488728.69</v>
      </c>
      <c r="P1059">
        <v>2.2416389125832401</v>
      </c>
      <c r="Q1059">
        <v>1524</v>
      </c>
      <c r="R1059">
        <v>1.2370029464046599</v>
      </c>
      <c r="S1059">
        <v>182.99258530183701</v>
      </c>
      <c r="T1059">
        <v>278880.7</v>
      </c>
      <c r="U1059">
        <v>1.27913470577807</v>
      </c>
      <c r="V1059">
        <v>45</v>
      </c>
      <c r="W1059">
        <v>1.34248210023866</v>
      </c>
    </row>
    <row r="1060" spans="1:23" hidden="1" x14ac:dyDescent="0.25">
      <c r="A1060" t="s">
        <v>181</v>
      </c>
      <c r="B1060">
        <v>6</v>
      </c>
      <c r="C1060">
        <v>2025</v>
      </c>
      <c r="D1060" t="s">
        <v>142</v>
      </c>
      <c r="E1060" t="s">
        <v>143</v>
      </c>
      <c r="F1060">
        <v>898</v>
      </c>
      <c r="G1060">
        <v>186212.69</v>
      </c>
      <c r="H1060">
        <v>2434</v>
      </c>
      <c r="I1060">
        <v>0.98781665733232704</v>
      </c>
      <c r="J1060">
        <v>424201.65</v>
      </c>
      <c r="K1060">
        <v>0.97283722531412498</v>
      </c>
      <c r="L1060">
        <v>1666</v>
      </c>
      <c r="M1060">
        <v>1.35226175112215</v>
      </c>
      <c r="N1060">
        <v>183.19758103241301</v>
      </c>
      <c r="O1060">
        <v>305207.17</v>
      </c>
      <c r="P1060">
        <v>1.39988562707748</v>
      </c>
      <c r="Q1060">
        <v>768</v>
      </c>
      <c r="R1060">
        <v>0.623371563542504</v>
      </c>
      <c r="S1060">
        <v>154.94072916666701</v>
      </c>
      <c r="T1060">
        <v>118994.48</v>
      </c>
      <c r="U1060">
        <v>0.54578882355076697</v>
      </c>
      <c r="V1060">
        <v>77</v>
      </c>
      <c r="W1060">
        <v>2.2971360381861601</v>
      </c>
    </row>
    <row r="1061" spans="1:23" hidden="1" x14ac:dyDescent="0.25">
      <c r="A1061" t="s">
        <v>181</v>
      </c>
      <c r="B1061">
        <v>6</v>
      </c>
      <c r="C1061">
        <v>2025</v>
      </c>
      <c r="D1061" t="s">
        <v>146</v>
      </c>
      <c r="E1061" t="s">
        <v>147</v>
      </c>
      <c r="F1061">
        <v>1705</v>
      </c>
      <c r="G1061">
        <v>313694.87</v>
      </c>
      <c r="H1061">
        <v>3103</v>
      </c>
      <c r="I1061">
        <v>1.25932419379713</v>
      </c>
      <c r="J1061">
        <v>572723.63</v>
      </c>
      <c r="K1061">
        <v>1.3134481374153899</v>
      </c>
      <c r="L1061">
        <v>2404</v>
      </c>
      <c r="M1061">
        <v>1.95128286296377</v>
      </c>
      <c r="N1061">
        <v>184.36324875208001</v>
      </c>
      <c r="O1061">
        <v>443209.25</v>
      </c>
      <c r="P1061">
        <v>2.0328561051262</v>
      </c>
      <c r="Q1061">
        <v>699</v>
      </c>
      <c r="R1061">
        <v>0.56736552463048195</v>
      </c>
      <c r="S1061">
        <v>185.28523605150201</v>
      </c>
      <c r="T1061">
        <v>129514.38</v>
      </c>
      <c r="U1061">
        <v>0.59404016970456996</v>
      </c>
      <c r="V1061">
        <v>52</v>
      </c>
      <c r="W1061">
        <v>1.55131264916468</v>
      </c>
    </row>
    <row r="1062" spans="1:23" x14ac:dyDescent="0.25">
      <c r="A1062" t="s">
        <v>181</v>
      </c>
      <c r="B1062">
        <v>6</v>
      </c>
      <c r="C1062">
        <v>2025</v>
      </c>
      <c r="D1062" t="s">
        <v>148</v>
      </c>
      <c r="E1062" t="s">
        <v>148</v>
      </c>
      <c r="F1062">
        <v>0</v>
      </c>
      <c r="G1062" s="4">
        <v>-1.4179022400640001E-9</v>
      </c>
      <c r="H1062">
        <v>246402</v>
      </c>
      <c r="I1062">
        <v>0</v>
      </c>
      <c r="J1062">
        <v>43604586.560000002</v>
      </c>
      <c r="K1062">
        <v>0</v>
      </c>
      <c r="L1062">
        <v>123201</v>
      </c>
      <c r="M1062">
        <v>100</v>
      </c>
      <c r="N1062">
        <v>179.89690721649501</v>
      </c>
      <c r="O1062">
        <v>21802293.280000001</v>
      </c>
      <c r="P1062">
        <v>100</v>
      </c>
      <c r="Q1062">
        <v>123201</v>
      </c>
      <c r="R1062">
        <v>100</v>
      </c>
      <c r="S1062">
        <v>166.13473999999999</v>
      </c>
      <c r="T1062">
        <v>21802293.280000001</v>
      </c>
      <c r="U1062">
        <v>100</v>
      </c>
      <c r="V1062">
        <v>3352</v>
      </c>
      <c r="W1062">
        <v>100</v>
      </c>
    </row>
    <row r="1063" spans="1:23" hidden="1" x14ac:dyDescent="0.25">
      <c r="A1063" t="s">
        <v>181</v>
      </c>
      <c r="B1063">
        <v>6</v>
      </c>
      <c r="C1063">
        <v>2025</v>
      </c>
      <c r="D1063" t="s">
        <v>149</v>
      </c>
      <c r="E1063" t="s">
        <v>150</v>
      </c>
      <c r="F1063">
        <v>1748</v>
      </c>
      <c r="G1063">
        <v>295991.43</v>
      </c>
      <c r="H1063">
        <v>4186</v>
      </c>
      <c r="I1063">
        <v>1.698849846998</v>
      </c>
      <c r="J1063">
        <v>753514.51</v>
      </c>
      <c r="K1063">
        <v>1.72806250315701</v>
      </c>
      <c r="L1063">
        <v>2967</v>
      </c>
      <c r="M1063">
        <v>2.4082596732169401</v>
      </c>
      <c r="N1063">
        <v>176.863151331311</v>
      </c>
      <c r="O1063">
        <v>524752.97</v>
      </c>
      <c r="P1063">
        <v>2.4068705216500099</v>
      </c>
      <c r="Q1063">
        <v>1219</v>
      </c>
      <c r="R1063">
        <v>0.98944002077905202</v>
      </c>
      <c r="S1063">
        <v>187.66328137817899</v>
      </c>
      <c r="T1063">
        <v>228761.54</v>
      </c>
      <c r="U1063">
        <v>1.0492544846640099</v>
      </c>
      <c r="V1063">
        <v>33</v>
      </c>
      <c r="W1063">
        <v>0.98448687350835296</v>
      </c>
    </row>
    <row r="1064" spans="1:23" hidden="1" x14ac:dyDescent="0.25">
      <c r="A1064" t="s">
        <v>181</v>
      </c>
      <c r="B1064">
        <v>6</v>
      </c>
      <c r="C1064">
        <v>2025</v>
      </c>
      <c r="D1064" t="s">
        <v>151</v>
      </c>
      <c r="E1064" t="s">
        <v>152</v>
      </c>
      <c r="F1064">
        <v>707</v>
      </c>
      <c r="G1064">
        <v>92752.29</v>
      </c>
      <c r="H1064">
        <v>66453</v>
      </c>
      <c r="I1064">
        <v>26.969342781308601</v>
      </c>
      <c r="J1064">
        <v>11948637.310000001</v>
      </c>
      <c r="K1064">
        <v>27.402248828935999</v>
      </c>
      <c r="L1064">
        <v>33580</v>
      </c>
      <c r="M1064">
        <v>27.2562722705173</v>
      </c>
      <c r="N1064">
        <v>179.29406789755799</v>
      </c>
      <c r="O1064">
        <v>6020694.7999999998</v>
      </c>
      <c r="P1064">
        <v>27.614961062481399</v>
      </c>
      <c r="Q1064">
        <v>32873</v>
      </c>
      <c r="R1064">
        <v>26.682413292099898</v>
      </c>
      <c r="S1064">
        <v>180.328613451769</v>
      </c>
      <c r="T1064">
        <v>5927942.5099999998</v>
      </c>
      <c r="U1064">
        <v>27.189536595390699</v>
      </c>
      <c r="V1064">
        <v>804</v>
      </c>
      <c r="W1064">
        <v>23.9856801909308</v>
      </c>
    </row>
    <row r="1065" spans="1:23" hidden="1" x14ac:dyDescent="0.25">
      <c r="A1065" t="s">
        <v>181</v>
      </c>
      <c r="B1065">
        <v>6</v>
      </c>
      <c r="C1065">
        <v>2025</v>
      </c>
      <c r="D1065" t="s">
        <v>153</v>
      </c>
      <c r="E1065" t="s">
        <v>154</v>
      </c>
      <c r="F1065">
        <v>21</v>
      </c>
      <c r="G1065">
        <v>3812.13</v>
      </c>
      <c r="H1065">
        <v>21</v>
      </c>
      <c r="I1065">
        <v>8.5226580953076704E-3</v>
      </c>
      <c r="J1065">
        <v>3812.13</v>
      </c>
      <c r="K1065">
        <v>8.7424977525116607E-3</v>
      </c>
      <c r="L1065">
        <v>21</v>
      </c>
      <c r="M1065">
        <v>1.7045316190615299E-2</v>
      </c>
      <c r="N1065">
        <v>181.53</v>
      </c>
      <c r="O1065">
        <v>3812.13</v>
      </c>
      <c r="P1065">
        <v>1.7484995505023301E-2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1</v>
      </c>
      <c r="W1065">
        <v>2.9832935560859201E-2</v>
      </c>
    </row>
    <row r="1066" spans="1:23" hidden="1" x14ac:dyDescent="0.25">
      <c r="A1066" t="s">
        <v>181</v>
      </c>
      <c r="B1066">
        <v>7</v>
      </c>
      <c r="C1066">
        <v>2025</v>
      </c>
      <c r="D1066" t="s">
        <v>88</v>
      </c>
      <c r="E1066" t="s">
        <v>89</v>
      </c>
      <c r="F1066">
        <v>1599</v>
      </c>
      <c r="G1066">
        <v>316794.21000000002</v>
      </c>
      <c r="H1066">
        <v>2471</v>
      </c>
      <c r="I1066">
        <v>3.03861288735858</v>
      </c>
      <c r="J1066">
        <v>490429.23</v>
      </c>
      <c r="K1066">
        <v>3.0645012037223198</v>
      </c>
      <c r="L1066">
        <v>2035</v>
      </c>
      <c r="M1066">
        <v>5.0049188391539596</v>
      </c>
      <c r="N1066">
        <v>198.334997542998</v>
      </c>
      <c r="O1066">
        <v>403611.72</v>
      </c>
      <c r="P1066">
        <v>5.04402480976281</v>
      </c>
      <c r="Q1066">
        <v>436</v>
      </c>
      <c r="R1066">
        <v>1.07230693556321</v>
      </c>
      <c r="S1066">
        <v>199.12272935779799</v>
      </c>
      <c r="T1066">
        <v>86817.51</v>
      </c>
      <c r="U1066">
        <v>1.0849775976818301</v>
      </c>
      <c r="V1066">
        <v>36</v>
      </c>
      <c r="W1066">
        <v>2.5387870239774299</v>
      </c>
    </row>
    <row r="1067" spans="1:23" hidden="1" x14ac:dyDescent="0.25">
      <c r="A1067" t="s">
        <v>181</v>
      </c>
      <c r="B1067">
        <v>7</v>
      </c>
      <c r="C1067">
        <v>2025</v>
      </c>
      <c r="D1067" t="s">
        <v>90</v>
      </c>
      <c r="E1067" t="s">
        <v>91</v>
      </c>
      <c r="F1067">
        <v>132</v>
      </c>
      <c r="G1067">
        <v>28134.92</v>
      </c>
      <c r="H1067">
        <v>4336</v>
      </c>
      <c r="I1067">
        <v>5.33202164289228</v>
      </c>
      <c r="J1067">
        <v>854870.84</v>
      </c>
      <c r="K1067">
        <v>5.3417548505563301</v>
      </c>
      <c r="L1067">
        <v>2234</v>
      </c>
      <c r="M1067">
        <v>5.4943433349729496</v>
      </c>
      <c r="N1067">
        <v>197.628863025962</v>
      </c>
      <c r="O1067">
        <v>441502.88</v>
      </c>
      <c r="P1067">
        <v>5.5175590052284198</v>
      </c>
      <c r="Q1067">
        <v>2102</v>
      </c>
      <c r="R1067">
        <v>5.1696999508116104</v>
      </c>
      <c r="S1067">
        <v>196.65459562321601</v>
      </c>
      <c r="T1067">
        <v>413367.96</v>
      </c>
      <c r="U1067">
        <v>5.1659506958842503</v>
      </c>
      <c r="V1067">
        <v>127</v>
      </c>
      <c r="W1067">
        <v>8.9562764456981707</v>
      </c>
    </row>
    <row r="1068" spans="1:23" hidden="1" x14ac:dyDescent="0.25">
      <c r="A1068" t="s">
        <v>181</v>
      </c>
      <c r="B1068">
        <v>7</v>
      </c>
      <c r="C1068">
        <v>2025</v>
      </c>
      <c r="D1068" t="s">
        <v>94</v>
      </c>
      <c r="E1068" t="s">
        <v>95</v>
      </c>
      <c r="F1068">
        <v>-9119</v>
      </c>
      <c r="G1068">
        <v>-1811666.11</v>
      </c>
      <c r="H1068">
        <v>21121</v>
      </c>
      <c r="I1068">
        <v>25.972700442695501</v>
      </c>
      <c r="J1068">
        <v>4159899.35</v>
      </c>
      <c r="K1068">
        <v>25.993590482848401</v>
      </c>
      <c r="L1068">
        <v>6001</v>
      </c>
      <c r="M1068">
        <v>14.758976881456</v>
      </c>
      <c r="N1068">
        <v>195.65349441759699</v>
      </c>
      <c r="O1068">
        <v>1174116.6200000001</v>
      </c>
      <c r="P1068">
        <v>14.673194724957099</v>
      </c>
      <c r="Q1068">
        <v>15120</v>
      </c>
      <c r="R1068">
        <v>37.186424003935102</v>
      </c>
      <c r="S1068">
        <v>197.472402777778</v>
      </c>
      <c r="T1068">
        <v>2985782.73</v>
      </c>
      <c r="U1068">
        <v>37.313986240739801</v>
      </c>
      <c r="V1068">
        <v>325</v>
      </c>
      <c r="W1068">
        <v>22.919605077574001</v>
      </c>
    </row>
    <row r="1069" spans="1:23" hidden="1" x14ac:dyDescent="0.25">
      <c r="A1069" t="s">
        <v>181</v>
      </c>
      <c r="B1069">
        <v>7</v>
      </c>
      <c r="C1069">
        <v>2025</v>
      </c>
      <c r="D1069" t="s">
        <v>100</v>
      </c>
      <c r="E1069" t="s">
        <v>101</v>
      </c>
      <c r="F1069">
        <v>25</v>
      </c>
      <c r="G1069">
        <v>4635.7299999999996</v>
      </c>
      <c r="H1069">
        <v>231</v>
      </c>
      <c r="I1069">
        <v>0.28406296114117102</v>
      </c>
      <c r="J1069">
        <v>45038.51</v>
      </c>
      <c r="K1069">
        <v>0.28142810351834002</v>
      </c>
      <c r="L1069">
        <v>128</v>
      </c>
      <c r="M1069">
        <v>0.31480570585341899</v>
      </c>
      <c r="N1069">
        <v>194.04</v>
      </c>
      <c r="O1069">
        <v>24837.119999999999</v>
      </c>
      <c r="P1069">
        <v>0.31039497436560098</v>
      </c>
      <c r="Q1069">
        <v>103</v>
      </c>
      <c r="R1069">
        <v>0.253320216428923</v>
      </c>
      <c r="S1069">
        <v>196.13</v>
      </c>
      <c r="T1069">
        <v>20201.39</v>
      </c>
      <c r="U1069">
        <v>0.25246123267107901</v>
      </c>
      <c r="V1069">
        <v>2</v>
      </c>
      <c r="W1069">
        <v>0.141043723554302</v>
      </c>
    </row>
    <row r="1070" spans="1:23" hidden="1" x14ac:dyDescent="0.25">
      <c r="A1070" t="s">
        <v>181</v>
      </c>
      <c r="B1070">
        <v>7</v>
      </c>
      <c r="C1070">
        <v>2025</v>
      </c>
      <c r="D1070" t="s">
        <v>102</v>
      </c>
      <c r="E1070" t="s">
        <v>103</v>
      </c>
      <c r="F1070">
        <v>-332</v>
      </c>
      <c r="G1070">
        <v>-57407.5199999998</v>
      </c>
      <c r="H1070">
        <v>11438</v>
      </c>
      <c r="I1070">
        <v>14.0654205607477</v>
      </c>
      <c r="J1070">
        <v>2244019.64</v>
      </c>
      <c r="K1070">
        <v>14.022004536631099</v>
      </c>
      <c r="L1070">
        <v>5553</v>
      </c>
      <c r="M1070">
        <v>13.657156910969</v>
      </c>
      <c r="N1070">
        <v>196.88565820277299</v>
      </c>
      <c r="O1070">
        <v>1093306.06</v>
      </c>
      <c r="P1070">
        <v>13.6632873081684</v>
      </c>
      <c r="Q1070">
        <v>5885</v>
      </c>
      <c r="R1070">
        <v>14.473684210526301</v>
      </c>
      <c r="S1070">
        <v>195.53331860662701</v>
      </c>
      <c r="T1070">
        <v>1150713.58</v>
      </c>
      <c r="U1070">
        <v>14.380721765093901</v>
      </c>
      <c r="V1070">
        <v>273</v>
      </c>
      <c r="W1070">
        <v>19.2524682651622</v>
      </c>
    </row>
    <row r="1071" spans="1:23" hidden="1" x14ac:dyDescent="0.25">
      <c r="A1071" t="s">
        <v>181</v>
      </c>
      <c r="B1071">
        <v>7</v>
      </c>
      <c r="C1071">
        <v>2025</v>
      </c>
      <c r="D1071" t="s">
        <v>161</v>
      </c>
      <c r="E1071" t="s">
        <v>162</v>
      </c>
      <c r="F1071">
        <v>102</v>
      </c>
      <c r="G1071">
        <v>20005.259999999998</v>
      </c>
      <c r="H1071">
        <v>102</v>
      </c>
      <c r="I1071">
        <v>0.12543039842597101</v>
      </c>
      <c r="J1071">
        <v>20005.259999999998</v>
      </c>
      <c r="K1071">
        <v>0.12500507637111699</v>
      </c>
      <c r="L1071">
        <v>102</v>
      </c>
      <c r="M1071">
        <v>0.25086079685194301</v>
      </c>
      <c r="N1071">
        <v>196.13</v>
      </c>
      <c r="O1071">
        <v>20005.259999999998</v>
      </c>
      <c r="P1071">
        <v>0.25001015274223298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1</v>
      </c>
      <c r="W1071">
        <v>7.0521861777150904E-2</v>
      </c>
    </row>
    <row r="1072" spans="1:23" hidden="1" x14ac:dyDescent="0.25">
      <c r="A1072" t="s">
        <v>181</v>
      </c>
      <c r="B1072">
        <v>7</v>
      </c>
      <c r="C1072">
        <v>2025</v>
      </c>
      <c r="D1072" t="s">
        <v>104</v>
      </c>
      <c r="E1072" t="s">
        <v>105</v>
      </c>
      <c r="F1072">
        <v>-716</v>
      </c>
      <c r="G1072">
        <v>-137077.60999999999</v>
      </c>
      <c r="H1072">
        <v>3372</v>
      </c>
      <c r="I1072">
        <v>4.146581406788</v>
      </c>
      <c r="J1072">
        <v>661390.21</v>
      </c>
      <c r="K1072">
        <v>4.1327697671591803</v>
      </c>
      <c r="L1072">
        <v>1328</v>
      </c>
      <c r="M1072">
        <v>3.2661091982292199</v>
      </c>
      <c r="N1072">
        <v>197.40685240963899</v>
      </c>
      <c r="O1072">
        <v>262156.3</v>
      </c>
      <c r="P1072">
        <v>3.2762251830437901</v>
      </c>
      <c r="Q1072">
        <v>2044</v>
      </c>
      <c r="R1072">
        <v>5.0270536153467802</v>
      </c>
      <c r="S1072">
        <v>195.31991682974601</v>
      </c>
      <c r="T1072">
        <v>399233.91</v>
      </c>
      <c r="U1072">
        <v>4.9893143512745599</v>
      </c>
      <c r="V1072">
        <v>83</v>
      </c>
      <c r="W1072">
        <v>5.8533145275035299</v>
      </c>
    </row>
    <row r="1073" spans="1:23" hidden="1" x14ac:dyDescent="0.25">
      <c r="A1073" t="s">
        <v>181</v>
      </c>
      <c r="B1073">
        <v>7</v>
      </c>
      <c r="C1073">
        <v>2025</v>
      </c>
      <c r="D1073" t="s">
        <v>106</v>
      </c>
      <c r="E1073" t="s">
        <v>107</v>
      </c>
      <c r="F1073">
        <v>1307</v>
      </c>
      <c r="G1073">
        <v>237726.94</v>
      </c>
      <c r="H1073">
        <v>9737</v>
      </c>
      <c r="I1073">
        <v>11.973684210526301</v>
      </c>
      <c r="J1073">
        <v>1917686.48</v>
      </c>
      <c r="K1073">
        <v>11.9828757480911</v>
      </c>
      <c r="L1073">
        <v>5522</v>
      </c>
      <c r="M1073">
        <v>13.580914904082601</v>
      </c>
      <c r="N1073">
        <v>195.16601050344099</v>
      </c>
      <c r="O1073">
        <v>1077706.71</v>
      </c>
      <c r="P1073">
        <v>13.4683387858208</v>
      </c>
      <c r="Q1073">
        <v>4215</v>
      </c>
      <c r="R1073">
        <v>10.366453516969999</v>
      </c>
      <c r="S1073">
        <v>199.283456702254</v>
      </c>
      <c r="T1073">
        <v>839979.77</v>
      </c>
      <c r="U1073">
        <v>10.4974127103615</v>
      </c>
      <c r="V1073">
        <v>68</v>
      </c>
      <c r="W1073">
        <v>4.7954866008462602</v>
      </c>
    </row>
    <row r="1074" spans="1:23" hidden="1" x14ac:dyDescent="0.25">
      <c r="A1074" t="s">
        <v>181</v>
      </c>
      <c r="B1074">
        <v>7</v>
      </c>
      <c r="C1074">
        <v>2025</v>
      </c>
      <c r="D1074" t="s">
        <v>110</v>
      </c>
      <c r="E1074" t="s">
        <v>111</v>
      </c>
      <c r="F1074">
        <v>-8</v>
      </c>
      <c r="G1074">
        <v>-1490.94</v>
      </c>
      <c r="H1074">
        <v>108</v>
      </c>
      <c r="I1074">
        <v>0.13280865715691101</v>
      </c>
      <c r="J1074">
        <v>21339.5</v>
      </c>
      <c r="K1074">
        <v>0.13334222235659199</v>
      </c>
      <c r="L1074">
        <v>50</v>
      </c>
      <c r="M1074">
        <v>0.122970978848992</v>
      </c>
      <c r="N1074">
        <v>198.48560000000001</v>
      </c>
      <c r="O1074">
        <v>9924.2800000000007</v>
      </c>
      <c r="P1074">
        <v>0.124025919116107</v>
      </c>
      <c r="Q1074">
        <v>58</v>
      </c>
      <c r="R1074">
        <v>0.14264633546482999</v>
      </c>
      <c r="S1074">
        <v>196.81413793103499</v>
      </c>
      <c r="T1074">
        <v>11415.22</v>
      </c>
      <c r="U1074">
        <v>0.14265852559707801</v>
      </c>
      <c r="V1074">
        <v>6</v>
      </c>
      <c r="W1074">
        <v>0.42313117066290601</v>
      </c>
    </row>
    <row r="1075" spans="1:23" hidden="1" x14ac:dyDescent="0.25">
      <c r="A1075" t="s">
        <v>181</v>
      </c>
      <c r="B1075">
        <v>7</v>
      </c>
      <c r="C1075">
        <v>2025</v>
      </c>
      <c r="D1075" t="s">
        <v>112</v>
      </c>
      <c r="E1075" t="s">
        <v>113</v>
      </c>
      <c r="F1075">
        <v>50</v>
      </c>
      <c r="G1075">
        <v>9475</v>
      </c>
      <c r="H1075">
        <v>50</v>
      </c>
      <c r="I1075">
        <v>6.1485489424495797E-2</v>
      </c>
      <c r="J1075">
        <v>9475</v>
      </c>
      <c r="K1075">
        <v>5.9205583862260699E-2</v>
      </c>
      <c r="L1075">
        <v>50</v>
      </c>
      <c r="M1075">
        <v>0.122970978848992</v>
      </c>
      <c r="N1075">
        <v>189.5</v>
      </c>
      <c r="O1075">
        <v>9475</v>
      </c>
      <c r="P1075">
        <v>0.118411167724521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1</v>
      </c>
      <c r="W1075">
        <v>7.0521861777150904E-2</v>
      </c>
    </row>
    <row r="1076" spans="1:23" hidden="1" x14ac:dyDescent="0.25">
      <c r="A1076" t="s">
        <v>181</v>
      </c>
      <c r="B1076">
        <v>7</v>
      </c>
      <c r="C1076">
        <v>2025</v>
      </c>
      <c r="D1076" t="s">
        <v>163</v>
      </c>
      <c r="E1076" t="s">
        <v>164</v>
      </c>
      <c r="F1076">
        <v>-200</v>
      </c>
      <c r="G1076">
        <v>-39581.5</v>
      </c>
      <c r="H1076">
        <v>200</v>
      </c>
      <c r="I1076">
        <v>0.24594195769798299</v>
      </c>
      <c r="J1076">
        <v>39581.5</v>
      </c>
      <c r="K1076">
        <v>0.247329373893833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200</v>
      </c>
      <c r="R1076">
        <v>0.49188391539596699</v>
      </c>
      <c r="S1076">
        <v>197.9075</v>
      </c>
      <c r="T1076">
        <v>39581.5</v>
      </c>
      <c r="U1076">
        <v>0.494658747787667</v>
      </c>
      <c r="V1076">
        <v>4</v>
      </c>
      <c r="W1076">
        <v>0.28208744710860401</v>
      </c>
    </row>
    <row r="1077" spans="1:23" hidden="1" x14ac:dyDescent="0.25">
      <c r="A1077" t="s">
        <v>181</v>
      </c>
      <c r="B1077">
        <v>7</v>
      </c>
      <c r="C1077">
        <v>2025</v>
      </c>
      <c r="D1077" t="s">
        <v>116</v>
      </c>
      <c r="E1077" t="s">
        <v>117</v>
      </c>
      <c r="F1077">
        <v>114</v>
      </c>
      <c r="G1077">
        <v>22384.33</v>
      </c>
      <c r="H1077">
        <v>118</v>
      </c>
      <c r="I1077">
        <v>0.14510575504181</v>
      </c>
      <c r="J1077">
        <v>23157.53</v>
      </c>
      <c r="K1077">
        <v>0.144702383583939</v>
      </c>
      <c r="L1077">
        <v>116</v>
      </c>
      <c r="M1077">
        <v>0.28529267092966099</v>
      </c>
      <c r="N1077">
        <v>196.30112068965499</v>
      </c>
      <c r="O1077">
        <v>22770.93</v>
      </c>
      <c r="P1077">
        <v>0.28457334158029901</v>
      </c>
      <c r="Q1077">
        <v>2</v>
      </c>
      <c r="R1077">
        <v>4.91883915395967E-3</v>
      </c>
      <c r="S1077">
        <v>193.3</v>
      </c>
      <c r="T1077">
        <v>386.6</v>
      </c>
      <c r="U1077">
        <v>4.8314255875778296E-3</v>
      </c>
      <c r="V1077">
        <v>5</v>
      </c>
      <c r="W1077">
        <v>0.35260930888575498</v>
      </c>
    </row>
    <row r="1078" spans="1:23" hidden="1" x14ac:dyDescent="0.25">
      <c r="A1078" t="s">
        <v>181</v>
      </c>
      <c r="B1078">
        <v>7</v>
      </c>
      <c r="C1078">
        <v>2025</v>
      </c>
      <c r="D1078" t="s">
        <v>118</v>
      </c>
      <c r="E1078" t="s">
        <v>119</v>
      </c>
      <c r="F1078">
        <v>87</v>
      </c>
      <c r="G1078">
        <v>16964.13</v>
      </c>
      <c r="H1078">
        <v>87</v>
      </c>
      <c r="I1078">
        <v>0.106984751598623</v>
      </c>
      <c r="J1078">
        <v>16964.13</v>
      </c>
      <c r="K1078">
        <v>0.106002239721931</v>
      </c>
      <c r="L1078">
        <v>87</v>
      </c>
      <c r="M1078">
        <v>0.213969503197245</v>
      </c>
      <c r="N1078">
        <v>194.99</v>
      </c>
      <c r="O1078">
        <v>16964.13</v>
      </c>
      <c r="P1078">
        <v>0.212004479443861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1</v>
      </c>
      <c r="W1078">
        <v>7.0521861777150904E-2</v>
      </c>
    </row>
    <row r="1079" spans="1:23" hidden="1" x14ac:dyDescent="0.25">
      <c r="A1079" t="s">
        <v>181</v>
      </c>
      <c r="B1079">
        <v>7</v>
      </c>
      <c r="C1079">
        <v>2025</v>
      </c>
      <c r="D1079" t="s">
        <v>120</v>
      </c>
      <c r="E1079" t="s">
        <v>121</v>
      </c>
      <c r="F1079">
        <v>-24</v>
      </c>
      <c r="G1079">
        <v>-4837.4399999999996</v>
      </c>
      <c r="H1079">
        <v>24</v>
      </c>
      <c r="I1079">
        <v>2.9513034923758001E-2</v>
      </c>
      <c r="J1079">
        <v>4837.4399999999996</v>
      </c>
      <c r="K1079">
        <v>3.02272780579055E-2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24</v>
      </c>
      <c r="R1079">
        <v>5.9026069847516002E-2</v>
      </c>
      <c r="S1079">
        <v>201.56</v>
      </c>
      <c r="T1079">
        <v>4837.4399999999996</v>
      </c>
      <c r="U1079">
        <v>6.0454556115810999E-2</v>
      </c>
      <c r="V1079">
        <v>1</v>
      </c>
      <c r="W1079">
        <v>7.0521861777150904E-2</v>
      </c>
    </row>
    <row r="1080" spans="1:23" hidden="1" x14ac:dyDescent="0.25">
      <c r="A1080" t="s">
        <v>181</v>
      </c>
      <c r="B1080">
        <v>7</v>
      </c>
      <c r="C1080">
        <v>2025</v>
      </c>
      <c r="D1080" t="s">
        <v>122</v>
      </c>
      <c r="E1080" t="s">
        <v>123</v>
      </c>
      <c r="F1080">
        <v>1659</v>
      </c>
      <c r="G1080">
        <v>337721.16</v>
      </c>
      <c r="H1080">
        <v>4919</v>
      </c>
      <c r="I1080">
        <v>6.0489424495819</v>
      </c>
      <c r="J1080">
        <v>975539.64</v>
      </c>
      <c r="K1080">
        <v>6.0957671732960002</v>
      </c>
      <c r="L1080">
        <v>3289</v>
      </c>
      <c r="M1080">
        <v>8.0890309886866696</v>
      </c>
      <c r="N1080">
        <v>199.644390392216</v>
      </c>
      <c r="O1080">
        <v>656630.4</v>
      </c>
      <c r="P1080">
        <v>8.2060551374585309</v>
      </c>
      <c r="Q1080">
        <v>1630</v>
      </c>
      <c r="R1080">
        <v>4.0088539104771304</v>
      </c>
      <c r="S1080">
        <v>195.649840490798</v>
      </c>
      <c r="T1080">
        <v>318909.24</v>
      </c>
      <c r="U1080">
        <v>3.9854792091334699</v>
      </c>
      <c r="V1080">
        <v>72</v>
      </c>
      <c r="W1080">
        <v>5.0775740479548697</v>
      </c>
    </row>
    <row r="1081" spans="1:23" hidden="1" x14ac:dyDescent="0.25">
      <c r="A1081" t="s">
        <v>181</v>
      </c>
      <c r="B1081">
        <v>7</v>
      </c>
      <c r="C1081">
        <v>2025</v>
      </c>
      <c r="D1081" t="s">
        <v>126</v>
      </c>
      <c r="E1081" t="s">
        <v>127</v>
      </c>
      <c r="F1081">
        <v>14</v>
      </c>
      <c r="G1081">
        <v>2174.9</v>
      </c>
      <c r="H1081">
        <v>234</v>
      </c>
      <c r="I1081">
        <v>0.28775209050664002</v>
      </c>
      <c r="J1081">
        <v>47396.5</v>
      </c>
      <c r="K1081">
        <v>0.29616226443563498</v>
      </c>
      <c r="L1081">
        <v>124</v>
      </c>
      <c r="M1081">
        <v>0.30496802754549901</v>
      </c>
      <c r="N1081">
        <v>199.884677419355</v>
      </c>
      <c r="O1081">
        <v>24785.7</v>
      </c>
      <c r="P1081">
        <v>0.30975236726856697</v>
      </c>
      <c r="Q1081">
        <v>110</v>
      </c>
      <c r="R1081">
        <v>0.27053615346778198</v>
      </c>
      <c r="S1081">
        <v>205.552727272727</v>
      </c>
      <c r="T1081">
        <v>22610.799999999999</v>
      </c>
      <c r="U1081">
        <v>0.28257216160270299</v>
      </c>
      <c r="V1081">
        <v>11</v>
      </c>
      <c r="W1081">
        <v>0.77574047954865999</v>
      </c>
    </row>
    <row r="1082" spans="1:23" hidden="1" x14ac:dyDescent="0.25">
      <c r="A1082" t="s">
        <v>181</v>
      </c>
      <c r="B1082">
        <v>7</v>
      </c>
      <c r="C1082">
        <v>2025</v>
      </c>
      <c r="D1082" t="s">
        <v>130</v>
      </c>
      <c r="E1082" t="s">
        <v>131</v>
      </c>
      <c r="F1082">
        <v>417</v>
      </c>
      <c r="G1082">
        <v>82199.520000000004</v>
      </c>
      <c r="H1082">
        <v>1043</v>
      </c>
      <c r="I1082">
        <v>1.28258730939498</v>
      </c>
      <c r="J1082">
        <v>203094.48</v>
      </c>
      <c r="K1082">
        <v>1.2690582868181799</v>
      </c>
      <c r="L1082">
        <v>730</v>
      </c>
      <c r="M1082">
        <v>1.79537629119528</v>
      </c>
      <c r="N1082">
        <v>195.406849315068</v>
      </c>
      <c r="O1082">
        <v>142647</v>
      </c>
      <c r="P1082">
        <v>1.78269106516093</v>
      </c>
      <c r="Q1082">
        <v>313</v>
      </c>
      <c r="R1082">
        <v>0.76979832759468803</v>
      </c>
      <c r="S1082">
        <v>193.12293929712499</v>
      </c>
      <c r="T1082">
        <v>60447.48</v>
      </c>
      <c r="U1082">
        <v>0.755425508475425</v>
      </c>
      <c r="V1082">
        <v>18</v>
      </c>
      <c r="W1082">
        <v>1.2693935119887201</v>
      </c>
    </row>
    <row r="1083" spans="1:23" hidden="1" x14ac:dyDescent="0.25">
      <c r="A1083" t="s">
        <v>181</v>
      </c>
      <c r="B1083">
        <v>7</v>
      </c>
      <c r="C1083">
        <v>2025</v>
      </c>
      <c r="D1083" t="s">
        <v>132</v>
      </c>
      <c r="E1083" t="s">
        <v>133</v>
      </c>
      <c r="F1083">
        <v>710</v>
      </c>
      <c r="G1083">
        <v>141015.26999999999</v>
      </c>
      <c r="H1083">
        <v>846</v>
      </c>
      <c r="I1083">
        <v>1.04033448106247</v>
      </c>
      <c r="J1083">
        <v>167920.79</v>
      </c>
      <c r="K1083">
        <v>1.0492716004814899</v>
      </c>
      <c r="L1083">
        <v>778</v>
      </c>
      <c r="M1083">
        <v>1.91342843089031</v>
      </c>
      <c r="N1083">
        <v>198.545025706941</v>
      </c>
      <c r="O1083">
        <v>154468.03</v>
      </c>
      <c r="P1083">
        <v>1.93042108795846</v>
      </c>
      <c r="Q1083">
        <v>68</v>
      </c>
      <c r="R1083">
        <v>0.16724053123462901</v>
      </c>
      <c r="S1083">
        <v>197.83470588235301</v>
      </c>
      <c r="T1083">
        <v>13452.76</v>
      </c>
      <c r="U1083">
        <v>0.16812211300450999</v>
      </c>
      <c r="V1083">
        <v>44</v>
      </c>
      <c r="W1083">
        <v>3.10296191819464</v>
      </c>
    </row>
    <row r="1084" spans="1:23" hidden="1" x14ac:dyDescent="0.25">
      <c r="A1084" t="s">
        <v>181</v>
      </c>
      <c r="B1084">
        <v>7</v>
      </c>
      <c r="C1084">
        <v>2025</v>
      </c>
      <c r="D1084" t="s">
        <v>136</v>
      </c>
      <c r="E1084" t="s">
        <v>137</v>
      </c>
      <c r="F1084">
        <v>-20</v>
      </c>
      <c r="G1084">
        <v>-3675.89</v>
      </c>
      <c r="H1084">
        <v>118</v>
      </c>
      <c r="I1084">
        <v>0.14510575504181</v>
      </c>
      <c r="J1084">
        <v>23539.51</v>
      </c>
      <c r="K1084">
        <v>0.14708922779752201</v>
      </c>
      <c r="L1084">
        <v>49</v>
      </c>
      <c r="M1084">
        <v>0.120511559272012</v>
      </c>
      <c r="N1084">
        <v>202.69</v>
      </c>
      <c r="O1084">
        <v>9931.81</v>
      </c>
      <c r="P1084">
        <v>0.12412002318924301</v>
      </c>
      <c r="Q1084">
        <v>69</v>
      </c>
      <c r="R1084">
        <v>0.16969995081160799</v>
      </c>
      <c r="S1084">
        <v>197.213043478261</v>
      </c>
      <c r="T1084">
        <v>13607.7</v>
      </c>
      <c r="U1084">
        <v>0.17005843240580201</v>
      </c>
      <c r="V1084">
        <v>3</v>
      </c>
      <c r="W1084">
        <v>0.211565585331453</v>
      </c>
    </row>
    <row r="1085" spans="1:23" hidden="1" x14ac:dyDescent="0.25">
      <c r="A1085" t="s">
        <v>181</v>
      </c>
      <c r="B1085">
        <v>7</v>
      </c>
      <c r="C1085">
        <v>2025</v>
      </c>
      <c r="D1085" t="s">
        <v>138</v>
      </c>
      <c r="E1085" t="s">
        <v>139</v>
      </c>
      <c r="F1085">
        <v>2265</v>
      </c>
      <c r="G1085">
        <v>446103.06</v>
      </c>
      <c r="H1085">
        <v>2265</v>
      </c>
      <c r="I1085">
        <v>2.7852926709296599</v>
      </c>
      <c r="J1085">
        <v>446103.06</v>
      </c>
      <c r="K1085">
        <v>2.7875242353605398</v>
      </c>
      <c r="L1085">
        <v>2265</v>
      </c>
      <c r="M1085">
        <v>5.5705853418593199</v>
      </c>
      <c r="N1085">
        <v>196.95499337748299</v>
      </c>
      <c r="O1085">
        <v>446103.06</v>
      </c>
      <c r="P1085">
        <v>5.5750484707210797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23</v>
      </c>
      <c r="W1085">
        <v>1.6220028208744699</v>
      </c>
    </row>
    <row r="1086" spans="1:23" hidden="1" x14ac:dyDescent="0.25">
      <c r="A1086" t="s">
        <v>181</v>
      </c>
      <c r="B1086">
        <v>7</v>
      </c>
      <c r="C1086">
        <v>2025</v>
      </c>
      <c r="D1086" t="s">
        <v>142</v>
      </c>
      <c r="E1086" t="s">
        <v>143</v>
      </c>
      <c r="F1086">
        <v>207</v>
      </c>
      <c r="G1086">
        <v>43275.72</v>
      </c>
      <c r="H1086">
        <v>615</v>
      </c>
      <c r="I1086">
        <v>0.75627151992129904</v>
      </c>
      <c r="J1086">
        <v>123334.28</v>
      </c>
      <c r="K1086">
        <v>0.77066786887931904</v>
      </c>
      <c r="L1086">
        <v>411</v>
      </c>
      <c r="M1086">
        <v>1.0108214461387099</v>
      </c>
      <c r="N1086">
        <v>202.688564476886</v>
      </c>
      <c r="O1086">
        <v>83305</v>
      </c>
      <c r="P1086">
        <v>1.0410809844106901</v>
      </c>
      <c r="Q1086">
        <v>204</v>
      </c>
      <c r="R1086">
        <v>0.50172159370388603</v>
      </c>
      <c r="S1086">
        <v>196.22196078431401</v>
      </c>
      <c r="T1086">
        <v>40029.279999999999</v>
      </c>
      <c r="U1086">
        <v>0.50025475334795</v>
      </c>
      <c r="V1086">
        <v>44</v>
      </c>
      <c r="W1086">
        <v>3.10296191819464</v>
      </c>
    </row>
    <row r="1087" spans="1:23" hidden="1" x14ac:dyDescent="0.25">
      <c r="A1087" t="s">
        <v>181</v>
      </c>
      <c r="B1087">
        <v>7</v>
      </c>
      <c r="C1087">
        <v>2025</v>
      </c>
      <c r="D1087" t="s">
        <v>146</v>
      </c>
      <c r="E1087" t="s">
        <v>147</v>
      </c>
      <c r="F1087">
        <v>882</v>
      </c>
      <c r="G1087">
        <v>175484.81</v>
      </c>
      <c r="H1087">
        <v>1248</v>
      </c>
      <c r="I1087">
        <v>1.53467781603542</v>
      </c>
      <c r="J1087">
        <v>248458.31</v>
      </c>
      <c r="K1087">
        <v>1.5525191882829099</v>
      </c>
      <c r="L1087">
        <v>1065</v>
      </c>
      <c r="M1087">
        <v>2.6192818494835199</v>
      </c>
      <c r="N1087">
        <v>199.03432863849801</v>
      </c>
      <c r="O1087">
        <v>211971.56</v>
      </c>
      <c r="P1087">
        <v>2.64905540305947</v>
      </c>
      <c r="Q1087">
        <v>183</v>
      </c>
      <c r="R1087">
        <v>0.45007378258730901</v>
      </c>
      <c r="S1087">
        <v>199.38114754098399</v>
      </c>
      <c r="T1087">
        <v>36486.75</v>
      </c>
      <c r="U1087">
        <v>0.45598297350635197</v>
      </c>
      <c r="V1087">
        <v>18</v>
      </c>
      <c r="W1087">
        <v>1.2693935119887201</v>
      </c>
    </row>
    <row r="1088" spans="1:23" x14ac:dyDescent="0.25">
      <c r="A1088" t="s">
        <v>181</v>
      </c>
      <c r="B1088">
        <v>7</v>
      </c>
      <c r="C1088">
        <v>2025</v>
      </c>
      <c r="D1088" t="s">
        <v>148</v>
      </c>
      <c r="E1088" t="s">
        <v>148</v>
      </c>
      <c r="F1088">
        <v>0</v>
      </c>
      <c r="G1088" s="4">
        <v>4.1200109990313597E-10</v>
      </c>
      <c r="H1088">
        <v>81320</v>
      </c>
      <c r="I1088">
        <v>0</v>
      </c>
      <c r="J1088">
        <v>16003558.08</v>
      </c>
      <c r="K1088">
        <v>0</v>
      </c>
      <c r="L1088">
        <v>40660</v>
      </c>
      <c r="M1088">
        <v>100</v>
      </c>
      <c r="N1088">
        <v>196.920325790128</v>
      </c>
      <c r="O1088">
        <v>8001779.04</v>
      </c>
      <c r="P1088">
        <v>100</v>
      </c>
      <c r="Q1088">
        <v>40660</v>
      </c>
      <c r="R1088">
        <v>100</v>
      </c>
      <c r="S1088">
        <v>196.43827820376501</v>
      </c>
      <c r="T1088">
        <v>8001779.04</v>
      </c>
      <c r="U1088">
        <v>100</v>
      </c>
      <c r="V1088">
        <v>1418</v>
      </c>
      <c r="W1088">
        <v>100</v>
      </c>
    </row>
    <row r="1089" spans="1:23" hidden="1" x14ac:dyDescent="0.25">
      <c r="A1089" t="s">
        <v>181</v>
      </c>
      <c r="B1089">
        <v>7</v>
      </c>
      <c r="C1089">
        <v>2025</v>
      </c>
      <c r="D1089" t="s">
        <v>149</v>
      </c>
      <c r="E1089" t="s">
        <v>150</v>
      </c>
      <c r="F1089">
        <v>271</v>
      </c>
      <c r="G1089">
        <v>54863.12</v>
      </c>
      <c r="H1089">
        <v>321</v>
      </c>
      <c r="I1089">
        <v>0.394736842105263</v>
      </c>
      <c r="J1089">
        <v>64757.120000000003</v>
      </c>
      <c r="K1089">
        <v>0.40464201570854702</v>
      </c>
      <c r="L1089">
        <v>296</v>
      </c>
      <c r="M1089">
        <v>0.72798819478603005</v>
      </c>
      <c r="N1089">
        <v>202.061216216216</v>
      </c>
      <c r="O1089">
        <v>59810.12</v>
      </c>
      <c r="P1089">
        <v>0.74746027978298202</v>
      </c>
      <c r="Q1089">
        <v>25</v>
      </c>
      <c r="R1089">
        <v>6.1485489424495797E-2</v>
      </c>
      <c r="S1089">
        <v>197.88</v>
      </c>
      <c r="T1089">
        <v>4947</v>
      </c>
      <c r="U1089">
        <v>6.18237516341116E-2</v>
      </c>
      <c r="V1089">
        <v>10</v>
      </c>
      <c r="W1089">
        <v>0.70521861777150896</v>
      </c>
    </row>
    <row r="1090" spans="1:23" hidden="1" x14ac:dyDescent="0.25">
      <c r="A1090" t="s">
        <v>181</v>
      </c>
      <c r="B1090">
        <v>7</v>
      </c>
      <c r="C1090">
        <v>2025</v>
      </c>
      <c r="D1090" t="s">
        <v>151</v>
      </c>
      <c r="E1090" t="s">
        <v>152</v>
      </c>
      <c r="F1090">
        <v>578</v>
      </c>
      <c r="G1090">
        <v>116778.93</v>
      </c>
      <c r="H1090">
        <v>16316</v>
      </c>
      <c r="I1090">
        <v>20.063944909001499</v>
      </c>
      <c r="J1090">
        <v>3194719.77</v>
      </c>
      <c r="K1090">
        <v>19.962559288565402</v>
      </c>
      <c r="L1090">
        <v>8447</v>
      </c>
      <c r="M1090">
        <v>20.774717166748601</v>
      </c>
      <c r="N1090">
        <v>196.01626021072599</v>
      </c>
      <c r="O1090">
        <v>1655749.35</v>
      </c>
      <c r="P1090">
        <v>20.6922653290361</v>
      </c>
      <c r="Q1090">
        <v>7869</v>
      </c>
      <c r="R1090">
        <v>19.353172651254301</v>
      </c>
      <c r="S1090">
        <v>195.57382386580301</v>
      </c>
      <c r="T1090">
        <v>1538970.42</v>
      </c>
      <c r="U1090">
        <v>19.232853248094699</v>
      </c>
      <c r="V1090">
        <v>242</v>
      </c>
      <c r="W1090">
        <v>17.066290550070502</v>
      </c>
    </row>
    <row r="1091" spans="1:23" hidden="1" x14ac:dyDescent="0.25">
      <c r="A1091" t="s">
        <v>181</v>
      </c>
      <c r="B1091">
        <v>8</v>
      </c>
      <c r="C1091">
        <v>2025</v>
      </c>
      <c r="D1091" t="s">
        <v>88</v>
      </c>
      <c r="E1091" t="s">
        <v>89</v>
      </c>
      <c r="F1091">
        <v>511</v>
      </c>
      <c r="G1091">
        <v>99539.55</v>
      </c>
      <c r="H1091">
        <v>1433</v>
      </c>
      <c r="I1091">
        <v>1.7025068314126199</v>
      </c>
      <c r="J1091">
        <v>272751.23</v>
      </c>
      <c r="K1091">
        <v>1.7095839950976199</v>
      </c>
      <c r="L1091">
        <v>972</v>
      </c>
      <c r="M1091">
        <v>2.30961150053463</v>
      </c>
      <c r="N1091">
        <v>191.507602880658</v>
      </c>
      <c r="O1091">
        <v>186145.39</v>
      </c>
      <c r="P1091">
        <v>2.3334903348021898</v>
      </c>
      <c r="Q1091">
        <v>461</v>
      </c>
      <c r="R1091">
        <v>1.0954021622906001</v>
      </c>
      <c r="S1091">
        <v>187.865162689805</v>
      </c>
      <c r="T1091">
        <v>86605.84</v>
      </c>
      <c r="U1091">
        <v>1.0856776553930501</v>
      </c>
      <c r="V1091">
        <v>25</v>
      </c>
      <c r="W1091">
        <v>2.2644927536231898</v>
      </c>
    </row>
    <row r="1092" spans="1:23" hidden="1" x14ac:dyDescent="0.25">
      <c r="A1092" t="s">
        <v>181</v>
      </c>
      <c r="B1092">
        <v>8</v>
      </c>
      <c r="C1092">
        <v>2025</v>
      </c>
      <c r="D1092" t="s">
        <v>90</v>
      </c>
      <c r="E1092" t="s">
        <v>91</v>
      </c>
      <c r="F1092">
        <v>1659</v>
      </c>
      <c r="G1092">
        <v>316604.61</v>
      </c>
      <c r="H1092">
        <v>3991</v>
      </c>
      <c r="I1092">
        <v>4.7415943923013</v>
      </c>
      <c r="J1092">
        <v>759318.63</v>
      </c>
      <c r="K1092">
        <v>4.7593515051332798</v>
      </c>
      <c r="L1092">
        <v>2825</v>
      </c>
      <c r="M1092">
        <v>6.7126054413686598</v>
      </c>
      <c r="N1092">
        <v>190.42889203539801</v>
      </c>
      <c r="O1092">
        <v>537961.62</v>
      </c>
      <c r="P1092">
        <v>6.7438051555535701</v>
      </c>
      <c r="Q1092">
        <v>1166</v>
      </c>
      <c r="R1092">
        <v>2.77058334323393</v>
      </c>
      <c r="S1092">
        <v>189.84306174957101</v>
      </c>
      <c r="T1092">
        <v>221357.01</v>
      </c>
      <c r="U1092">
        <v>2.7748978547129899</v>
      </c>
      <c r="V1092">
        <v>126</v>
      </c>
      <c r="W1092">
        <v>11.413043478260899</v>
      </c>
    </row>
    <row r="1093" spans="1:23" hidden="1" x14ac:dyDescent="0.25">
      <c r="A1093" t="s">
        <v>181</v>
      </c>
      <c r="B1093">
        <v>8</v>
      </c>
      <c r="C1093">
        <v>2025</v>
      </c>
      <c r="D1093" t="s">
        <v>94</v>
      </c>
      <c r="E1093" t="s">
        <v>95</v>
      </c>
      <c r="F1093">
        <v>-4414</v>
      </c>
      <c r="G1093">
        <v>-856299.21</v>
      </c>
      <c r="H1093">
        <v>16120</v>
      </c>
      <c r="I1093">
        <v>19.151716763692502</v>
      </c>
      <c r="J1093">
        <v>3061061.71</v>
      </c>
      <c r="K1093">
        <v>19.186502320895698</v>
      </c>
      <c r="L1093">
        <v>5853</v>
      </c>
      <c r="M1093">
        <v>13.907568017108201</v>
      </c>
      <c r="N1093">
        <v>188.344652315052</v>
      </c>
      <c r="O1093">
        <v>1102381.25</v>
      </c>
      <c r="P1093">
        <v>13.8192839056726</v>
      </c>
      <c r="Q1093">
        <v>10267</v>
      </c>
      <c r="R1093">
        <v>24.395865510276799</v>
      </c>
      <c r="S1093">
        <v>190.774370312652</v>
      </c>
      <c r="T1093">
        <v>1958680.46</v>
      </c>
      <c r="U1093">
        <v>24.553720736118699</v>
      </c>
      <c r="V1093">
        <v>211</v>
      </c>
      <c r="W1093">
        <v>19.1123188405797</v>
      </c>
    </row>
    <row r="1094" spans="1:23" hidden="1" x14ac:dyDescent="0.25">
      <c r="A1094" t="s">
        <v>181</v>
      </c>
      <c r="B1094">
        <v>8</v>
      </c>
      <c r="C1094">
        <v>2025</v>
      </c>
      <c r="D1094" t="s">
        <v>102</v>
      </c>
      <c r="E1094" t="s">
        <v>103</v>
      </c>
      <c r="F1094">
        <v>-434</v>
      </c>
      <c r="G1094">
        <v>-77833.91</v>
      </c>
      <c r="H1094">
        <v>5502</v>
      </c>
      <c r="I1094">
        <v>6.5367708209575897</v>
      </c>
      <c r="J1094">
        <v>1041718.69</v>
      </c>
      <c r="K1094">
        <v>6.5294136338745803</v>
      </c>
      <c r="L1094">
        <v>2534</v>
      </c>
      <c r="M1094">
        <v>6.0211476773197097</v>
      </c>
      <c r="N1094">
        <v>190.19036700868199</v>
      </c>
      <c r="O1094">
        <v>481942.39</v>
      </c>
      <c r="P1094">
        <v>6.0415565972193503</v>
      </c>
      <c r="Q1094">
        <v>2968</v>
      </c>
      <c r="R1094">
        <v>7.0523939645954599</v>
      </c>
      <c r="S1094">
        <v>188.60387466307299</v>
      </c>
      <c r="T1094">
        <v>559776.30000000005</v>
      </c>
      <c r="U1094">
        <v>7.0172706705297996</v>
      </c>
      <c r="V1094">
        <v>133</v>
      </c>
      <c r="W1094">
        <v>12.0471014492754</v>
      </c>
    </row>
    <row r="1095" spans="1:23" hidden="1" x14ac:dyDescent="0.25">
      <c r="A1095" t="s">
        <v>181</v>
      </c>
      <c r="B1095">
        <v>8</v>
      </c>
      <c r="C1095">
        <v>2025</v>
      </c>
      <c r="D1095" t="s">
        <v>161</v>
      </c>
      <c r="E1095" t="s">
        <v>162</v>
      </c>
      <c r="F1095">
        <v>315</v>
      </c>
      <c r="G1095">
        <v>59546.55</v>
      </c>
      <c r="H1095">
        <v>315</v>
      </c>
      <c r="I1095">
        <v>0.37424260425329697</v>
      </c>
      <c r="J1095">
        <v>59546.55</v>
      </c>
      <c r="K1095">
        <v>0.37323325303896998</v>
      </c>
      <c r="L1095">
        <v>315</v>
      </c>
      <c r="M1095">
        <v>0.74848520850659395</v>
      </c>
      <c r="N1095">
        <v>189.036666666667</v>
      </c>
      <c r="O1095">
        <v>59546.55</v>
      </c>
      <c r="P1095">
        <v>0.74646650607793996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2</v>
      </c>
      <c r="W1095">
        <v>0.18115942028985499</v>
      </c>
    </row>
    <row r="1096" spans="1:23" hidden="1" x14ac:dyDescent="0.25">
      <c r="A1096" t="s">
        <v>181</v>
      </c>
      <c r="B1096">
        <v>8</v>
      </c>
      <c r="C1096">
        <v>2025</v>
      </c>
      <c r="D1096" t="s">
        <v>104</v>
      </c>
      <c r="E1096" t="s">
        <v>105</v>
      </c>
      <c r="F1096">
        <v>1882</v>
      </c>
      <c r="G1096">
        <v>360310.48</v>
      </c>
      <c r="H1096">
        <v>2602</v>
      </c>
      <c r="I1096">
        <v>3.09136271830819</v>
      </c>
      <c r="J1096">
        <v>495532.32</v>
      </c>
      <c r="K1096">
        <v>3.1059589477400098</v>
      </c>
      <c r="L1096">
        <v>2242</v>
      </c>
      <c r="M1096">
        <v>5.3273137697516901</v>
      </c>
      <c r="N1096">
        <v>190.865923282783</v>
      </c>
      <c r="O1096">
        <v>427921.4</v>
      </c>
      <c r="P1096">
        <v>5.3643576720058599</v>
      </c>
      <c r="Q1096">
        <v>360</v>
      </c>
      <c r="R1096">
        <v>0.85541166686467895</v>
      </c>
      <c r="S1096">
        <v>187.808111111111</v>
      </c>
      <c r="T1096">
        <v>67610.92</v>
      </c>
      <c r="U1096">
        <v>0.84756022347415705</v>
      </c>
      <c r="V1096">
        <v>54</v>
      </c>
      <c r="W1096">
        <v>4.8913043478260896</v>
      </c>
    </row>
    <row r="1097" spans="1:23" hidden="1" x14ac:dyDescent="0.25">
      <c r="A1097" t="s">
        <v>181</v>
      </c>
      <c r="B1097">
        <v>8</v>
      </c>
      <c r="C1097">
        <v>2025</v>
      </c>
      <c r="D1097" t="s">
        <v>106</v>
      </c>
      <c r="E1097" t="s">
        <v>107</v>
      </c>
      <c r="F1097">
        <v>-1548</v>
      </c>
      <c r="G1097">
        <v>-293385.65999999997</v>
      </c>
      <c r="H1097">
        <v>12908</v>
      </c>
      <c r="I1097">
        <v>15.3356302720684</v>
      </c>
      <c r="J1097">
        <v>2438990.9</v>
      </c>
      <c r="K1097">
        <v>15.2874097280102</v>
      </c>
      <c r="L1097">
        <v>5680</v>
      </c>
      <c r="M1097">
        <v>13.4964951883094</v>
      </c>
      <c r="N1097">
        <v>188.873700704225</v>
      </c>
      <c r="O1097">
        <v>1072802.6200000001</v>
      </c>
      <c r="P1097">
        <v>13.4484906927884</v>
      </c>
      <c r="Q1097">
        <v>7228</v>
      </c>
      <c r="R1097">
        <v>17.1747653558275</v>
      </c>
      <c r="S1097">
        <v>189.01332042058701</v>
      </c>
      <c r="T1097">
        <v>1366188.28</v>
      </c>
      <c r="U1097">
        <v>17.1263287632319</v>
      </c>
      <c r="V1097">
        <v>75</v>
      </c>
      <c r="W1097">
        <v>6.7934782608695601</v>
      </c>
    </row>
    <row r="1098" spans="1:23" hidden="1" x14ac:dyDescent="0.25">
      <c r="A1098" t="s">
        <v>181</v>
      </c>
      <c r="B1098">
        <v>8</v>
      </c>
      <c r="C1098">
        <v>2025</v>
      </c>
      <c r="D1098" t="s">
        <v>110</v>
      </c>
      <c r="E1098" t="s">
        <v>111</v>
      </c>
      <c r="F1098">
        <v>97</v>
      </c>
      <c r="G1098">
        <v>18159.990000000002</v>
      </c>
      <c r="H1098">
        <v>131</v>
      </c>
      <c r="I1098">
        <v>0.15563740049899</v>
      </c>
      <c r="J1098">
        <v>24671.57</v>
      </c>
      <c r="K1098">
        <v>0.15463952703689199</v>
      </c>
      <c r="L1098">
        <v>114</v>
      </c>
      <c r="M1098">
        <v>0.27088036117381498</v>
      </c>
      <c r="N1098">
        <v>187.857719298246</v>
      </c>
      <c r="O1098">
        <v>21415.78</v>
      </c>
      <c r="P1098">
        <v>0.268464965166476</v>
      </c>
      <c r="Q1098">
        <v>17</v>
      </c>
      <c r="R1098">
        <v>4.03944398241654E-2</v>
      </c>
      <c r="S1098">
        <v>191.517058823529</v>
      </c>
      <c r="T1098">
        <v>3255.79</v>
      </c>
      <c r="U1098">
        <v>4.0814088907308602E-2</v>
      </c>
      <c r="V1098">
        <v>8</v>
      </c>
      <c r="W1098">
        <v>0.72463768115941996</v>
      </c>
    </row>
    <row r="1099" spans="1:23" hidden="1" x14ac:dyDescent="0.25">
      <c r="A1099" t="s">
        <v>181</v>
      </c>
      <c r="B1099">
        <v>8</v>
      </c>
      <c r="C1099">
        <v>2025</v>
      </c>
      <c r="D1099" t="s">
        <v>116</v>
      </c>
      <c r="E1099" t="s">
        <v>117</v>
      </c>
      <c r="F1099">
        <v>-49</v>
      </c>
      <c r="G1099">
        <v>-9407.5400000000009</v>
      </c>
      <c r="H1099">
        <v>49</v>
      </c>
      <c r="I1099">
        <v>5.8215516217179498E-2</v>
      </c>
      <c r="J1099">
        <v>9407.5400000000009</v>
      </c>
      <c r="K1099">
        <v>5.89657462488462E-2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49</v>
      </c>
      <c r="R1099">
        <v>0.116431032434359</v>
      </c>
      <c r="S1099">
        <v>191.99061224489799</v>
      </c>
      <c r="T1099">
        <v>9407.5400000000009</v>
      </c>
      <c r="U1099">
        <v>0.117931492497692</v>
      </c>
      <c r="V1099">
        <v>4</v>
      </c>
      <c r="W1099">
        <v>0.36231884057970998</v>
      </c>
    </row>
    <row r="1100" spans="1:23" hidden="1" x14ac:dyDescent="0.25">
      <c r="A1100" t="s">
        <v>181</v>
      </c>
      <c r="B1100">
        <v>8</v>
      </c>
      <c r="C1100">
        <v>2025</v>
      </c>
      <c r="D1100" t="s">
        <v>122</v>
      </c>
      <c r="E1100" t="s">
        <v>123</v>
      </c>
      <c r="F1100">
        <v>-5849</v>
      </c>
      <c r="G1100">
        <v>-1107703.81</v>
      </c>
      <c r="H1100">
        <v>5883</v>
      </c>
      <c r="I1100">
        <v>6.98942616134015</v>
      </c>
      <c r="J1100">
        <v>1114073.03</v>
      </c>
      <c r="K1100">
        <v>6.98292514192479</v>
      </c>
      <c r="L1100">
        <v>17</v>
      </c>
      <c r="M1100">
        <v>4.03944398241654E-2</v>
      </c>
      <c r="N1100">
        <v>187.33</v>
      </c>
      <c r="O1100">
        <v>3184.61</v>
      </c>
      <c r="P1100">
        <v>3.9921787239073803E-2</v>
      </c>
      <c r="Q1100">
        <v>5866</v>
      </c>
      <c r="R1100">
        <v>13.938457882856101</v>
      </c>
      <c r="S1100">
        <v>189.37750085236999</v>
      </c>
      <c r="T1100">
        <v>1110888.42</v>
      </c>
      <c r="U1100">
        <v>13.925928496610499</v>
      </c>
      <c r="V1100">
        <v>36</v>
      </c>
      <c r="W1100">
        <v>3.2608695652173898</v>
      </c>
    </row>
    <row r="1101" spans="1:23" hidden="1" x14ac:dyDescent="0.25">
      <c r="A1101" t="s">
        <v>181</v>
      </c>
      <c r="B1101">
        <v>8</v>
      </c>
      <c r="C1101">
        <v>2025</v>
      </c>
      <c r="D1101" t="s">
        <v>126</v>
      </c>
      <c r="E1101" t="s">
        <v>127</v>
      </c>
      <c r="F1101">
        <v>282</v>
      </c>
      <c r="G1101">
        <v>53344.3</v>
      </c>
      <c r="H1101">
        <v>282</v>
      </c>
      <c r="I1101">
        <v>0.33503623618866601</v>
      </c>
      <c r="J1101">
        <v>53344.3</v>
      </c>
      <c r="K1101">
        <v>0.33435802107908402</v>
      </c>
      <c r="L1101">
        <v>282</v>
      </c>
      <c r="M1101">
        <v>0.67007247237733203</v>
      </c>
      <c r="N1101">
        <v>189.16418439716301</v>
      </c>
      <c r="O1101">
        <v>53344.3</v>
      </c>
      <c r="P1101">
        <v>0.66871604215816705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6</v>
      </c>
      <c r="W1101">
        <v>0.54347826086956497</v>
      </c>
    </row>
    <row r="1102" spans="1:23" hidden="1" x14ac:dyDescent="0.25">
      <c r="A1102" t="s">
        <v>181</v>
      </c>
      <c r="B1102">
        <v>8</v>
      </c>
      <c r="C1102">
        <v>2025</v>
      </c>
      <c r="D1102" t="s">
        <v>130</v>
      </c>
      <c r="E1102" t="s">
        <v>131</v>
      </c>
      <c r="F1102">
        <v>-233</v>
      </c>
      <c r="G1102">
        <v>-42601.32</v>
      </c>
      <c r="H1102">
        <v>1211</v>
      </c>
      <c r="I1102">
        <v>1.4387549007960101</v>
      </c>
      <c r="J1102">
        <v>230871.56</v>
      </c>
      <c r="K1102">
        <v>1.4470854041582899</v>
      </c>
      <c r="L1102">
        <v>489</v>
      </c>
      <c r="M1102">
        <v>1.16193418082452</v>
      </c>
      <c r="N1102">
        <v>192.50535787321101</v>
      </c>
      <c r="O1102">
        <v>94135.12</v>
      </c>
      <c r="P1102">
        <v>1.18006356582586</v>
      </c>
      <c r="Q1102">
        <v>722</v>
      </c>
      <c r="R1102">
        <v>1.7155756207674899</v>
      </c>
      <c r="S1102">
        <v>189.385650969529</v>
      </c>
      <c r="T1102">
        <v>136736.44</v>
      </c>
      <c r="U1102">
        <v>1.71410724249072</v>
      </c>
      <c r="V1102">
        <v>22</v>
      </c>
      <c r="W1102">
        <v>1.99275362318841</v>
      </c>
    </row>
    <row r="1103" spans="1:23" hidden="1" x14ac:dyDescent="0.25">
      <c r="A1103" t="s">
        <v>181</v>
      </c>
      <c r="B1103">
        <v>8</v>
      </c>
      <c r="C1103">
        <v>2025</v>
      </c>
      <c r="D1103" t="s">
        <v>132</v>
      </c>
      <c r="E1103" t="s">
        <v>133</v>
      </c>
      <c r="F1103">
        <v>349</v>
      </c>
      <c r="G1103">
        <v>66533.210000000006</v>
      </c>
      <c r="H1103">
        <v>381</v>
      </c>
      <c r="I1103">
        <v>0.452655340382559</v>
      </c>
      <c r="J1103">
        <v>72530.53</v>
      </c>
      <c r="K1103">
        <v>0.454615853589177</v>
      </c>
      <c r="L1103">
        <v>365</v>
      </c>
      <c r="M1103">
        <v>0.86729238446002099</v>
      </c>
      <c r="N1103">
        <v>190.49827397260299</v>
      </c>
      <c r="O1103">
        <v>69531.87</v>
      </c>
      <c r="P1103">
        <v>0.87164096089471998</v>
      </c>
      <c r="Q1103">
        <v>16</v>
      </c>
      <c r="R1103">
        <v>3.8018296305096802E-2</v>
      </c>
      <c r="S1103">
        <v>187.41624999999999</v>
      </c>
      <c r="T1103">
        <v>2998.66</v>
      </c>
      <c r="U1103">
        <v>3.7590746283633097E-2</v>
      </c>
      <c r="V1103">
        <v>21</v>
      </c>
      <c r="W1103">
        <v>1.90217391304348</v>
      </c>
    </row>
    <row r="1104" spans="1:23" hidden="1" x14ac:dyDescent="0.25">
      <c r="A1104" t="s">
        <v>181</v>
      </c>
      <c r="B1104">
        <v>8</v>
      </c>
      <c r="C1104">
        <v>2025</v>
      </c>
      <c r="D1104" t="s">
        <v>136</v>
      </c>
      <c r="E1104" t="s">
        <v>137</v>
      </c>
      <c r="F1104">
        <v>59</v>
      </c>
      <c r="G1104">
        <v>11363.38</v>
      </c>
      <c r="H1104">
        <v>161</v>
      </c>
      <c r="I1104">
        <v>0.191279553285018</v>
      </c>
      <c r="J1104">
        <v>30944.32</v>
      </c>
      <c r="K1104">
        <v>0.193956647642539</v>
      </c>
      <c r="L1104">
        <v>110</v>
      </c>
      <c r="M1104">
        <v>0.261375787097541</v>
      </c>
      <c r="N1104">
        <v>192.30772727272699</v>
      </c>
      <c r="O1104">
        <v>21153.85</v>
      </c>
      <c r="P1104">
        <v>0.26518145047188801</v>
      </c>
      <c r="Q1104">
        <v>51</v>
      </c>
      <c r="R1104">
        <v>0.121183319472496</v>
      </c>
      <c r="S1104">
        <v>191.97</v>
      </c>
      <c r="T1104">
        <v>9790.4699999999993</v>
      </c>
      <c r="U1104">
        <v>0.12273184481318999</v>
      </c>
      <c r="V1104">
        <v>5</v>
      </c>
      <c r="W1104">
        <v>0.45289855072463803</v>
      </c>
    </row>
    <row r="1105" spans="1:23" hidden="1" x14ac:dyDescent="0.25">
      <c r="A1105" t="s">
        <v>181</v>
      </c>
      <c r="B1105">
        <v>8</v>
      </c>
      <c r="C1105">
        <v>2025</v>
      </c>
      <c r="D1105" t="s">
        <v>171</v>
      </c>
      <c r="E1105" t="s">
        <v>172</v>
      </c>
      <c r="F1105">
        <v>639</v>
      </c>
      <c r="G1105">
        <v>121540.68</v>
      </c>
      <c r="H1105">
        <v>639</v>
      </c>
      <c r="I1105">
        <v>0.75917785434240204</v>
      </c>
      <c r="J1105">
        <v>121540.68</v>
      </c>
      <c r="K1105">
        <v>0.76180775163243597</v>
      </c>
      <c r="L1105">
        <v>639</v>
      </c>
      <c r="M1105">
        <v>1.5183557086848001</v>
      </c>
      <c r="N1105">
        <v>190.20450704225399</v>
      </c>
      <c r="O1105">
        <v>121540.68</v>
      </c>
      <c r="P1105">
        <v>1.5236155032648699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3</v>
      </c>
      <c r="W1105">
        <v>0.27173913043478298</v>
      </c>
    </row>
    <row r="1106" spans="1:23" hidden="1" x14ac:dyDescent="0.25">
      <c r="A1106" t="s">
        <v>181</v>
      </c>
      <c r="B1106">
        <v>8</v>
      </c>
      <c r="C1106">
        <v>2025</v>
      </c>
      <c r="D1106" t="s">
        <v>138</v>
      </c>
      <c r="E1106" t="s">
        <v>139</v>
      </c>
      <c r="F1106">
        <v>7396</v>
      </c>
      <c r="G1106">
        <v>1414057.93</v>
      </c>
      <c r="H1106">
        <v>7396</v>
      </c>
      <c r="I1106">
        <v>8.7869787335155003</v>
      </c>
      <c r="J1106">
        <v>1414057.93</v>
      </c>
      <c r="K1106">
        <v>8.8632077122763899</v>
      </c>
      <c r="L1106">
        <v>7396</v>
      </c>
      <c r="M1106">
        <v>17.573957467031001</v>
      </c>
      <c r="N1106">
        <v>191.19225662520299</v>
      </c>
      <c r="O1106">
        <v>1414057.93</v>
      </c>
      <c r="P1106">
        <v>17.726415424552801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54</v>
      </c>
      <c r="W1106">
        <v>4.8913043478260896</v>
      </c>
    </row>
    <row r="1107" spans="1:23" hidden="1" x14ac:dyDescent="0.25">
      <c r="A1107" t="s">
        <v>181</v>
      </c>
      <c r="B1107">
        <v>8</v>
      </c>
      <c r="C1107">
        <v>2025</v>
      </c>
      <c r="D1107" t="s">
        <v>142</v>
      </c>
      <c r="E1107" t="s">
        <v>143</v>
      </c>
      <c r="F1107">
        <v>87</v>
      </c>
      <c r="G1107">
        <v>16917.96</v>
      </c>
      <c r="H1107">
        <v>393</v>
      </c>
      <c r="I1107">
        <v>0.46691220149696999</v>
      </c>
      <c r="J1107">
        <v>74816.3</v>
      </c>
      <c r="K1107">
        <v>0.46894288635260101</v>
      </c>
      <c r="L1107">
        <v>240</v>
      </c>
      <c r="M1107">
        <v>0.57027444457645204</v>
      </c>
      <c r="N1107">
        <v>191.11304166666699</v>
      </c>
      <c r="O1107">
        <v>45867.13</v>
      </c>
      <c r="P1107">
        <v>0.574983374770203</v>
      </c>
      <c r="Q1107">
        <v>153</v>
      </c>
      <c r="R1107">
        <v>0.363549958417488</v>
      </c>
      <c r="S1107">
        <v>189.210261437909</v>
      </c>
      <c r="T1107">
        <v>28949.17</v>
      </c>
      <c r="U1107">
        <v>0.36290239793499901</v>
      </c>
      <c r="V1107">
        <v>29</v>
      </c>
      <c r="W1107">
        <v>2.6268115942028998</v>
      </c>
    </row>
    <row r="1108" spans="1:23" hidden="1" x14ac:dyDescent="0.25">
      <c r="A1108" t="s">
        <v>181</v>
      </c>
      <c r="B1108">
        <v>8</v>
      </c>
      <c r="C1108">
        <v>2025</v>
      </c>
      <c r="D1108" t="s">
        <v>146</v>
      </c>
      <c r="E1108" t="s">
        <v>147</v>
      </c>
      <c r="F1108">
        <v>-87</v>
      </c>
      <c r="G1108">
        <v>-15808.54</v>
      </c>
      <c r="H1108">
        <v>437</v>
      </c>
      <c r="I1108">
        <v>0.51918735891647805</v>
      </c>
      <c r="J1108">
        <v>82852.72</v>
      </c>
      <c r="K1108">
        <v>0.51931455657341896</v>
      </c>
      <c r="L1108">
        <v>175</v>
      </c>
      <c r="M1108">
        <v>0.41582511583699699</v>
      </c>
      <c r="N1108">
        <v>191.5548</v>
      </c>
      <c r="O1108">
        <v>33522.089999999997</v>
      </c>
      <c r="P1108">
        <v>0.42022782845908402</v>
      </c>
      <c r="Q1108">
        <v>262</v>
      </c>
      <c r="R1108">
        <v>0.62254960199596099</v>
      </c>
      <c r="S1108">
        <v>188.28484732824401</v>
      </c>
      <c r="T1108">
        <v>49330.63</v>
      </c>
      <c r="U1108">
        <v>0.61840128468775402</v>
      </c>
      <c r="V1108">
        <v>10</v>
      </c>
      <c r="W1108">
        <v>0.90579710144927505</v>
      </c>
    </row>
    <row r="1109" spans="1:23" x14ac:dyDescent="0.25">
      <c r="A1109" t="s">
        <v>181</v>
      </c>
      <c r="B1109">
        <v>8</v>
      </c>
      <c r="C1109">
        <v>2025</v>
      </c>
      <c r="D1109" t="s">
        <v>148</v>
      </c>
      <c r="E1109" t="s">
        <v>148</v>
      </c>
      <c r="F1109">
        <v>0</v>
      </c>
      <c r="G1109" s="4">
        <v>-1.1776251085393601E-9</v>
      </c>
      <c r="H1109">
        <v>84170</v>
      </c>
      <c r="I1109">
        <v>0</v>
      </c>
      <c r="J1109">
        <v>15954245.640000001</v>
      </c>
      <c r="K1109">
        <v>0</v>
      </c>
      <c r="L1109">
        <v>42085</v>
      </c>
      <c r="M1109">
        <v>100</v>
      </c>
      <c r="N1109">
        <v>190.19036700868199</v>
      </c>
      <c r="O1109">
        <v>7977122.8200000003</v>
      </c>
      <c r="P1109">
        <v>100</v>
      </c>
      <c r="Q1109">
        <v>42085</v>
      </c>
      <c r="R1109">
        <v>100</v>
      </c>
      <c r="S1109">
        <v>189.01332042058701</v>
      </c>
      <c r="T1109">
        <v>7977122.8200000003</v>
      </c>
      <c r="U1109">
        <v>100</v>
      </c>
      <c r="V1109">
        <v>1104</v>
      </c>
      <c r="W1109">
        <v>100</v>
      </c>
    </row>
    <row r="1110" spans="1:23" hidden="1" x14ac:dyDescent="0.25">
      <c r="A1110" t="s">
        <v>181</v>
      </c>
      <c r="B1110">
        <v>8</v>
      </c>
      <c r="C1110">
        <v>2025</v>
      </c>
      <c r="D1110" t="s">
        <v>149</v>
      </c>
      <c r="E1110" t="s">
        <v>150</v>
      </c>
      <c r="F1110">
        <v>-156</v>
      </c>
      <c r="G1110">
        <v>-29530.45</v>
      </c>
      <c r="H1110">
        <v>156</v>
      </c>
      <c r="I1110">
        <v>0.18533919448734701</v>
      </c>
      <c r="J1110">
        <v>29530.45</v>
      </c>
      <c r="K1110">
        <v>0.18509461786122999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156</v>
      </c>
      <c r="R1110">
        <v>0.37067838897469402</v>
      </c>
      <c r="S1110">
        <v>189.297756410256</v>
      </c>
      <c r="T1110">
        <v>29530.45</v>
      </c>
      <c r="U1110">
        <v>0.37018923572245999</v>
      </c>
      <c r="V1110">
        <v>4</v>
      </c>
      <c r="W1110">
        <v>0.36231884057970998</v>
      </c>
    </row>
    <row r="1111" spans="1:23" hidden="1" x14ac:dyDescent="0.25">
      <c r="A1111" t="s">
        <v>181</v>
      </c>
      <c r="B1111">
        <v>8</v>
      </c>
      <c r="C1111">
        <v>2025</v>
      </c>
      <c r="D1111" t="s">
        <v>151</v>
      </c>
      <c r="E1111" t="s">
        <v>152</v>
      </c>
      <c r="F1111">
        <v>-508</v>
      </c>
      <c r="G1111">
        <v>-105720.400000001</v>
      </c>
      <c r="H1111">
        <v>24174</v>
      </c>
      <c r="I1111">
        <v>28.720446714981598</v>
      </c>
      <c r="J1111">
        <v>4565568.16</v>
      </c>
      <c r="K1111">
        <v>28.616634487269899</v>
      </c>
      <c r="L1111">
        <v>11833</v>
      </c>
      <c r="M1111">
        <v>28.116906261138201</v>
      </c>
      <c r="N1111">
        <v>188.44957998816901</v>
      </c>
      <c r="O1111">
        <v>2229923.88</v>
      </c>
      <c r="P1111">
        <v>27.953987049180199</v>
      </c>
      <c r="Q1111">
        <v>12341</v>
      </c>
      <c r="R1111">
        <v>29.323987168824999</v>
      </c>
      <c r="S1111">
        <v>189.258915809092</v>
      </c>
      <c r="T1111">
        <v>2335644.2799999998</v>
      </c>
      <c r="U1111">
        <v>29.279281925359701</v>
      </c>
      <c r="V1111">
        <v>273</v>
      </c>
      <c r="W1111">
        <v>24.728260869565201</v>
      </c>
    </row>
    <row r="1112" spans="1:23" hidden="1" x14ac:dyDescent="0.25">
      <c r="A1112" t="s">
        <v>181</v>
      </c>
      <c r="B1112">
        <v>8</v>
      </c>
      <c r="C1112">
        <v>2025</v>
      </c>
      <c r="D1112" t="s">
        <v>153</v>
      </c>
      <c r="E1112" t="s">
        <v>154</v>
      </c>
      <c r="F1112">
        <v>2</v>
      </c>
      <c r="G1112">
        <v>372.2</v>
      </c>
      <c r="H1112">
        <v>6</v>
      </c>
      <c r="I1112">
        <v>7.1284305572056599E-3</v>
      </c>
      <c r="J1112">
        <v>1116.52</v>
      </c>
      <c r="K1112">
        <v>6.99826256404562E-3</v>
      </c>
      <c r="L1112">
        <v>4</v>
      </c>
      <c r="M1112">
        <v>9.5045740762742092E-3</v>
      </c>
      <c r="N1112">
        <v>186.09</v>
      </c>
      <c r="O1112">
        <v>744.36</v>
      </c>
      <c r="P1112">
        <v>9.3311838967022505E-3</v>
      </c>
      <c r="Q1112">
        <v>2</v>
      </c>
      <c r="R1112">
        <v>4.7522870381371003E-3</v>
      </c>
      <c r="S1112">
        <v>186.08</v>
      </c>
      <c r="T1112">
        <v>372.16</v>
      </c>
      <c r="U1112">
        <v>4.6653412313889904E-3</v>
      </c>
      <c r="V1112">
        <v>3</v>
      </c>
      <c r="W1112">
        <v>0.27173913043478298</v>
      </c>
    </row>
    <row r="1113" spans="1:23" hidden="1" x14ac:dyDescent="0.25">
      <c r="A1113" t="s">
        <v>181</v>
      </c>
      <c r="B1113">
        <v>9</v>
      </c>
      <c r="C1113">
        <v>2025</v>
      </c>
      <c r="D1113" t="s">
        <v>88</v>
      </c>
      <c r="E1113" t="s">
        <v>89</v>
      </c>
      <c r="F1113">
        <v>2971</v>
      </c>
      <c r="G1113">
        <v>615017.86</v>
      </c>
      <c r="H1113">
        <v>3407</v>
      </c>
      <c r="I1113">
        <v>3.5166491195474898</v>
      </c>
      <c r="J1113">
        <v>705671.9</v>
      </c>
      <c r="K1113">
        <v>3.5164670230325901</v>
      </c>
      <c r="L1113">
        <v>3189</v>
      </c>
      <c r="M1113">
        <v>6.5832662414070704</v>
      </c>
      <c r="N1113">
        <v>207.06957666980199</v>
      </c>
      <c r="O1113">
        <v>660344.88</v>
      </c>
      <c r="P1113">
        <v>6.5811916114228604</v>
      </c>
      <c r="Q1113">
        <v>218</v>
      </c>
      <c r="R1113">
        <v>0.45003199768790902</v>
      </c>
      <c r="S1113">
        <v>207.92211009174301</v>
      </c>
      <c r="T1113">
        <v>45327.02</v>
      </c>
      <c r="U1113">
        <v>0.45174243464232799</v>
      </c>
      <c r="V1113">
        <v>59</v>
      </c>
      <c r="W1113">
        <v>2.85024154589372</v>
      </c>
    </row>
    <row r="1114" spans="1:23" hidden="1" x14ac:dyDescent="0.25">
      <c r="A1114" t="s">
        <v>181</v>
      </c>
      <c r="B1114">
        <v>9</v>
      </c>
      <c r="C1114">
        <v>2025</v>
      </c>
      <c r="D1114" t="s">
        <v>90</v>
      </c>
      <c r="E1114" t="s">
        <v>91</v>
      </c>
      <c r="F1114">
        <v>3714</v>
      </c>
      <c r="G1114">
        <v>769460.82</v>
      </c>
      <c r="H1114">
        <v>9410</v>
      </c>
      <c r="I1114">
        <v>9.7128465556037202</v>
      </c>
      <c r="J1114">
        <v>1898913.62</v>
      </c>
      <c r="K1114">
        <v>9.4625662780641306</v>
      </c>
      <c r="L1114">
        <v>6562</v>
      </c>
      <c r="M1114">
        <v>13.5463760037984</v>
      </c>
      <c r="N1114">
        <v>203.32021030173701</v>
      </c>
      <c r="O1114">
        <v>1334187.22</v>
      </c>
      <c r="P1114">
        <v>13.2969028855521</v>
      </c>
      <c r="Q1114">
        <v>2848</v>
      </c>
      <c r="R1114">
        <v>5.87931710740901</v>
      </c>
      <c r="S1114">
        <v>198.288764044944</v>
      </c>
      <c r="T1114">
        <v>564726.4</v>
      </c>
      <c r="U1114">
        <v>5.6282296705761201</v>
      </c>
      <c r="V1114">
        <v>206</v>
      </c>
      <c r="W1114">
        <v>9.9516908212560402</v>
      </c>
    </row>
    <row r="1115" spans="1:23" hidden="1" x14ac:dyDescent="0.25">
      <c r="A1115" t="s">
        <v>181</v>
      </c>
      <c r="B1115">
        <v>9</v>
      </c>
      <c r="C1115">
        <v>2025</v>
      </c>
      <c r="D1115" t="s">
        <v>92</v>
      </c>
      <c r="E1115" t="s">
        <v>93</v>
      </c>
      <c r="F1115">
        <v>745</v>
      </c>
      <c r="G1115">
        <v>169415.25</v>
      </c>
      <c r="H1115">
        <v>745</v>
      </c>
      <c r="I1115">
        <v>0.76897669329700002</v>
      </c>
      <c r="J1115">
        <v>169415.25</v>
      </c>
      <c r="K1115">
        <v>0.844221145583128</v>
      </c>
      <c r="L1115">
        <v>745</v>
      </c>
      <c r="M1115">
        <v>1.537953386594</v>
      </c>
      <c r="N1115">
        <v>227.403020134228</v>
      </c>
      <c r="O1115">
        <v>169415.25</v>
      </c>
      <c r="P1115">
        <v>1.68844229116626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5</v>
      </c>
      <c r="W1115">
        <v>0.241545893719807</v>
      </c>
    </row>
    <row r="1116" spans="1:23" hidden="1" x14ac:dyDescent="0.25">
      <c r="A1116" t="s">
        <v>181</v>
      </c>
      <c r="B1116">
        <v>9</v>
      </c>
      <c r="C1116">
        <v>2025</v>
      </c>
      <c r="D1116" t="s">
        <v>94</v>
      </c>
      <c r="E1116" t="s">
        <v>95</v>
      </c>
      <c r="F1116">
        <v>-24837</v>
      </c>
      <c r="G1116">
        <v>-5189193.95</v>
      </c>
      <c r="H1116">
        <v>27431</v>
      </c>
      <c r="I1116">
        <v>28.3138250655437</v>
      </c>
      <c r="J1116">
        <v>5712624.4100000001</v>
      </c>
      <c r="K1116">
        <v>28.466848903486198</v>
      </c>
      <c r="L1116">
        <v>1297</v>
      </c>
      <c r="M1116">
        <v>2.6774839495468701</v>
      </c>
      <c r="N1116">
        <v>201.785065535852</v>
      </c>
      <c r="O1116">
        <v>261715.23</v>
      </c>
      <c r="P1116">
        <v>2.60833108338419</v>
      </c>
      <c r="Q1116">
        <v>26134</v>
      </c>
      <c r="R1116">
        <v>53.950166181540403</v>
      </c>
      <c r="S1116">
        <v>208.57538761766301</v>
      </c>
      <c r="T1116">
        <v>5450909.1799999997</v>
      </c>
      <c r="U1116">
        <v>54.325366723588203</v>
      </c>
      <c r="V1116">
        <v>588</v>
      </c>
      <c r="W1116">
        <v>28.405797101449298</v>
      </c>
    </row>
    <row r="1117" spans="1:23" hidden="1" x14ac:dyDescent="0.25">
      <c r="A1117" t="s">
        <v>181</v>
      </c>
      <c r="B1117">
        <v>9</v>
      </c>
      <c r="C1117">
        <v>2025</v>
      </c>
      <c r="D1117" t="s">
        <v>100</v>
      </c>
      <c r="E1117" t="s">
        <v>101</v>
      </c>
      <c r="F1117">
        <v>66</v>
      </c>
      <c r="G1117">
        <v>15079.68</v>
      </c>
      <c r="H1117">
        <v>66</v>
      </c>
      <c r="I1117">
        <v>6.8124109741747693E-2</v>
      </c>
      <c r="J1117">
        <v>15079.68</v>
      </c>
      <c r="K1117">
        <v>7.5144266673909096E-2</v>
      </c>
      <c r="L1117">
        <v>66</v>
      </c>
      <c r="M1117">
        <v>0.136248219483495</v>
      </c>
      <c r="N1117">
        <v>228.48</v>
      </c>
      <c r="O1117">
        <v>15079.68</v>
      </c>
      <c r="P1117">
        <v>0.150288533347818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1</v>
      </c>
      <c r="W1117">
        <v>4.8309178743961401E-2</v>
      </c>
    </row>
    <row r="1118" spans="1:23" hidden="1" x14ac:dyDescent="0.25">
      <c r="A1118" t="s">
        <v>181</v>
      </c>
      <c r="B1118">
        <v>9</v>
      </c>
      <c r="C1118">
        <v>2025</v>
      </c>
      <c r="D1118" t="s">
        <v>159</v>
      </c>
      <c r="E1118" t="s">
        <v>160</v>
      </c>
      <c r="F1118">
        <v>25</v>
      </c>
      <c r="G1118">
        <v>5610.3</v>
      </c>
      <c r="H1118">
        <v>25</v>
      </c>
      <c r="I1118">
        <v>2.5804587023389301E-2</v>
      </c>
      <c r="J1118">
        <v>5610.3</v>
      </c>
      <c r="K1118">
        <v>2.7956951296090601E-2</v>
      </c>
      <c r="L1118">
        <v>25</v>
      </c>
      <c r="M1118">
        <v>5.1609174046778603E-2</v>
      </c>
      <c r="N1118">
        <v>224.41200000000001</v>
      </c>
      <c r="O1118">
        <v>5610.3</v>
      </c>
      <c r="P1118">
        <v>5.5913902592181298E-2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3</v>
      </c>
      <c r="W1118">
        <v>0.14492753623188401</v>
      </c>
    </row>
    <row r="1119" spans="1:23" hidden="1" x14ac:dyDescent="0.25">
      <c r="A1119" t="s">
        <v>181</v>
      </c>
      <c r="B1119">
        <v>9</v>
      </c>
      <c r="C1119">
        <v>2025</v>
      </c>
      <c r="D1119" t="s">
        <v>102</v>
      </c>
      <c r="E1119" t="s">
        <v>103</v>
      </c>
      <c r="F1119">
        <v>6620</v>
      </c>
      <c r="G1119">
        <v>1379832.01</v>
      </c>
      <c r="H1119">
        <v>13112</v>
      </c>
      <c r="I1119">
        <v>13.5339898020272</v>
      </c>
      <c r="J1119">
        <v>2725545.41</v>
      </c>
      <c r="K1119">
        <v>13.5817942503348</v>
      </c>
      <c r="L1119">
        <v>9866</v>
      </c>
      <c r="M1119">
        <v>20.367044445820699</v>
      </c>
      <c r="N1119">
        <v>208.05683255625399</v>
      </c>
      <c r="O1119">
        <v>2052688.71</v>
      </c>
      <c r="P1119">
        <v>20.457700405149499</v>
      </c>
      <c r="Q1119">
        <v>3246</v>
      </c>
      <c r="R1119">
        <v>6.7009351582337304</v>
      </c>
      <c r="S1119">
        <v>207.287954405422</v>
      </c>
      <c r="T1119">
        <v>672856.7</v>
      </c>
      <c r="U1119">
        <v>6.7058880955201197</v>
      </c>
      <c r="V1119">
        <v>342</v>
      </c>
      <c r="W1119">
        <v>16.521739130434799</v>
      </c>
    </row>
    <row r="1120" spans="1:23" hidden="1" x14ac:dyDescent="0.25">
      <c r="A1120" t="s">
        <v>181</v>
      </c>
      <c r="B1120">
        <v>9</v>
      </c>
      <c r="C1120">
        <v>2025</v>
      </c>
      <c r="D1120" t="s">
        <v>104</v>
      </c>
      <c r="E1120" t="s">
        <v>105</v>
      </c>
      <c r="F1120">
        <v>1546</v>
      </c>
      <c r="G1120">
        <v>323374.3</v>
      </c>
      <c r="H1120">
        <v>2338</v>
      </c>
      <c r="I1120">
        <v>2.41324497842737</v>
      </c>
      <c r="J1120">
        <v>489438.58</v>
      </c>
      <c r="K1120">
        <v>2.4389445383469299</v>
      </c>
      <c r="L1120">
        <v>1942</v>
      </c>
      <c r="M1120">
        <v>4.0090006399537597</v>
      </c>
      <c r="N1120">
        <v>209.27211122554101</v>
      </c>
      <c r="O1120">
        <v>406406.44</v>
      </c>
      <c r="P1120">
        <v>4.0503663082179502</v>
      </c>
      <c r="Q1120">
        <v>396</v>
      </c>
      <c r="R1120">
        <v>0.81748931690097204</v>
      </c>
      <c r="S1120">
        <v>209.67712121212099</v>
      </c>
      <c r="T1120">
        <v>83032.14</v>
      </c>
      <c r="U1120">
        <v>0.827522768475903</v>
      </c>
      <c r="V1120">
        <v>158</v>
      </c>
      <c r="W1120">
        <v>7.6328502415458903</v>
      </c>
    </row>
    <row r="1121" spans="1:23" hidden="1" x14ac:dyDescent="0.25">
      <c r="A1121" t="s">
        <v>181</v>
      </c>
      <c r="B1121">
        <v>9</v>
      </c>
      <c r="C1121">
        <v>2025</v>
      </c>
      <c r="D1121" t="s">
        <v>106</v>
      </c>
      <c r="E1121" t="s">
        <v>107</v>
      </c>
      <c r="F1121">
        <v>1578</v>
      </c>
      <c r="G1121">
        <v>336464.11</v>
      </c>
      <c r="H1121">
        <v>3734</v>
      </c>
      <c r="I1121">
        <v>3.8541731178134202</v>
      </c>
      <c r="J1121">
        <v>766305.93</v>
      </c>
      <c r="K1121">
        <v>3.81861532590333</v>
      </c>
      <c r="L1121">
        <v>2656</v>
      </c>
      <c r="M1121">
        <v>5.4829586507297501</v>
      </c>
      <c r="N1121">
        <v>207.599781626506</v>
      </c>
      <c r="O1121">
        <v>551385.02</v>
      </c>
      <c r="P1121">
        <v>5.4952655471308001</v>
      </c>
      <c r="Q1121">
        <v>1078</v>
      </c>
      <c r="R1121">
        <v>2.2253875848970899</v>
      </c>
      <c r="S1121">
        <v>199.370046382189</v>
      </c>
      <c r="T1121">
        <v>214920.91</v>
      </c>
      <c r="U1121">
        <v>2.1419651046758599</v>
      </c>
      <c r="V1121">
        <v>47</v>
      </c>
      <c r="W1121">
        <v>2.2705314009661799</v>
      </c>
    </row>
    <row r="1122" spans="1:23" hidden="1" x14ac:dyDescent="0.25">
      <c r="A1122" t="s">
        <v>181</v>
      </c>
      <c r="B1122">
        <v>9</v>
      </c>
      <c r="C1122">
        <v>2025</v>
      </c>
      <c r="D1122" t="s">
        <v>110</v>
      </c>
      <c r="E1122" t="s">
        <v>111</v>
      </c>
      <c r="F1122">
        <v>328</v>
      </c>
      <c r="G1122">
        <v>74279.91</v>
      </c>
      <c r="H1122">
        <v>586</v>
      </c>
      <c r="I1122">
        <v>0.60485951982824504</v>
      </c>
      <c r="J1122">
        <v>125942.63</v>
      </c>
      <c r="K1122">
        <v>0.62759067661472001</v>
      </c>
      <c r="L1122">
        <v>457</v>
      </c>
      <c r="M1122">
        <v>0.94341570157511201</v>
      </c>
      <c r="N1122">
        <v>219.06185995623599</v>
      </c>
      <c r="O1122">
        <v>100111.27</v>
      </c>
      <c r="P1122">
        <v>0.99773840956090798</v>
      </c>
      <c r="Q1122">
        <v>129</v>
      </c>
      <c r="R1122">
        <v>0.26630333808137702</v>
      </c>
      <c r="S1122">
        <v>200.24310077519399</v>
      </c>
      <c r="T1122">
        <v>25831.360000000001</v>
      </c>
      <c r="U1122">
        <v>0.25744294366853299</v>
      </c>
      <c r="V1122">
        <v>14</v>
      </c>
      <c r="W1122">
        <v>0.67632850241545905</v>
      </c>
    </row>
    <row r="1123" spans="1:23" hidden="1" x14ac:dyDescent="0.25">
      <c r="A1123" t="s">
        <v>181</v>
      </c>
      <c r="B1123">
        <v>9</v>
      </c>
      <c r="C1123">
        <v>2025</v>
      </c>
      <c r="D1123" t="s">
        <v>116</v>
      </c>
      <c r="E1123" t="s">
        <v>117</v>
      </c>
      <c r="F1123">
        <v>-91</v>
      </c>
      <c r="G1123">
        <v>-18732.900000000001</v>
      </c>
      <c r="H1123">
        <v>715</v>
      </c>
      <c r="I1123">
        <v>0.73801118886893302</v>
      </c>
      <c r="J1123">
        <v>145470.5</v>
      </c>
      <c r="K1123">
        <v>0.72490092927614502</v>
      </c>
      <c r="L1123">
        <v>312</v>
      </c>
      <c r="M1123">
        <v>0.64408249210379598</v>
      </c>
      <c r="N1123">
        <v>203.10512820512801</v>
      </c>
      <c r="O1123">
        <v>63368.800000000003</v>
      </c>
      <c r="P1123">
        <v>0.63155212922364601</v>
      </c>
      <c r="Q1123">
        <v>403</v>
      </c>
      <c r="R1123">
        <v>0.83193988563406995</v>
      </c>
      <c r="S1123">
        <v>203.72630272952901</v>
      </c>
      <c r="T1123">
        <v>82101.7</v>
      </c>
      <c r="U1123">
        <v>0.81824972932864404</v>
      </c>
      <c r="V1123">
        <v>13</v>
      </c>
      <c r="W1123">
        <v>0.62801932367149804</v>
      </c>
    </row>
    <row r="1124" spans="1:23" hidden="1" x14ac:dyDescent="0.25">
      <c r="A1124" t="s">
        <v>181</v>
      </c>
      <c r="B1124">
        <v>9</v>
      </c>
      <c r="C1124">
        <v>2025</v>
      </c>
      <c r="D1124" t="s">
        <v>118</v>
      </c>
      <c r="E1124" t="s">
        <v>119</v>
      </c>
      <c r="F1124">
        <v>-7</v>
      </c>
      <c r="G1124">
        <v>307.29000000000099</v>
      </c>
      <c r="H1124">
        <v>107</v>
      </c>
      <c r="I1124">
        <v>0.11044363246010599</v>
      </c>
      <c r="J1124">
        <v>22540.71</v>
      </c>
      <c r="K1124">
        <v>0.112323678172166</v>
      </c>
      <c r="L1124">
        <v>50</v>
      </c>
      <c r="M1124">
        <v>0.103218348093557</v>
      </c>
      <c r="N1124">
        <v>228.48</v>
      </c>
      <c r="O1124">
        <v>11424</v>
      </c>
      <c r="P1124">
        <v>0.11385494950592299</v>
      </c>
      <c r="Q1124">
        <v>57</v>
      </c>
      <c r="R1124">
        <v>0.11766891682665501</v>
      </c>
      <c r="S1124">
        <v>195.03</v>
      </c>
      <c r="T1124">
        <v>11116.71</v>
      </c>
      <c r="U1124">
        <v>0.110792406838409</v>
      </c>
      <c r="V1124">
        <v>3</v>
      </c>
      <c r="W1124">
        <v>0.14492753623188401</v>
      </c>
    </row>
    <row r="1125" spans="1:23" hidden="1" x14ac:dyDescent="0.25">
      <c r="A1125" t="s">
        <v>181</v>
      </c>
      <c r="B1125">
        <v>9</v>
      </c>
      <c r="C1125">
        <v>2025</v>
      </c>
      <c r="D1125" t="s">
        <v>120</v>
      </c>
      <c r="E1125" t="s">
        <v>121</v>
      </c>
      <c r="F1125">
        <v>-264</v>
      </c>
      <c r="G1125">
        <v>-51203.28</v>
      </c>
      <c r="H1125">
        <v>264</v>
      </c>
      <c r="I1125">
        <v>0.27249643896699099</v>
      </c>
      <c r="J1125">
        <v>51203.28</v>
      </c>
      <c r="K1125">
        <v>0.25515348647311098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264</v>
      </c>
      <c r="R1125">
        <v>0.54499287793398199</v>
      </c>
      <c r="S1125">
        <v>193.951818181818</v>
      </c>
      <c r="T1125">
        <v>51203.28</v>
      </c>
      <c r="U1125">
        <v>0.51030697294622096</v>
      </c>
      <c r="V1125">
        <v>2</v>
      </c>
      <c r="W1125">
        <v>9.6618357487922704E-2</v>
      </c>
    </row>
    <row r="1126" spans="1:23" hidden="1" x14ac:dyDescent="0.25">
      <c r="A1126" t="s">
        <v>181</v>
      </c>
      <c r="B1126">
        <v>9</v>
      </c>
      <c r="C1126">
        <v>2025</v>
      </c>
      <c r="D1126" t="s">
        <v>122</v>
      </c>
      <c r="E1126" t="s">
        <v>123</v>
      </c>
      <c r="F1126">
        <v>-3979</v>
      </c>
      <c r="G1126">
        <v>-820578.34</v>
      </c>
      <c r="H1126">
        <v>3985</v>
      </c>
      <c r="I1126">
        <v>4.1132511715282503</v>
      </c>
      <c r="J1126">
        <v>821727.94</v>
      </c>
      <c r="K1126">
        <v>4.0947913653845402</v>
      </c>
      <c r="L1126">
        <v>3</v>
      </c>
      <c r="M1126">
        <v>6.1931008856134298E-3</v>
      </c>
      <c r="N1126">
        <v>191.6</v>
      </c>
      <c r="O1126">
        <v>574.79999999999995</v>
      </c>
      <c r="P1126">
        <v>5.7286261358547299E-3</v>
      </c>
      <c r="Q1126">
        <v>3982</v>
      </c>
      <c r="R1126">
        <v>8.2203092421708899</v>
      </c>
      <c r="S1126">
        <v>206.21625816172801</v>
      </c>
      <c r="T1126">
        <v>821153.14</v>
      </c>
      <c r="U1126">
        <v>8.1838541046332303</v>
      </c>
      <c r="V1126">
        <v>89</v>
      </c>
      <c r="W1126">
        <v>4.2995169082125599</v>
      </c>
    </row>
    <row r="1127" spans="1:23" hidden="1" x14ac:dyDescent="0.25">
      <c r="A1127" t="s">
        <v>181</v>
      </c>
      <c r="B1127">
        <v>9</v>
      </c>
      <c r="C1127">
        <v>2025</v>
      </c>
      <c r="D1127" t="s">
        <v>126</v>
      </c>
      <c r="E1127" t="s">
        <v>127</v>
      </c>
      <c r="F1127">
        <v>70</v>
      </c>
      <c r="G1127">
        <v>13824.08</v>
      </c>
      <c r="H1127">
        <v>86</v>
      </c>
      <c r="I1127">
        <v>8.8767779360459098E-2</v>
      </c>
      <c r="J1127">
        <v>16922.919999999998</v>
      </c>
      <c r="K1127">
        <v>8.4329403102799905E-2</v>
      </c>
      <c r="L1127">
        <v>78</v>
      </c>
      <c r="M1127">
        <v>0.16102062302594899</v>
      </c>
      <c r="N1127">
        <v>197.09615384615401</v>
      </c>
      <c r="O1127">
        <v>15373.5</v>
      </c>
      <c r="P1127">
        <v>0.15321683002707501</v>
      </c>
      <c r="Q1127">
        <v>8</v>
      </c>
      <c r="R1127">
        <v>1.6514935694969101E-2</v>
      </c>
      <c r="S1127">
        <v>193.67750000000001</v>
      </c>
      <c r="T1127">
        <v>1549.42</v>
      </c>
      <c r="U1127">
        <v>1.54419761785248E-2</v>
      </c>
      <c r="V1127">
        <v>9</v>
      </c>
      <c r="W1127">
        <v>0.434782608695652</v>
      </c>
    </row>
    <row r="1128" spans="1:23" hidden="1" x14ac:dyDescent="0.25">
      <c r="A1128" t="s">
        <v>181</v>
      </c>
      <c r="B1128">
        <v>9</v>
      </c>
      <c r="C1128">
        <v>2025</v>
      </c>
      <c r="D1128" t="s">
        <v>130</v>
      </c>
      <c r="E1128" t="s">
        <v>131</v>
      </c>
      <c r="F1128">
        <v>841</v>
      </c>
      <c r="G1128">
        <v>165079.89000000001</v>
      </c>
      <c r="H1128">
        <v>2407</v>
      </c>
      <c r="I1128">
        <v>2.4844656386119199</v>
      </c>
      <c r="J1128">
        <v>509949.65</v>
      </c>
      <c r="K1128">
        <v>2.5411542214335201</v>
      </c>
      <c r="L1128">
        <v>1624</v>
      </c>
      <c r="M1128">
        <v>3.3525319460787402</v>
      </c>
      <c r="N1128">
        <v>207.82929187192099</v>
      </c>
      <c r="O1128">
        <v>337514.77</v>
      </c>
      <c r="P1128">
        <v>3.3637716295389701</v>
      </c>
      <c r="Q1128">
        <v>783</v>
      </c>
      <c r="R1128">
        <v>1.6163993311450999</v>
      </c>
      <c r="S1128">
        <v>220.22334610472501</v>
      </c>
      <c r="T1128">
        <v>172434.88</v>
      </c>
      <c r="U1128">
        <v>1.7185368133280701</v>
      </c>
      <c r="V1128">
        <v>35</v>
      </c>
      <c r="W1128">
        <v>1.69082125603865</v>
      </c>
    </row>
    <row r="1129" spans="1:23" hidden="1" x14ac:dyDescent="0.25">
      <c r="A1129" t="s">
        <v>181</v>
      </c>
      <c r="B1129">
        <v>9</v>
      </c>
      <c r="C1129">
        <v>2025</v>
      </c>
      <c r="D1129" t="s">
        <v>132</v>
      </c>
      <c r="E1129" t="s">
        <v>133</v>
      </c>
      <c r="F1129">
        <v>2879</v>
      </c>
      <c r="G1129">
        <v>614218.19999999995</v>
      </c>
      <c r="H1129">
        <v>3181</v>
      </c>
      <c r="I1129">
        <v>3.28337565285605</v>
      </c>
      <c r="J1129">
        <v>673105.72</v>
      </c>
      <c r="K1129">
        <v>3.3541849511006601</v>
      </c>
      <c r="L1129">
        <v>3030</v>
      </c>
      <c r="M1129">
        <v>6.2550318944695604</v>
      </c>
      <c r="N1129">
        <v>212.429689768977</v>
      </c>
      <c r="O1129">
        <v>643661.96</v>
      </c>
      <c r="P1129">
        <v>6.4149247159211598</v>
      </c>
      <c r="Q1129">
        <v>151</v>
      </c>
      <c r="R1129">
        <v>0.31171941124254199</v>
      </c>
      <c r="S1129">
        <v>194.99178807947001</v>
      </c>
      <c r="T1129">
        <v>29443.759999999998</v>
      </c>
      <c r="U1129">
        <v>0.29344518628015698</v>
      </c>
      <c r="V1129">
        <v>54</v>
      </c>
      <c r="W1129">
        <v>2.60869565217391</v>
      </c>
    </row>
    <row r="1130" spans="1:23" hidden="1" x14ac:dyDescent="0.25">
      <c r="A1130" t="s">
        <v>181</v>
      </c>
      <c r="B1130">
        <v>9</v>
      </c>
      <c r="C1130">
        <v>2025</v>
      </c>
      <c r="D1130" t="s">
        <v>134</v>
      </c>
      <c r="E1130" t="s">
        <v>135</v>
      </c>
      <c r="F1130">
        <v>889</v>
      </c>
      <c r="G1130">
        <v>191006.3</v>
      </c>
      <c r="H1130">
        <v>889</v>
      </c>
      <c r="I1130">
        <v>0.91761111455172295</v>
      </c>
      <c r="J1130">
        <v>191006.3</v>
      </c>
      <c r="K1130">
        <v>0.95181252809056205</v>
      </c>
      <c r="L1130">
        <v>889</v>
      </c>
      <c r="M1130">
        <v>1.8352222291034499</v>
      </c>
      <c r="N1130">
        <v>214.85523059617501</v>
      </c>
      <c r="O1130">
        <v>191006.3</v>
      </c>
      <c r="P1130">
        <v>1.9036250561811201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9</v>
      </c>
      <c r="W1130">
        <v>0.434782608695652</v>
      </c>
    </row>
    <row r="1131" spans="1:23" hidden="1" x14ac:dyDescent="0.25">
      <c r="A1131" t="s">
        <v>181</v>
      </c>
      <c r="B1131">
        <v>9</v>
      </c>
      <c r="C1131">
        <v>2025</v>
      </c>
      <c r="D1131" t="s">
        <v>136</v>
      </c>
      <c r="E1131" t="s">
        <v>137</v>
      </c>
      <c r="F1131">
        <v>-740</v>
      </c>
      <c r="G1131">
        <v>-175042.27</v>
      </c>
      <c r="H1131">
        <v>1358</v>
      </c>
      <c r="I1131">
        <v>1.4017051671105101</v>
      </c>
      <c r="J1131">
        <v>298800.19</v>
      </c>
      <c r="K1131">
        <v>1.4889653599794399</v>
      </c>
      <c r="L1131">
        <v>309</v>
      </c>
      <c r="M1131">
        <v>0.637889391218183</v>
      </c>
      <c r="N1131">
        <v>200.25553398058301</v>
      </c>
      <c r="O1131">
        <v>61878.96</v>
      </c>
      <c r="P1131">
        <v>0.61670394487736502</v>
      </c>
      <c r="Q1131">
        <v>1049</v>
      </c>
      <c r="R1131">
        <v>2.1655209430028299</v>
      </c>
      <c r="S1131">
        <v>225.85436606291699</v>
      </c>
      <c r="T1131">
        <v>236921.23</v>
      </c>
      <c r="U1131">
        <v>2.3612267750815099</v>
      </c>
      <c r="V1131">
        <v>24</v>
      </c>
      <c r="W1131">
        <v>1.1594202898550701</v>
      </c>
    </row>
    <row r="1132" spans="1:23" hidden="1" x14ac:dyDescent="0.25">
      <c r="A1132" t="s">
        <v>181</v>
      </c>
      <c r="B1132">
        <v>9</v>
      </c>
      <c r="C1132">
        <v>2025</v>
      </c>
      <c r="D1132" t="s">
        <v>171</v>
      </c>
      <c r="E1132" t="s">
        <v>172</v>
      </c>
      <c r="F1132">
        <v>421</v>
      </c>
      <c r="G1132">
        <v>83338.25</v>
      </c>
      <c r="H1132">
        <v>541</v>
      </c>
      <c r="I1132">
        <v>0.55841126318614398</v>
      </c>
      <c r="J1132">
        <v>106596.65</v>
      </c>
      <c r="K1132">
        <v>0.53118680861565704</v>
      </c>
      <c r="L1132">
        <v>481</v>
      </c>
      <c r="M1132">
        <v>0.99296050866001895</v>
      </c>
      <c r="N1132">
        <v>197.43752598752599</v>
      </c>
      <c r="O1132">
        <v>94967.45</v>
      </c>
      <c r="P1132">
        <v>0.94647358407355198</v>
      </c>
      <c r="Q1132">
        <v>60</v>
      </c>
      <c r="R1132">
        <v>0.123862017712269</v>
      </c>
      <c r="S1132">
        <v>193.82</v>
      </c>
      <c r="T1132">
        <v>11629.2</v>
      </c>
      <c r="U1132">
        <v>0.115900033157762</v>
      </c>
      <c r="V1132">
        <v>6</v>
      </c>
      <c r="W1132">
        <v>0.28985507246376802</v>
      </c>
    </row>
    <row r="1133" spans="1:23" hidden="1" x14ac:dyDescent="0.25">
      <c r="A1133" t="s">
        <v>181</v>
      </c>
      <c r="B1133">
        <v>9</v>
      </c>
      <c r="C1133">
        <v>2025</v>
      </c>
      <c r="D1133" t="s">
        <v>138</v>
      </c>
      <c r="E1133" t="s">
        <v>139</v>
      </c>
      <c r="F1133">
        <v>3088</v>
      </c>
      <c r="G1133">
        <v>638072.01</v>
      </c>
      <c r="H1133">
        <v>3088</v>
      </c>
      <c r="I1133">
        <v>3.1873825891290402</v>
      </c>
      <c r="J1133">
        <v>638072.01</v>
      </c>
      <c r="K1133">
        <v>3.1796068137120401</v>
      </c>
      <c r="L1133">
        <v>3088</v>
      </c>
      <c r="M1133">
        <v>6.3747651782580901</v>
      </c>
      <c r="N1133">
        <v>206.62953691709799</v>
      </c>
      <c r="O1133">
        <v>638072.01</v>
      </c>
      <c r="P1133">
        <v>6.3592136274240803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25</v>
      </c>
      <c r="W1133">
        <v>1.2077294685990301</v>
      </c>
    </row>
    <row r="1134" spans="1:23" hidden="1" x14ac:dyDescent="0.25">
      <c r="A1134" t="s">
        <v>181</v>
      </c>
      <c r="B1134">
        <v>9</v>
      </c>
      <c r="C1134">
        <v>2025</v>
      </c>
      <c r="D1134" t="s">
        <v>142</v>
      </c>
      <c r="E1134" t="s">
        <v>143</v>
      </c>
      <c r="F1134">
        <v>2509</v>
      </c>
      <c r="G1134">
        <v>519080.41</v>
      </c>
      <c r="H1134">
        <v>4493</v>
      </c>
      <c r="I1134">
        <v>4.6376003798435201</v>
      </c>
      <c r="J1134">
        <v>912698.85</v>
      </c>
      <c r="K1134">
        <v>4.5481128099117596</v>
      </c>
      <c r="L1134">
        <v>3501</v>
      </c>
      <c r="M1134">
        <v>7.2273487335108699</v>
      </c>
      <c r="N1134">
        <v>204.48147100828299</v>
      </c>
      <c r="O1134">
        <v>715889.63</v>
      </c>
      <c r="P1134">
        <v>7.1347669533844398</v>
      </c>
      <c r="Q1134">
        <v>992</v>
      </c>
      <c r="R1134">
        <v>2.0478520261761699</v>
      </c>
      <c r="S1134">
        <v>198.396391129032</v>
      </c>
      <c r="T1134">
        <v>196809.22</v>
      </c>
      <c r="U1134">
        <v>1.9614586664390801</v>
      </c>
      <c r="V1134">
        <v>133</v>
      </c>
      <c r="W1134">
        <v>6.42512077294686</v>
      </c>
    </row>
    <row r="1135" spans="1:23" hidden="1" x14ac:dyDescent="0.25">
      <c r="A1135" t="s">
        <v>181</v>
      </c>
      <c r="B1135">
        <v>9</v>
      </c>
      <c r="C1135">
        <v>2025</v>
      </c>
      <c r="D1135" t="s">
        <v>146</v>
      </c>
      <c r="E1135" t="s">
        <v>147</v>
      </c>
      <c r="F1135">
        <v>380</v>
      </c>
      <c r="G1135">
        <v>76822.06</v>
      </c>
      <c r="H1135">
        <v>674</v>
      </c>
      <c r="I1135">
        <v>0.69569166615057498</v>
      </c>
      <c r="J1135">
        <v>140611.16</v>
      </c>
      <c r="K1135">
        <v>0.70068612227631499</v>
      </c>
      <c r="L1135">
        <v>527</v>
      </c>
      <c r="M1135">
        <v>1.0879213889060899</v>
      </c>
      <c r="N1135">
        <v>206.29337760910801</v>
      </c>
      <c r="O1135">
        <v>108716.61</v>
      </c>
      <c r="P1135">
        <v>1.0835017631307</v>
      </c>
      <c r="Q1135">
        <v>147</v>
      </c>
      <c r="R1135">
        <v>0.303461943395058</v>
      </c>
      <c r="S1135">
        <v>216.969727891156</v>
      </c>
      <c r="T1135">
        <v>31894.55</v>
      </c>
      <c r="U1135">
        <v>0.31787048142192997</v>
      </c>
      <c r="V1135">
        <v>13</v>
      </c>
      <c r="W1135">
        <v>0.62801932367149804</v>
      </c>
    </row>
    <row r="1136" spans="1:23" x14ac:dyDescent="0.25">
      <c r="A1136" t="s">
        <v>181</v>
      </c>
      <c r="B1136">
        <v>9</v>
      </c>
      <c r="C1136">
        <v>2025</v>
      </c>
      <c r="D1136" t="s">
        <v>148</v>
      </c>
      <c r="E1136" t="s">
        <v>148</v>
      </c>
      <c r="F1136">
        <v>0</v>
      </c>
      <c r="G1136" s="4">
        <v>8.1854523159563503E-11</v>
      </c>
      <c r="H1136">
        <v>96882</v>
      </c>
      <c r="I1136">
        <v>0</v>
      </c>
      <c r="J1136">
        <v>20067638.780000001</v>
      </c>
      <c r="K1136">
        <v>0</v>
      </c>
      <c r="L1136">
        <v>48441</v>
      </c>
      <c r="M1136">
        <v>100</v>
      </c>
      <c r="N1136">
        <v>206.461457263103</v>
      </c>
      <c r="O1136">
        <v>10033819.390000001</v>
      </c>
      <c r="P1136">
        <v>100</v>
      </c>
      <c r="Q1136">
        <v>48441</v>
      </c>
      <c r="R1136">
        <v>100</v>
      </c>
      <c r="S1136">
        <v>198.342577586988</v>
      </c>
      <c r="T1136">
        <v>10033819.390000001</v>
      </c>
      <c r="U1136">
        <v>100</v>
      </c>
      <c r="V1136">
        <v>2070</v>
      </c>
      <c r="W1136">
        <v>100</v>
      </c>
    </row>
    <row r="1137" spans="1:23" hidden="1" x14ac:dyDescent="0.25">
      <c r="A1137" t="s">
        <v>181</v>
      </c>
      <c r="B1137">
        <v>9</v>
      </c>
      <c r="C1137">
        <v>2025</v>
      </c>
      <c r="D1137" t="s">
        <v>149</v>
      </c>
      <c r="E1137" t="s">
        <v>150</v>
      </c>
      <c r="F1137">
        <v>736</v>
      </c>
      <c r="G1137">
        <v>152424.62</v>
      </c>
      <c r="H1137">
        <v>896</v>
      </c>
      <c r="I1137">
        <v>0.92483639891827196</v>
      </c>
      <c r="J1137">
        <v>183884.62</v>
      </c>
      <c r="K1137">
        <v>0.91632414762849301</v>
      </c>
      <c r="L1137">
        <v>816</v>
      </c>
      <c r="M1137">
        <v>1.6845234408868499</v>
      </c>
      <c r="N1137">
        <v>206.071838235294</v>
      </c>
      <c r="O1137">
        <v>168154.62</v>
      </c>
      <c r="P1137">
        <v>1.6758784812051499</v>
      </c>
      <c r="Q1137">
        <v>80</v>
      </c>
      <c r="R1137">
        <v>0.16514935694969099</v>
      </c>
      <c r="S1137">
        <v>196.625</v>
      </c>
      <c r="T1137">
        <v>15730</v>
      </c>
      <c r="U1137">
        <v>0.15676981405183499</v>
      </c>
      <c r="V1137">
        <v>21</v>
      </c>
      <c r="W1137">
        <v>1.01449275362319</v>
      </c>
    </row>
    <row r="1138" spans="1:23" hidden="1" x14ac:dyDescent="0.25">
      <c r="A1138" t="s">
        <v>181</v>
      </c>
      <c r="B1138">
        <v>9</v>
      </c>
      <c r="C1138">
        <v>2025</v>
      </c>
      <c r="D1138" t="s">
        <v>151</v>
      </c>
      <c r="E1138" t="s">
        <v>152</v>
      </c>
      <c r="F1138">
        <v>423</v>
      </c>
      <c r="G1138">
        <v>93827.0699999996</v>
      </c>
      <c r="H1138">
        <v>13255</v>
      </c>
      <c r="I1138">
        <v>13.681592039801</v>
      </c>
      <c r="J1138">
        <v>2722284.25</v>
      </c>
      <c r="K1138">
        <v>13.565543409686599</v>
      </c>
      <c r="L1138">
        <v>6839</v>
      </c>
      <c r="M1138">
        <v>14.1182056522367</v>
      </c>
      <c r="N1138">
        <v>205.88619096359099</v>
      </c>
      <c r="O1138">
        <v>1408055.66</v>
      </c>
      <c r="P1138">
        <v>14.033097520205599</v>
      </c>
      <c r="Q1138">
        <v>6416</v>
      </c>
      <c r="R1138">
        <v>13.244978427365201</v>
      </c>
      <c r="S1138">
        <v>204.83612687032399</v>
      </c>
      <c r="T1138">
        <v>1314228.5900000001</v>
      </c>
      <c r="U1138">
        <v>13.097989299167599</v>
      </c>
      <c r="V1138">
        <v>205</v>
      </c>
      <c r="W1138">
        <v>9.9033816425120804</v>
      </c>
    </row>
    <row r="1139" spans="1:23" hidden="1" x14ac:dyDescent="0.25">
      <c r="A1139" t="s">
        <v>181</v>
      </c>
      <c r="B1139">
        <v>9</v>
      </c>
      <c r="C1139">
        <v>2025</v>
      </c>
      <c r="D1139" t="s">
        <v>153</v>
      </c>
      <c r="E1139" t="s">
        <v>154</v>
      </c>
      <c r="F1139">
        <v>89</v>
      </c>
      <c r="G1139">
        <v>18216.32</v>
      </c>
      <c r="H1139">
        <v>89</v>
      </c>
      <c r="I1139">
        <v>9.1864329803265796E-2</v>
      </c>
      <c r="J1139">
        <v>18216.32</v>
      </c>
      <c r="K1139">
        <v>9.0774605820366394E-2</v>
      </c>
      <c r="L1139">
        <v>89</v>
      </c>
      <c r="M1139">
        <v>0.18372865960653201</v>
      </c>
      <c r="N1139">
        <v>204.677752808989</v>
      </c>
      <c r="O1139">
        <v>18216.32</v>
      </c>
      <c r="P1139">
        <v>0.18154921164073301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6</v>
      </c>
      <c r="W1139">
        <v>0.28985507246376802</v>
      </c>
    </row>
    <row r="1140" spans="1:23" hidden="1" x14ac:dyDescent="0.25">
      <c r="A1140" t="s">
        <v>181</v>
      </c>
      <c r="B1140">
        <v>10</v>
      </c>
      <c r="C1140">
        <v>2025</v>
      </c>
      <c r="D1140" t="s">
        <v>88</v>
      </c>
      <c r="E1140" t="s">
        <v>89</v>
      </c>
      <c r="F1140">
        <v>-2377</v>
      </c>
      <c r="G1140">
        <v>-511515.22</v>
      </c>
      <c r="H1140">
        <v>6749</v>
      </c>
      <c r="I1140">
        <v>2.9960402017188699</v>
      </c>
      <c r="J1140">
        <v>1509656.78</v>
      </c>
      <c r="K1140">
        <v>2.9454300049588502</v>
      </c>
      <c r="L1140">
        <v>2186</v>
      </c>
      <c r="M1140">
        <v>1.94083386604162</v>
      </c>
      <c r="N1140">
        <v>228.30319304666099</v>
      </c>
      <c r="O1140">
        <v>499070.78</v>
      </c>
      <c r="P1140">
        <v>1.9474334424679201</v>
      </c>
      <c r="Q1140">
        <v>4563</v>
      </c>
      <c r="R1140">
        <v>4.0512465373961204</v>
      </c>
      <c r="S1140">
        <v>221.47403024326101</v>
      </c>
      <c r="T1140">
        <v>1010586</v>
      </c>
      <c r="U1140">
        <v>3.9434265674497802</v>
      </c>
      <c r="V1140">
        <v>112</v>
      </c>
      <c r="W1140">
        <v>3.1656302996043002</v>
      </c>
    </row>
    <row r="1141" spans="1:23" hidden="1" x14ac:dyDescent="0.25">
      <c r="A1141" t="s">
        <v>181</v>
      </c>
      <c r="B1141">
        <v>10</v>
      </c>
      <c r="C1141">
        <v>2025</v>
      </c>
      <c r="D1141" t="s">
        <v>90</v>
      </c>
      <c r="E1141" t="s">
        <v>91</v>
      </c>
      <c r="F1141">
        <v>1876</v>
      </c>
      <c r="G1141">
        <v>424904.87</v>
      </c>
      <c r="H1141">
        <v>10378</v>
      </c>
      <c r="I1141">
        <v>4.6070388521912102</v>
      </c>
      <c r="J1141">
        <v>2362764.9900000002</v>
      </c>
      <c r="K1141">
        <v>4.6098947710567098</v>
      </c>
      <c r="L1141">
        <v>6127</v>
      </c>
      <c r="M1141">
        <v>5.4398394772355996</v>
      </c>
      <c r="N1141">
        <v>227.49060388444599</v>
      </c>
      <c r="O1141">
        <v>1393834.93</v>
      </c>
      <c r="P1141">
        <v>5.4389093987067998</v>
      </c>
      <c r="Q1141">
        <v>4251</v>
      </c>
      <c r="R1141">
        <v>3.7742382271468098</v>
      </c>
      <c r="S1141">
        <v>227.92991296165599</v>
      </c>
      <c r="T1141">
        <v>968930.06</v>
      </c>
      <c r="U1141">
        <v>3.7808801434066099</v>
      </c>
      <c r="V1141">
        <v>299</v>
      </c>
      <c r="W1141">
        <v>8.4511023176936106</v>
      </c>
    </row>
    <row r="1142" spans="1:23" hidden="1" x14ac:dyDescent="0.25">
      <c r="A1142" t="s">
        <v>181</v>
      </c>
      <c r="B1142">
        <v>10</v>
      </c>
      <c r="C1142">
        <v>2025</v>
      </c>
      <c r="D1142" t="s">
        <v>92</v>
      </c>
      <c r="E1142" t="s">
        <v>93</v>
      </c>
      <c r="F1142">
        <v>-791</v>
      </c>
      <c r="G1142">
        <v>-170477.04</v>
      </c>
      <c r="H1142">
        <v>791</v>
      </c>
      <c r="I1142">
        <v>0.35114354712692702</v>
      </c>
      <c r="J1142">
        <v>170477.04</v>
      </c>
      <c r="K1142">
        <v>0.33261082613265902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791</v>
      </c>
      <c r="R1142">
        <v>0.70228709425385305</v>
      </c>
      <c r="S1142">
        <v>215.520910240202</v>
      </c>
      <c r="T1142">
        <v>170477.04</v>
      </c>
      <c r="U1142">
        <v>0.66522165226531904</v>
      </c>
      <c r="V1142">
        <v>11</v>
      </c>
      <c r="W1142">
        <v>0.310910118711136</v>
      </c>
    </row>
    <row r="1143" spans="1:23" hidden="1" x14ac:dyDescent="0.25">
      <c r="A1143" t="s">
        <v>181</v>
      </c>
      <c r="B1143">
        <v>10</v>
      </c>
      <c r="C1143">
        <v>2025</v>
      </c>
      <c r="D1143" t="s">
        <v>94</v>
      </c>
      <c r="E1143" t="s">
        <v>95</v>
      </c>
      <c r="F1143">
        <v>-17924</v>
      </c>
      <c r="G1143">
        <v>-4081134.06</v>
      </c>
      <c r="H1143">
        <v>59098</v>
      </c>
      <c r="I1143">
        <v>26.2349953831948</v>
      </c>
      <c r="J1143">
        <v>13458293.039999999</v>
      </c>
      <c r="K1143">
        <v>26.257928729697699</v>
      </c>
      <c r="L1143">
        <v>20587</v>
      </c>
      <c r="M1143">
        <v>18.2781092407131</v>
      </c>
      <c r="N1143">
        <v>227.744668480109</v>
      </c>
      <c r="O1143">
        <v>4688579.49</v>
      </c>
      <c r="P1143">
        <v>18.295393884801602</v>
      </c>
      <c r="Q1143">
        <v>38511</v>
      </c>
      <c r="R1143">
        <v>34.1918815256765</v>
      </c>
      <c r="S1143">
        <v>227.71970475967899</v>
      </c>
      <c r="T1143">
        <v>8769713.5500000007</v>
      </c>
      <c r="U1143">
        <v>34.220463574593701</v>
      </c>
      <c r="V1143">
        <v>676</v>
      </c>
      <c r="W1143">
        <v>19.1068400226116</v>
      </c>
    </row>
    <row r="1144" spans="1:23" hidden="1" x14ac:dyDescent="0.25">
      <c r="A1144" t="s">
        <v>181</v>
      </c>
      <c r="B1144">
        <v>10</v>
      </c>
      <c r="C1144">
        <v>2025</v>
      </c>
      <c r="D1144" t="s">
        <v>100</v>
      </c>
      <c r="E1144" t="s">
        <v>101</v>
      </c>
      <c r="F1144">
        <v>20</v>
      </c>
      <c r="G1144">
        <v>4342.2</v>
      </c>
      <c r="H1144">
        <v>20</v>
      </c>
      <c r="I1144">
        <v>8.8784714823496001E-3</v>
      </c>
      <c r="J1144">
        <v>4342.2</v>
      </c>
      <c r="K1144">
        <v>8.4718899931230194E-3</v>
      </c>
      <c r="L1144">
        <v>20</v>
      </c>
      <c r="M1144">
        <v>1.77569429646992E-2</v>
      </c>
      <c r="N1144">
        <v>217.11</v>
      </c>
      <c r="O1144">
        <v>4342.2</v>
      </c>
      <c r="P1144">
        <v>1.6943779986246001E-2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1</v>
      </c>
      <c r="W1144">
        <v>2.8264556246466899E-2</v>
      </c>
    </row>
    <row r="1145" spans="1:23" hidden="1" x14ac:dyDescent="0.25">
      <c r="A1145" t="s">
        <v>181</v>
      </c>
      <c r="B1145">
        <v>10</v>
      </c>
      <c r="C1145">
        <v>2025</v>
      </c>
      <c r="D1145" t="s">
        <v>102</v>
      </c>
      <c r="E1145" t="s">
        <v>103</v>
      </c>
      <c r="F1145">
        <v>3979</v>
      </c>
      <c r="G1145">
        <v>901355.68</v>
      </c>
      <c r="H1145">
        <v>19221</v>
      </c>
      <c r="I1145">
        <v>8.5326550181120808</v>
      </c>
      <c r="J1145">
        <v>4362208.74</v>
      </c>
      <c r="K1145">
        <v>8.5109282327667497</v>
      </c>
      <c r="L1145">
        <v>11600</v>
      </c>
      <c r="M1145">
        <v>10.299026919525501</v>
      </c>
      <c r="N1145">
        <v>226.87777672413799</v>
      </c>
      <c r="O1145">
        <v>2631782.21</v>
      </c>
      <c r="P1145">
        <v>10.269526677250299</v>
      </c>
      <c r="Q1145">
        <v>7621</v>
      </c>
      <c r="R1145">
        <v>6.7662831166986299</v>
      </c>
      <c r="S1145">
        <v>227.06029786117301</v>
      </c>
      <c r="T1145">
        <v>1730426.53</v>
      </c>
      <c r="U1145">
        <v>6.7523297882831699</v>
      </c>
      <c r="V1145">
        <v>501</v>
      </c>
      <c r="W1145">
        <v>14.160542679479899</v>
      </c>
    </row>
    <row r="1146" spans="1:23" hidden="1" x14ac:dyDescent="0.25">
      <c r="A1146" t="s">
        <v>181</v>
      </c>
      <c r="B1146">
        <v>10</v>
      </c>
      <c r="C1146">
        <v>2025</v>
      </c>
      <c r="D1146" t="s">
        <v>104</v>
      </c>
      <c r="E1146" t="s">
        <v>105</v>
      </c>
      <c r="F1146">
        <v>1189</v>
      </c>
      <c r="G1146">
        <v>273330.2</v>
      </c>
      <c r="H1146">
        <v>4005</v>
      </c>
      <c r="I1146">
        <v>1.77791391434051</v>
      </c>
      <c r="J1146">
        <v>911629.28</v>
      </c>
      <c r="K1146">
        <v>1.7786428480194301</v>
      </c>
      <c r="L1146">
        <v>2597</v>
      </c>
      <c r="M1146">
        <v>2.3057390439661898</v>
      </c>
      <c r="N1146">
        <v>228.14006160954901</v>
      </c>
      <c r="O1146">
        <v>592479.74</v>
      </c>
      <c r="P1146">
        <v>2.3119262956262401</v>
      </c>
      <c r="Q1146">
        <v>1408</v>
      </c>
      <c r="R1146">
        <v>1.2500887847148201</v>
      </c>
      <c r="S1146">
        <v>226.66870738636399</v>
      </c>
      <c r="T1146">
        <v>319149.53999999998</v>
      </c>
      <c r="U1146">
        <v>1.2453594004126101</v>
      </c>
      <c r="V1146">
        <v>205</v>
      </c>
      <c r="W1146">
        <v>5.7942340305257201</v>
      </c>
    </row>
    <row r="1147" spans="1:23" hidden="1" x14ac:dyDescent="0.25">
      <c r="A1147" t="s">
        <v>181</v>
      </c>
      <c r="B1147">
        <v>10</v>
      </c>
      <c r="C1147">
        <v>2025</v>
      </c>
      <c r="D1147" t="s">
        <v>106</v>
      </c>
      <c r="E1147" t="s">
        <v>107</v>
      </c>
      <c r="F1147">
        <v>-1096</v>
      </c>
      <c r="G1147">
        <v>-266637.76</v>
      </c>
      <c r="H1147">
        <v>10932</v>
      </c>
      <c r="I1147">
        <v>4.8529725122522898</v>
      </c>
      <c r="J1147">
        <v>2464346.9</v>
      </c>
      <c r="K1147">
        <v>4.8080871083077099</v>
      </c>
      <c r="L1147">
        <v>4918</v>
      </c>
      <c r="M1147">
        <v>4.3664322750195304</v>
      </c>
      <c r="N1147">
        <v>223.435252135014</v>
      </c>
      <c r="O1147">
        <v>1098854.57</v>
      </c>
      <c r="P1147">
        <v>4.2878610084659901</v>
      </c>
      <c r="Q1147">
        <v>6014</v>
      </c>
      <c r="R1147">
        <v>5.3395127494850501</v>
      </c>
      <c r="S1147">
        <v>227.05226637845001</v>
      </c>
      <c r="T1147">
        <v>1365492.33</v>
      </c>
      <c r="U1147">
        <v>5.3283132081494404</v>
      </c>
      <c r="V1147">
        <v>94</v>
      </c>
      <c r="W1147">
        <v>2.6568682871678901</v>
      </c>
    </row>
    <row r="1148" spans="1:23" hidden="1" x14ac:dyDescent="0.25">
      <c r="A1148" t="s">
        <v>181</v>
      </c>
      <c r="B1148">
        <v>10</v>
      </c>
      <c r="C1148">
        <v>2025</v>
      </c>
      <c r="D1148" t="s">
        <v>110</v>
      </c>
      <c r="E1148" t="s">
        <v>111</v>
      </c>
      <c r="F1148">
        <v>2222</v>
      </c>
      <c r="G1148">
        <v>510100.4</v>
      </c>
      <c r="H1148">
        <v>2298</v>
      </c>
      <c r="I1148">
        <v>1.0201363733219699</v>
      </c>
      <c r="J1148">
        <v>527640.96</v>
      </c>
      <c r="K1148">
        <v>1.0294588386038901</v>
      </c>
      <c r="L1148">
        <v>2260</v>
      </c>
      <c r="M1148">
        <v>2.0065345550110099</v>
      </c>
      <c r="N1148">
        <v>229.58879646017701</v>
      </c>
      <c r="O1148">
        <v>518870.68</v>
      </c>
      <c r="P1148">
        <v>2.0246950032780302</v>
      </c>
      <c r="Q1148">
        <v>38</v>
      </c>
      <c r="R1148">
        <v>3.3738191632928502E-2</v>
      </c>
      <c r="S1148">
        <v>230.79684210526301</v>
      </c>
      <c r="T1148">
        <v>8770.2800000000007</v>
      </c>
      <c r="U1148">
        <v>3.4222673929753103E-2</v>
      </c>
      <c r="V1148">
        <v>36</v>
      </c>
      <c r="W1148">
        <v>1.0175240248728099</v>
      </c>
    </row>
    <row r="1149" spans="1:23" hidden="1" x14ac:dyDescent="0.25">
      <c r="A1149" t="s">
        <v>181</v>
      </c>
      <c r="B1149">
        <v>10</v>
      </c>
      <c r="C1149">
        <v>2025</v>
      </c>
      <c r="D1149" t="s">
        <v>112</v>
      </c>
      <c r="E1149" t="s">
        <v>113</v>
      </c>
      <c r="F1149">
        <v>-50</v>
      </c>
      <c r="G1149">
        <v>-11350</v>
      </c>
      <c r="H1149">
        <v>50</v>
      </c>
      <c r="I1149">
        <v>2.2196178705873999E-2</v>
      </c>
      <c r="J1149">
        <v>11350</v>
      </c>
      <c r="K1149">
        <v>2.2144523840897799E-2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50</v>
      </c>
      <c r="R1149">
        <v>4.4392357411747997E-2</v>
      </c>
      <c r="S1149">
        <v>227</v>
      </c>
      <c r="T1149">
        <v>11350</v>
      </c>
      <c r="U1149">
        <v>4.42890476817955E-2</v>
      </c>
      <c r="V1149">
        <v>1</v>
      </c>
      <c r="W1149">
        <v>2.8264556246466899E-2</v>
      </c>
    </row>
    <row r="1150" spans="1:23" hidden="1" x14ac:dyDescent="0.25">
      <c r="A1150" t="s">
        <v>181</v>
      </c>
      <c r="B1150">
        <v>10</v>
      </c>
      <c r="C1150">
        <v>2025</v>
      </c>
      <c r="D1150" t="s">
        <v>163</v>
      </c>
      <c r="E1150" t="s">
        <v>164</v>
      </c>
      <c r="F1150">
        <v>500</v>
      </c>
      <c r="G1150">
        <v>113500</v>
      </c>
      <c r="H1150">
        <v>500</v>
      </c>
      <c r="I1150">
        <v>0.22196178705874001</v>
      </c>
      <c r="J1150">
        <v>113500</v>
      </c>
      <c r="K1150">
        <v>0.22144523840897801</v>
      </c>
      <c r="L1150">
        <v>500</v>
      </c>
      <c r="M1150">
        <v>0.44392357411748001</v>
      </c>
      <c r="N1150">
        <v>227</v>
      </c>
      <c r="O1150">
        <v>113500</v>
      </c>
      <c r="P1150">
        <v>0.44289047681795601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2</v>
      </c>
      <c r="W1150">
        <v>5.6529112492933901E-2</v>
      </c>
    </row>
    <row r="1151" spans="1:23" hidden="1" x14ac:dyDescent="0.25">
      <c r="A1151" t="s">
        <v>181</v>
      </c>
      <c r="B1151">
        <v>10</v>
      </c>
      <c r="C1151">
        <v>2025</v>
      </c>
      <c r="D1151" t="s">
        <v>116</v>
      </c>
      <c r="E1151" t="s">
        <v>117</v>
      </c>
      <c r="F1151">
        <v>32</v>
      </c>
      <c r="G1151">
        <v>9110.6299999999992</v>
      </c>
      <c r="H1151">
        <v>260</v>
      </c>
      <c r="I1151">
        <v>0.115420129270545</v>
      </c>
      <c r="J1151">
        <v>59398.41</v>
      </c>
      <c r="K1151">
        <v>0.115889824348583</v>
      </c>
      <c r="L1151">
        <v>146</v>
      </c>
      <c r="M1151">
        <v>0.12962568364230401</v>
      </c>
      <c r="N1151">
        <v>234.62</v>
      </c>
      <c r="O1151">
        <v>34254.519999999997</v>
      </c>
      <c r="P1151">
        <v>0.13366520436978099</v>
      </c>
      <c r="Q1151">
        <v>114</v>
      </c>
      <c r="R1151">
        <v>0.10121457489878501</v>
      </c>
      <c r="S1151">
        <v>220.560438596491</v>
      </c>
      <c r="T1151">
        <v>25143.89</v>
      </c>
      <c r="U1151">
        <v>9.8114444327385197E-2</v>
      </c>
      <c r="V1151">
        <v>9</v>
      </c>
      <c r="W1151">
        <v>0.25438100621820198</v>
      </c>
    </row>
    <row r="1152" spans="1:23" hidden="1" x14ac:dyDescent="0.25">
      <c r="A1152" t="s">
        <v>181</v>
      </c>
      <c r="B1152">
        <v>10</v>
      </c>
      <c r="C1152">
        <v>2025</v>
      </c>
      <c r="D1152" t="s">
        <v>118</v>
      </c>
      <c r="E1152" t="s">
        <v>119</v>
      </c>
      <c r="F1152">
        <v>875</v>
      </c>
      <c r="G1152">
        <v>206074</v>
      </c>
      <c r="H1152">
        <v>1075</v>
      </c>
      <c r="I1152">
        <v>0.47721784217629099</v>
      </c>
      <c r="J1152">
        <v>252430</v>
      </c>
      <c r="K1152">
        <v>0.49250591657778198</v>
      </c>
      <c r="L1152">
        <v>975</v>
      </c>
      <c r="M1152">
        <v>0.86565096952908605</v>
      </c>
      <c r="N1152">
        <v>235.13025641025601</v>
      </c>
      <c r="O1152">
        <v>229252</v>
      </c>
      <c r="P1152">
        <v>0.89456852503497697</v>
      </c>
      <c r="Q1152">
        <v>100</v>
      </c>
      <c r="R1152">
        <v>8.8784714823495994E-2</v>
      </c>
      <c r="S1152">
        <v>231.78</v>
      </c>
      <c r="T1152">
        <v>23178</v>
      </c>
      <c r="U1152">
        <v>9.0443308120586499E-2</v>
      </c>
      <c r="V1152">
        <v>6</v>
      </c>
      <c r="W1152">
        <v>0.169587337478802</v>
      </c>
    </row>
    <row r="1153" spans="1:23" hidden="1" x14ac:dyDescent="0.25">
      <c r="A1153" t="s">
        <v>181</v>
      </c>
      <c r="B1153">
        <v>10</v>
      </c>
      <c r="C1153">
        <v>2025</v>
      </c>
      <c r="D1153" t="s">
        <v>122</v>
      </c>
      <c r="E1153" t="s">
        <v>123</v>
      </c>
      <c r="F1153">
        <v>-613</v>
      </c>
      <c r="G1153">
        <v>-140987.88</v>
      </c>
      <c r="H1153">
        <v>15287</v>
      </c>
      <c r="I1153">
        <v>6.7862596775339199</v>
      </c>
      <c r="J1153">
        <v>3490125.28</v>
      </c>
      <c r="K1153">
        <v>6.8094416273726903</v>
      </c>
      <c r="L1153">
        <v>7337</v>
      </c>
      <c r="M1153">
        <v>6.5141345265999</v>
      </c>
      <c r="N1153">
        <v>228.23615919313099</v>
      </c>
      <c r="O1153">
        <v>1674568.7</v>
      </c>
      <c r="P1153">
        <v>6.5343659031491104</v>
      </c>
      <c r="Q1153">
        <v>7950</v>
      </c>
      <c r="R1153">
        <v>7.05838482846793</v>
      </c>
      <c r="S1153">
        <v>228.37189685534599</v>
      </c>
      <c r="T1153">
        <v>1815556.58</v>
      </c>
      <c r="U1153">
        <v>7.0845173515962703</v>
      </c>
      <c r="V1153">
        <v>78</v>
      </c>
      <c r="W1153">
        <v>2.2046353872244202</v>
      </c>
    </row>
    <row r="1154" spans="1:23" hidden="1" x14ac:dyDescent="0.25">
      <c r="A1154" t="s">
        <v>181</v>
      </c>
      <c r="B1154">
        <v>10</v>
      </c>
      <c r="C1154">
        <v>2025</v>
      </c>
      <c r="D1154" t="s">
        <v>124</v>
      </c>
      <c r="E1154" t="s">
        <v>125</v>
      </c>
      <c r="F1154">
        <v>215</v>
      </c>
      <c r="G1154">
        <v>49835.95</v>
      </c>
      <c r="H1154">
        <v>215</v>
      </c>
      <c r="I1154">
        <v>9.5443568435258197E-2</v>
      </c>
      <c r="J1154">
        <v>49835.95</v>
      </c>
      <c r="K1154">
        <v>9.7232897172580601E-2</v>
      </c>
      <c r="L1154">
        <v>215</v>
      </c>
      <c r="M1154">
        <v>0.19088713687051601</v>
      </c>
      <c r="N1154">
        <v>231.79511627906999</v>
      </c>
      <c r="O1154">
        <v>49835.95</v>
      </c>
      <c r="P1154">
        <v>0.19446579434516101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4</v>
      </c>
      <c r="W1154">
        <v>0.113058224985868</v>
      </c>
    </row>
    <row r="1155" spans="1:23" hidden="1" x14ac:dyDescent="0.25">
      <c r="A1155" t="s">
        <v>181</v>
      </c>
      <c r="B1155">
        <v>10</v>
      </c>
      <c r="C1155">
        <v>2025</v>
      </c>
      <c r="D1155" t="s">
        <v>126</v>
      </c>
      <c r="E1155" t="s">
        <v>127</v>
      </c>
      <c r="F1155">
        <v>-98</v>
      </c>
      <c r="G1155">
        <v>-21698.39</v>
      </c>
      <c r="H1155">
        <v>138</v>
      </c>
      <c r="I1155">
        <v>6.12614532282122E-2</v>
      </c>
      <c r="J1155">
        <v>30911.23</v>
      </c>
      <c r="K1155">
        <v>6.0309644906297297E-2</v>
      </c>
      <c r="L1155">
        <v>20</v>
      </c>
      <c r="M1155">
        <v>1.77569429646992E-2</v>
      </c>
      <c r="N1155">
        <v>230.321</v>
      </c>
      <c r="O1155">
        <v>4606.42</v>
      </c>
      <c r="P1155">
        <v>1.7974797799328299E-2</v>
      </c>
      <c r="Q1155">
        <v>118</v>
      </c>
      <c r="R1155">
        <v>0.104765963491725</v>
      </c>
      <c r="S1155">
        <v>222.92211864406801</v>
      </c>
      <c r="T1155">
        <v>26304.81</v>
      </c>
      <c r="U1155">
        <v>0.102644492013266</v>
      </c>
      <c r="V1155">
        <v>13</v>
      </c>
      <c r="W1155">
        <v>0.36743923120407002</v>
      </c>
    </row>
    <row r="1156" spans="1:23" hidden="1" x14ac:dyDescent="0.25">
      <c r="A1156" t="s">
        <v>181</v>
      </c>
      <c r="B1156">
        <v>10</v>
      </c>
      <c r="C1156">
        <v>2025</v>
      </c>
      <c r="D1156" t="s">
        <v>130</v>
      </c>
      <c r="E1156" t="s">
        <v>131</v>
      </c>
      <c r="F1156">
        <v>550</v>
      </c>
      <c r="G1156">
        <v>128775.76</v>
      </c>
      <c r="H1156">
        <v>2386</v>
      </c>
      <c r="I1156">
        <v>1.05920164784431</v>
      </c>
      <c r="J1156">
        <v>546483.5</v>
      </c>
      <c r="K1156">
        <v>1.0662217528112099</v>
      </c>
      <c r="L1156">
        <v>1468</v>
      </c>
      <c r="M1156">
        <v>1.3033596136089201</v>
      </c>
      <c r="N1156">
        <v>229.992935967302</v>
      </c>
      <c r="O1156">
        <v>337629.63</v>
      </c>
      <c r="P1156">
        <v>1.3174709058904801</v>
      </c>
      <c r="Q1156">
        <v>918</v>
      </c>
      <c r="R1156">
        <v>0.81504368207969302</v>
      </c>
      <c r="S1156">
        <v>227.509662309368</v>
      </c>
      <c r="T1156">
        <v>208853.87</v>
      </c>
      <c r="U1156">
        <v>0.81497259973194103</v>
      </c>
      <c r="V1156">
        <v>46</v>
      </c>
      <c r="W1156">
        <v>1.3001695873374799</v>
      </c>
    </row>
    <row r="1157" spans="1:23" hidden="1" x14ac:dyDescent="0.25">
      <c r="A1157" t="s">
        <v>181</v>
      </c>
      <c r="B1157">
        <v>10</v>
      </c>
      <c r="C1157">
        <v>2025</v>
      </c>
      <c r="D1157" t="s">
        <v>132</v>
      </c>
      <c r="E1157" t="s">
        <v>133</v>
      </c>
      <c r="F1157">
        <v>914</v>
      </c>
      <c r="G1157">
        <v>209471.47</v>
      </c>
      <c r="H1157">
        <v>1482</v>
      </c>
      <c r="I1157">
        <v>0.65789473684210498</v>
      </c>
      <c r="J1157">
        <v>339150.27</v>
      </c>
      <c r="K1157">
        <v>0.66170231186448603</v>
      </c>
      <c r="L1157">
        <v>1198</v>
      </c>
      <c r="M1157">
        <v>1.06364088358548</v>
      </c>
      <c r="N1157">
        <v>228.97401502504201</v>
      </c>
      <c r="O1157">
        <v>274310.87</v>
      </c>
      <c r="P1157">
        <v>1.0703935859969</v>
      </c>
      <c r="Q1157">
        <v>284</v>
      </c>
      <c r="R1157">
        <v>0.25214859009872898</v>
      </c>
      <c r="S1157">
        <v>228.30774647887301</v>
      </c>
      <c r="T1157">
        <v>64839.4</v>
      </c>
      <c r="U1157">
        <v>0.25301103773207201</v>
      </c>
      <c r="V1157">
        <v>44</v>
      </c>
      <c r="W1157">
        <v>1.24364047484454</v>
      </c>
    </row>
    <row r="1158" spans="1:23" hidden="1" x14ac:dyDescent="0.25">
      <c r="A1158" t="s">
        <v>181</v>
      </c>
      <c r="B1158">
        <v>10</v>
      </c>
      <c r="C1158">
        <v>2025</v>
      </c>
      <c r="D1158" t="s">
        <v>134</v>
      </c>
      <c r="E1158" t="s">
        <v>135</v>
      </c>
      <c r="F1158">
        <v>160</v>
      </c>
      <c r="G1158">
        <v>34824</v>
      </c>
      <c r="H1158">
        <v>160</v>
      </c>
      <c r="I1158">
        <v>7.1027771858796801E-2</v>
      </c>
      <c r="J1158">
        <v>34824</v>
      </c>
      <c r="K1158">
        <v>6.79436914744867E-2</v>
      </c>
      <c r="L1158">
        <v>160</v>
      </c>
      <c r="M1158">
        <v>0.14205554371759399</v>
      </c>
      <c r="N1158">
        <v>217.65</v>
      </c>
      <c r="O1158">
        <v>34824</v>
      </c>
      <c r="P1158">
        <v>0.13588738294897301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1</v>
      </c>
      <c r="W1158">
        <v>2.8264556246466899E-2</v>
      </c>
    </row>
    <row r="1159" spans="1:23" hidden="1" x14ac:dyDescent="0.25">
      <c r="A1159" t="s">
        <v>181</v>
      </c>
      <c r="B1159">
        <v>10</v>
      </c>
      <c r="C1159">
        <v>2025</v>
      </c>
      <c r="D1159" t="s">
        <v>136</v>
      </c>
      <c r="E1159" t="s">
        <v>137</v>
      </c>
      <c r="F1159">
        <v>36</v>
      </c>
      <c r="G1159">
        <v>9289.1</v>
      </c>
      <c r="H1159">
        <v>148</v>
      </c>
      <c r="I1159">
        <v>6.5700688969386994E-2</v>
      </c>
      <c r="J1159">
        <v>34935.06</v>
      </c>
      <c r="K1159">
        <v>6.8160376128034703E-2</v>
      </c>
      <c r="L1159">
        <v>92</v>
      </c>
      <c r="M1159">
        <v>8.1681937637616303E-2</v>
      </c>
      <c r="N1159">
        <v>240.348695652174</v>
      </c>
      <c r="O1159">
        <v>22112.080000000002</v>
      </c>
      <c r="P1159">
        <v>8.6283961714861496E-2</v>
      </c>
      <c r="Q1159">
        <v>56</v>
      </c>
      <c r="R1159">
        <v>4.9719440301157797E-2</v>
      </c>
      <c r="S1159">
        <v>228.98178571428599</v>
      </c>
      <c r="T1159">
        <v>12822.98</v>
      </c>
      <c r="U1159">
        <v>5.0036790541208E-2</v>
      </c>
      <c r="V1159">
        <v>7</v>
      </c>
      <c r="W1159">
        <v>0.19785189372526901</v>
      </c>
    </row>
    <row r="1160" spans="1:23" hidden="1" x14ac:dyDescent="0.25">
      <c r="A1160" t="s">
        <v>181</v>
      </c>
      <c r="B1160">
        <v>10</v>
      </c>
      <c r="C1160">
        <v>2025</v>
      </c>
      <c r="D1160" t="s">
        <v>138</v>
      </c>
      <c r="E1160" t="s">
        <v>139</v>
      </c>
      <c r="F1160">
        <v>8018</v>
      </c>
      <c r="G1160">
        <v>1850349.07</v>
      </c>
      <c r="H1160">
        <v>9646</v>
      </c>
      <c r="I1160">
        <v>4.28208679593721</v>
      </c>
      <c r="J1160">
        <v>2212472.87</v>
      </c>
      <c r="K1160">
        <v>4.3166659222074504</v>
      </c>
      <c r="L1160">
        <v>8832</v>
      </c>
      <c r="M1160">
        <v>7.8414660132111704</v>
      </c>
      <c r="N1160">
        <v>230.005771059783</v>
      </c>
      <c r="O1160">
        <v>2031410.97</v>
      </c>
      <c r="P1160">
        <v>7.9268068115993398</v>
      </c>
      <c r="Q1160">
        <v>814</v>
      </c>
      <c r="R1160">
        <v>0.72270757866325697</v>
      </c>
      <c r="S1160">
        <v>222.434766584767</v>
      </c>
      <c r="T1160">
        <v>181061.9</v>
      </c>
      <c r="U1160">
        <v>0.70652503281555001</v>
      </c>
      <c r="V1160">
        <v>64</v>
      </c>
      <c r="W1160">
        <v>1.80893159977388</v>
      </c>
    </row>
    <row r="1161" spans="1:23" hidden="1" x14ac:dyDescent="0.25">
      <c r="A1161" t="s">
        <v>181</v>
      </c>
      <c r="B1161">
        <v>10</v>
      </c>
      <c r="C1161">
        <v>2025</v>
      </c>
      <c r="D1161" t="s">
        <v>142</v>
      </c>
      <c r="E1161" t="s">
        <v>143</v>
      </c>
      <c r="F1161">
        <v>166</v>
      </c>
      <c r="G1161">
        <v>45495.559999999903</v>
      </c>
      <c r="H1161">
        <v>3470</v>
      </c>
      <c r="I1161">
        <v>1.54041480218766</v>
      </c>
      <c r="J1161">
        <v>785950.02</v>
      </c>
      <c r="K1161">
        <v>1.5334351502770101</v>
      </c>
      <c r="L1161">
        <v>1818</v>
      </c>
      <c r="M1161">
        <v>1.61410611549116</v>
      </c>
      <c r="N1161">
        <v>228.67040154015399</v>
      </c>
      <c r="O1161">
        <v>415722.79</v>
      </c>
      <c r="P1161">
        <v>1.6221996888739301</v>
      </c>
      <c r="Q1161">
        <v>1652</v>
      </c>
      <c r="R1161">
        <v>1.4667234888841501</v>
      </c>
      <c r="S1161">
        <v>224.10849273607701</v>
      </c>
      <c r="T1161">
        <v>370227.23</v>
      </c>
      <c r="U1161">
        <v>1.4446706116801</v>
      </c>
      <c r="V1161">
        <v>198</v>
      </c>
      <c r="W1161">
        <v>5.5963821368004503</v>
      </c>
    </row>
    <row r="1162" spans="1:23" hidden="1" x14ac:dyDescent="0.25">
      <c r="A1162" t="s">
        <v>181</v>
      </c>
      <c r="B1162">
        <v>10</v>
      </c>
      <c r="C1162">
        <v>2025</v>
      </c>
      <c r="D1162" t="s">
        <v>146</v>
      </c>
      <c r="E1162" t="s">
        <v>147</v>
      </c>
      <c r="F1162">
        <v>285</v>
      </c>
      <c r="G1162">
        <v>66220.740000000005</v>
      </c>
      <c r="H1162">
        <v>2317</v>
      </c>
      <c r="I1162">
        <v>1.0285709212302001</v>
      </c>
      <c r="J1162">
        <v>521017.14</v>
      </c>
      <c r="K1162">
        <v>1.01653537253272</v>
      </c>
      <c r="L1162">
        <v>1301</v>
      </c>
      <c r="M1162">
        <v>1.15508913985368</v>
      </c>
      <c r="N1162">
        <v>225.68711760184499</v>
      </c>
      <c r="O1162">
        <v>293618.94</v>
      </c>
      <c r="P1162">
        <v>1.14573596774786</v>
      </c>
      <c r="Q1162">
        <v>1016</v>
      </c>
      <c r="R1162">
        <v>0.90205270260671899</v>
      </c>
      <c r="S1162">
        <v>223.81712598425199</v>
      </c>
      <c r="T1162">
        <v>227398.2</v>
      </c>
      <c r="U1162">
        <v>0.88733477731757504</v>
      </c>
      <c r="V1162">
        <v>31</v>
      </c>
      <c r="W1162">
        <v>0.87620124364047502</v>
      </c>
    </row>
    <row r="1163" spans="1:23" x14ac:dyDescent="0.25">
      <c r="A1163" t="s">
        <v>181</v>
      </c>
      <c r="B1163">
        <v>10</v>
      </c>
      <c r="C1163">
        <v>2025</v>
      </c>
      <c r="D1163" t="s">
        <v>148</v>
      </c>
      <c r="E1163" t="s">
        <v>148</v>
      </c>
      <c r="F1163">
        <v>0</v>
      </c>
      <c r="G1163" s="4">
        <v>-1.68893166119233E-9</v>
      </c>
      <c r="H1163">
        <v>225264</v>
      </c>
      <c r="I1163">
        <v>0</v>
      </c>
      <c r="J1163">
        <v>51254206.600000001</v>
      </c>
      <c r="K1163">
        <v>0</v>
      </c>
      <c r="L1163">
        <v>112632</v>
      </c>
      <c r="M1163">
        <v>100</v>
      </c>
      <c r="N1163">
        <v>228.23615919313099</v>
      </c>
      <c r="O1163">
        <v>25627103.300000001</v>
      </c>
      <c r="P1163">
        <v>100</v>
      </c>
      <c r="Q1163">
        <v>112632</v>
      </c>
      <c r="R1163">
        <v>100</v>
      </c>
      <c r="S1163">
        <v>226.66870738636399</v>
      </c>
      <c r="T1163">
        <v>25627103.300000001</v>
      </c>
      <c r="U1163">
        <v>100</v>
      </c>
      <c r="V1163">
        <v>3538</v>
      </c>
      <c r="W1163">
        <v>100</v>
      </c>
    </row>
    <row r="1164" spans="1:23" hidden="1" x14ac:dyDescent="0.25">
      <c r="A1164" t="s">
        <v>181</v>
      </c>
      <c r="B1164">
        <v>10</v>
      </c>
      <c r="C1164">
        <v>2025</v>
      </c>
      <c r="D1164" t="s">
        <v>149</v>
      </c>
      <c r="E1164" t="s">
        <v>150</v>
      </c>
      <c r="F1164">
        <v>2038</v>
      </c>
      <c r="G1164">
        <v>464199.96</v>
      </c>
      <c r="H1164">
        <v>4402</v>
      </c>
      <c r="I1164">
        <v>1.95415157326515</v>
      </c>
      <c r="J1164">
        <v>1013712.12</v>
      </c>
      <c r="K1164">
        <v>1.97781252944027</v>
      </c>
      <c r="L1164">
        <v>3220</v>
      </c>
      <c r="M1164">
        <v>2.85886781731657</v>
      </c>
      <c r="N1164">
        <v>229.48945341614899</v>
      </c>
      <c r="O1164">
        <v>738956.04</v>
      </c>
      <c r="P1164">
        <v>2.8834942106000701</v>
      </c>
      <c r="Q1164">
        <v>1182</v>
      </c>
      <c r="R1164">
        <v>1.04943532921372</v>
      </c>
      <c r="S1164">
        <v>232.45015228426399</v>
      </c>
      <c r="T1164">
        <v>274756.08</v>
      </c>
      <c r="U1164">
        <v>1.0721308482804599</v>
      </c>
      <c r="V1164">
        <v>69</v>
      </c>
      <c r="W1164">
        <v>1.9502543810062201</v>
      </c>
    </row>
    <row r="1165" spans="1:23" hidden="1" x14ac:dyDescent="0.25">
      <c r="A1165" t="s">
        <v>181</v>
      </c>
      <c r="B1165">
        <v>10</v>
      </c>
      <c r="C1165">
        <v>2025</v>
      </c>
      <c r="D1165" t="s">
        <v>151</v>
      </c>
      <c r="E1165" t="s">
        <v>152</v>
      </c>
      <c r="F1165">
        <v>-288</v>
      </c>
      <c r="G1165">
        <v>-136079.51000000301</v>
      </c>
      <c r="H1165">
        <v>69814</v>
      </c>
      <c r="I1165">
        <v>30.992080403437701</v>
      </c>
      <c r="J1165">
        <v>15890903.630000001</v>
      </c>
      <c r="K1165">
        <v>31.004096413034699</v>
      </c>
      <c r="L1165">
        <v>34763</v>
      </c>
      <c r="M1165">
        <v>30.864230414091899</v>
      </c>
      <c r="N1165">
        <v>226.60334436038301</v>
      </c>
      <c r="O1165">
        <v>7877412.0599999996</v>
      </c>
      <c r="P1165">
        <v>30.738597210087299</v>
      </c>
      <c r="Q1165">
        <v>35051</v>
      </c>
      <c r="R1165">
        <v>31.119930392783601</v>
      </c>
      <c r="S1165">
        <v>228.62376451456501</v>
      </c>
      <c r="T1165">
        <v>8013491.5700000003</v>
      </c>
      <c r="U1165">
        <v>31.269595615982102</v>
      </c>
      <c r="V1165">
        <v>1006</v>
      </c>
      <c r="W1165">
        <v>28.434143583945701</v>
      </c>
    </row>
    <row r="1166" spans="1:23" hidden="1" x14ac:dyDescent="0.25">
      <c r="A1166" t="s">
        <v>181</v>
      </c>
      <c r="B1166">
        <v>10</v>
      </c>
      <c r="C1166">
        <v>2025</v>
      </c>
      <c r="D1166" t="s">
        <v>153</v>
      </c>
      <c r="E1166" t="s">
        <v>154</v>
      </c>
      <c r="F1166">
        <v>-24</v>
      </c>
      <c r="G1166">
        <v>-4803.57</v>
      </c>
      <c r="H1166">
        <v>178</v>
      </c>
      <c r="I1166">
        <v>7.90183961929114E-2</v>
      </c>
      <c r="J1166">
        <v>39317.71</v>
      </c>
      <c r="K1166">
        <v>7.6711186472643605E-2</v>
      </c>
      <c r="L1166">
        <v>77</v>
      </c>
      <c r="M1166">
        <v>6.8364230414091898E-2</v>
      </c>
      <c r="N1166">
        <v>224.11779220779201</v>
      </c>
      <c r="O1166">
        <v>17257.07</v>
      </c>
      <c r="P1166">
        <v>6.7339136218333401E-2</v>
      </c>
      <c r="Q1166">
        <v>101</v>
      </c>
      <c r="R1166">
        <v>8.9672561971730902E-2</v>
      </c>
      <c r="S1166">
        <v>218.42217821782199</v>
      </c>
      <c r="T1166">
        <v>22060.639999999999</v>
      </c>
      <c r="U1166">
        <v>8.6083236726953893E-2</v>
      </c>
      <c r="V1166">
        <v>20</v>
      </c>
      <c r="W1166">
        <v>0.56529112492933897</v>
      </c>
    </row>
    <row r="1167" spans="1:23" hidden="1" x14ac:dyDescent="0.25">
      <c r="A1167" t="s">
        <v>181</v>
      </c>
      <c r="B1167">
        <v>10</v>
      </c>
      <c r="C1167">
        <v>2025</v>
      </c>
      <c r="D1167" t="s">
        <v>155</v>
      </c>
      <c r="E1167" t="s">
        <v>156</v>
      </c>
      <c r="F1167">
        <v>186</v>
      </c>
      <c r="G1167">
        <v>43503.839999999997</v>
      </c>
      <c r="H1167">
        <v>244</v>
      </c>
      <c r="I1167">
        <v>0.108317352084665</v>
      </c>
      <c r="J1167">
        <v>56529.48</v>
      </c>
      <c r="K1167">
        <v>0.110292371592384</v>
      </c>
      <c r="L1167">
        <v>215</v>
      </c>
      <c r="M1167">
        <v>0.19088713687051601</v>
      </c>
      <c r="N1167">
        <v>232.63562790697699</v>
      </c>
      <c r="O1167">
        <v>50016.66</v>
      </c>
      <c r="P1167">
        <v>0.195170946222393</v>
      </c>
      <c r="Q1167">
        <v>29</v>
      </c>
      <c r="R1167">
        <v>2.5747567298813799E-2</v>
      </c>
      <c r="S1167">
        <v>224.58</v>
      </c>
      <c r="T1167">
        <v>6512.82</v>
      </c>
      <c r="U1167">
        <v>2.5413796962374599E-2</v>
      </c>
      <c r="V1167">
        <v>4</v>
      </c>
      <c r="W1167">
        <v>0.113058224985868</v>
      </c>
    </row>
    <row r="1168" spans="1:23" hidden="1" x14ac:dyDescent="0.25">
      <c r="A1168" t="s">
        <v>181</v>
      </c>
      <c r="B1168">
        <v>11</v>
      </c>
      <c r="C1168">
        <v>2025</v>
      </c>
      <c r="D1168" t="s">
        <v>88</v>
      </c>
      <c r="E1168" t="s">
        <v>89</v>
      </c>
      <c r="F1168">
        <v>404</v>
      </c>
      <c r="G1168">
        <v>93711.96</v>
      </c>
      <c r="H1168">
        <v>2100</v>
      </c>
      <c r="I1168">
        <v>2.4624765478424</v>
      </c>
      <c r="J1168">
        <v>464291.98</v>
      </c>
      <c r="K1168">
        <v>2.4462783851159999</v>
      </c>
      <c r="L1168">
        <v>1252</v>
      </c>
      <c r="M1168">
        <v>2.9362101313320799</v>
      </c>
      <c r="N1168">
        <v>222.84502396166101</v>
      </c>
      <c r="O1168">
        <v>279001.96999999997</v>
      </c>
      <c r="P1168">
        <v>2.9400313510295102</v>
      </c>
      <c r="Q1168">
        <v>848</v>
      </c>
      <c r="R1168">
        <v>1.9887429643527199</v>
      </c>
      <c r="S1168">
        <v>218.50237028301899</v>
      </c>
      <c r="T1168">
        <v>185290.01</v>
      </c>
      <c r="U1168">
        <v>1.9525254192024899</v>
      </c>
      <c r="V1168">
        <v>47</v>
      </c>
      <c r="W1168">
        <v>3.2369146005509601</v>
      </c>
    </row>
    <row r="1169" spans="1:23" hidden="1" x14ac:dyDescent="0.25">
      <c r="A1169" t="s">
        <v>181</v>
      </c>
      <c r="B1169">
        <v>11</v>
      </c>
      <c r="C1169">
        <v>2025</v>
      </c>
      <c r="D1169" t="s">
        <v>90</v>
      </c>
      <c r="E1169" t="s">
        <v>91</v>
      </c>
      <c r="F1169">
        <v>4409</v>
      </c>
      <c r="G1169">
        <v>990138.93</v>
      </c>
      <c r="H1169">
        <v>6655</v>
      </c>
      <c r="I1169">
        <v>7.8037054409005604</v>
      </c>
      <c r="J1169">
        <v>1484780.03</v>
      </c>
      <c r="K1169">
        <v>7.8230627503858301</v>
      </c>
      <c r="L1169">
        <v>5532</v>
      </c>
      <c r="M1169">
        <v>12.9737335834897</v>
      </c>
      <c r="N1169">
        <v>223.69115690527801</v>
      </c>
      <c r="O1169">
        <v>1237459.48</v>
      </c>
      <c r="P1169">
        <v>13.0399425739849</v>
      </c>
      <c r="Q1169">
        <v>1123</v>
      </c>
      <c r="R1169">
        <v>2.63367729831144</v>
      </c>
      <c r="S1169">
        <v>220.23201246660699</v>
      </c>
      <c r="T1169">
        <v>247320.55</v>
      </c>
      <c r="U1169">
        <v>2.6061829267867198</v>
      </c>
      <c r="V1169">
        <v>174</v>
      </c>
      <c r="W1169">
        <v>11.9834710743802</v>
      </c>
    </row>
    <row r="1170" spans="1:23" hidden="1" x14ac:dyDescent="0.25">
      <c r="A1170" t="s">
        <v>181</v>
      </c>
      <c r="B1170">
        <v>11</v>
      </c>
      <c r="C1170">
        <v>2025</v>
      </c>
      <c r="D1170" t="s">
        <v>92</v>
      </c>
      <c r="E1170" t="s">
        <v>93</v>
      </c>
      <c r="F1170">
        <v>-229</v>
      </c>
      <c r="G1170">
        <v>-53381.5</v>
      </c>
      <c r="H1170">
        <v>229</v>
      </c>
      <c r="I1170">
        <v>0.26852720450281398</v>
      </c>
      <c r="J1170">
        <v>53381.5</v>
      </c>
      <c r="K1170">
        <v>0.28125837886553601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229</v>
      </c>
      <c r="R1170">
        <v>0.53705440900562895</v>
      </c>
      <c r="S1170">
        <v>233.106986899563</v>
      </c>
      <c r="T1170">
        <v>53381.5</v>
      </c>
      <c r="U1170">
        <v>0.56251675773107102</v>
      </c>
      <c r="V1170">
        <v>5</v>
      </c>
      <c r="W1170">
        <v>0.34435261707989001</v>
      </c>
    </row>
    <row r="1171" spans="1:23" hidden="1" x14ac:dyDescent="0.25">
      <c r="A1171" t="s">
        <v>181</v>
      </c>
      <c r="B1171">
        <v>11</v>
      </c>
      <c r="C1171">
        <v>2025</v>
      </c>
      <c r="D1171" t="s">
        <v>94</v>
      </c>
      <c r="E1171" t="s">
        <v>95</v>
      </c>
      <c r="F1171">
        <v>-11163</v>
      </c>
      <c r="G1171">
        <v>-2501097.33</v>
      </c>
      <c r="H1171">
        <v>22587</v>
      </c>
      <c r="I1171">
        <v>26.485694183864901</v>
      </c>
      <c r="J1171">
        <v>5033815.33</v>
      </c>
      <c r="K1171">
        <v>26.522348364588499</v>
      </c>
      <c r="L1171">
        <v>5712</v>
      </c>
      <c r="M1171">
        <v>13.3958724202627</v>
      </c>
      <c r="N1171">
        <v>221.70150560224101</v>
      </c>
      <c r="O1171">
        <v>1266359</v>
      </c>
      <c r="P1171">
        <v>13.3444762474558</v>
      </c>
      <c r="Q1171">
        <v>16875</v>
      </c>
      <c r="R1171">
        <v>39.575515947467203</v>
      </c>
      <c r="S1171">
        <v>223.256671407407</v>
      </c>
      <c r="T1171">
        <v>3767456.33</v>
      </c>
      <c r="U1171">
        <v>39.700220481721203</v>
      </c>
      <c r="V1171">
        <v>273</v>
      </c>
      <c r="W1171">
        <v>18.801652892562</v>
      </c>
    </row>
    <row r="1172" spans="1:23" hidden="1" x14ac:dyDescent="0.25">
      <c r="A1172" t="s">
        <v>181</v>
      </c>
      <c r="B1172">
        <v>11</v>
      </c>
      <c r="C1172">
        <v>2025</v>
      </c>
      <c r="D1172" t="s">
        <v>100</v>
      </c>
      <c r="E1172" t="s">
        <v>101</v>
      </c>
      <c r="F1172">
        <v>20</v>
      </c>
      <c r="G1172">
        <v>4357.3999999999996</v>
      </c>
      <c r="H1172">
        <v>20</v>
      </c>
      <c r="I1172">
        <v>2.3452157598499099E-2</v>
      </c>
      <c r="J1172">
        <v>4357.3999999999996</v>
      </c>
      <c r="K1172">
        <v>2.2958426797086699E-2</v>
      </c>
      <c r="L1172">
        <v>20</v>
      </c>
      <c r="M1172">
        <v>4.69043151969981E-2</v>
      </c>
      <c r="N1172">
        <v>217.87</v>
      </c>
      <c r="O1172">
        <v>4357.3999999999996</v>
      </c>
      <c r="P1172">
        <v>4.5916853594173399E-2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1</v>
      </c>
      <c r="W1172">
        <v>6.8870523415978005E-2</v>
      </c>
    </row>
    <row r="1173" spans="1:23" hidden="1" x14ac:dyDescent="0.25">
      <c r="A1173" t="s">
        <v>181</v>
      </c>
      <c r="B1173">
        <v>11</v>
      </c>
      <c r="C1173">
        <v>2025</v>
      </c>
      <c r="D1173" t="s">
        <v>102</v>
      </c>
      <c r="E1173" t="s">
        <v>103</v>
      </c>
      <c r="F1173">
        <v>-823</v>
      </c>
      <c r="G1173">
        <v>-180244.27</v>
      </c>
      <c r="H1173">
        <v>9043</v>
      </c>
      <c r="I1173">
        <v>10.6038930581614</v>
      </c>
      <c r="J1173">
        <v>2011748.27</v>
      </c>
      <c r="K1173">
        <v>10.599572082196</v>
      </c>
      <c r="L1173">
        <v>4110</v>
      </c>
      <c r="M1173">
        <v>9.6388367729831099</v>
      </c>
      <c r="N1173">
        <v>222.810705596107</v>
      </c>
      <c r="O1173">
        <v>915752</v>
      </c>
      <c r="P1173">
        <v>9.6498945500921405</v>
      </c>
      <c r="Q1173">
        <v>4933</v>
      </c>
      <c r="R1173">
        <v>11.5689493433396</v>
      </c>
      <c r="S1173">
        <v>222.17641800121601</v>
      </c>
      <c r="T1173">
        <v>1095996.27</v>
      </c>
      <c r="U1173">
        <v>11.549249614299899</v>
      </c>
      <c r="V1173">
        <v>208</v>
      </c>
      <c r="W1173">
        <v>14.325068870523401</v>
      </c>
    </row>
    <row r="1174" spans="1:23" hidden="1" x14ac:dyDescent="0.25">
      <c r="A1174" t="s">
        <v>181</v>
      </c>
      <c r="B1174">
        <v>11</v>
      </c>
      <c r="C1174">
        <v>2025</v>
      </c>
      <c r="D1174" t="s">
        <v>104</v>
      </c>
      <c r="E1174" t="s">
        <v>105</v>
      </c>
      <c r="F1174">
        <v>-605</v>
      </c>
      <c r="G1174">
        <v>-131201.26999999999</v>
      </c>
      <c r="H1174">
        <v>1837</v>
      </c>
      <c r="I1174">
        <v>2.15408067542214</v>
      </c>
      <c r="J1174">
        <v>409105.17</v>
      </c>
      <c r="K1174">
        <v>2.1555081235954301</v>
      </c>
      <c r="L1174">
        <v>616</v>
      </c>
      <c r="M1174">
        <v>1.4446529080675401</v>
      </c>
      <c r="N1174">
        <v>225.57134740259701</v>
      </c>
      <c r="O1174">
        <v>138951.95000000001</v>
      </c>
      <c r="P1174">
        <v>1.46423012456394</v>
      </c>
      <c r="Q1174">
        <v>1221</v>
      </c>
      <c r="R1174">
        <v>2.8635084427767401</v>
      </c>
      <c r="S1174">
        <v>221.25570843570799</v>
      </c>
      <c r="T1174">
        <v>270153.21999999997</v>
      </c>
      <c r="U1174">
        <v>2.84678612262692</v>
      </c>
      <c r="V1174">
        <v>85</v>
      </c>
      <c r="W1174">
        <v>5.8539944903581302</v>
      </c>
    </row>
    <row r="1175" spans="1:23" hidden="1" x14ac:dyDescent="0.25">
      <c r="A1175" t="s">
        <v>181</v>
      </c>
      <c r="B1175">
        <v>11</v>
      </c>
      <c r="C1175">
        <v>2025</v>
      </c>
      <c r="D1175" t="s">
        <v>106</v>
      </c>
      <c r="E1175" t="s">
        <v>107</v>
      </c>
      <c r="F1175">
        <v>60</v>
      </c>
      <c r="G1175">
        <v>13795.29</v>
      </c>
      <c r="H1175">
        <v>684</v>
      </c>
      <c r="I1175">
        <v>0.802063789868668</v>
      </c>
      <c r="J1175">
        <v>150570.82999999999</v>
      </c>
      <c r="K1175">
        <v>0.79333303766732199</v>
      </c>
      <c r="L1175">
        <v>372</v>
      </c>
      <c r="M1175">
        <v>0.87242026266416495</v>
      </c>
      <c r="N1175">
        <v>220.922204301075</v>
      </c>
      <c r="O1175">
        <v>82183.06</v>
      </c>
      <c r="P1175">
        <v>0.86601816081635197</v>
      </c>
      <c r="Q1175">
        <v>312</v>
      </c>
      <c r="R1175">
        <v>0.73170731707317105</v>
      </c>
      <c r="S1175">
        <v>219.19157051282099</v>
      </c>
      <c r="T1175">
        <v>68387.77</v>
      </c>
      <c r="U1175">
        <v>0.72064791451829202</v>
      </c>
      <c r="V1175">
        <v>18</v>
      </c>
      <c r="W1175">
        <v>1.2396694214876001</v>
      </c>
    </row>
    <row r="1176" spans="1:23" hidden="1" x14ac:dyDescent="0.25">
      <c r="A1176" t="s">
        <v>181</v>
      </c>
      <c r="B1176">
        <v>11</v>
      </c>
      <c r="C1176">
        <v>2025</v>
      </c>
      <c r="D1176" t="s">
        <v>110</v>
      </c>
      <c r="E1176" t="s">
        <v>111</v>
      </c>
      <c r="F1176">
        <v>179</v>
      </c>
      <c r="G1176">
        <v>39847.68</v>
      </c>
      <c r="H1176">
        <v>269</v>
      </c>
      <c r="I1176">
        <v>0.31543151969981198</v>
      </c>
      <c r="J1176">
        <v>59608.52</v>
      </c>
      <c r="K1176">
        <v>0.31406752717278202</v>
      </c>
      <c r="L1176">
        <v>224</v>
      </c>
      <c r="M1176">
        <v>0.52532833020637903</v>
      </c>
      <c r="N1176">
        <v>222.000446428571</v>
      </c>
      <c r="O1176">
        <v>49728.1</v>
      </c>
      <c r="P1176">
        <v>0.52401842548685396</v>
      </c>
      <c r="Q1176">
        <v>45</v>
      </c>
      <c r="R1176">
        <v>0.10553470919324601</v>
      </c>
      <c r="S1176">
        <v>219.56488888888899</v>
      </c>
      <c r="T1176">
        <v>9880.42</v>
      </c>
      <c r="U1176">
        <v>0.10411662885870999</v>
      </c>
      <c r="V1176">
        <v>11</v>
      </c>
      <c r="W1176">
        <v>0.75757575757575801</v>
      </c>
    </row>
    <row r="1177" spans="1:23" hidden="1" x14ac:dyDescent="0.25">
      <c r="A1177" t="s">
        <v>181</v>
      </c>
      <c r="B1177">
        <v>11</v>
      </c>
      <c r="C1177">
        <v>2025</v>
      </c>
      <c r="D1177" t="s">
        <v>116</v>
      </c>
      <c r="E1177" t="s">
        <v>117</v>
      </c>
      <c r="F1177">
        <v>-27</v>
      </c>
      <c r="G1177">
        <v>-5964.24</v>
      </c>
      <c r="H1177">
        <v>27</v>
      </c>
      <c r="I1177">
        <v>3.1660412757973697E-2</v>
      </c>
      <c r="J1177">
        <v>5964.24</v>
      </c>
      <c r="K1177">
        <v>3.14246035342765E-2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27</v>
      </c>
      <c r="R1177">
        <v>6.3320825515947504E-2</v>
      </c>
      <c r="S1177">
        <v>220.897777777778</v>
      </c>
      <c r="T1177">
        <v>5964.24</v>
      </c>
      <c r="U1177">
        <v>6.2849207068553001E-2</v>
      </c>
      <c r="V1177">
        <v>3</v>
      </c>
      <c r="W1177">
        <v>0.206611570247934</v>
      </c>
    </row>
    <row r="1178" spans="1:23" hidden="1" x14ac:dyDescent="0.25">
      <c r="A1178" t="s">
        <v>181</v>
      </c>
      <c r="B1178">
        <v>11</v>
      </c>
      <c r="C1178">
        <v>2025</v>
      </c>
      <c r="D1178" t="s">
        <v>118</v>
      </c>
      <c r="E1178" t="s">
        <v>119</v>
      </c>
      <c r="F1178">
        <v>252</v>
      </c>
      <c r="G1178">
        <v>56024.639999999999</v>
      </c>
      <c r="H1178">
        <v>252</v>
      </c>
      <c r="I1178">
        <v>0.29549718574108802</v>
      </c>
      <c r="J1178">
        <v>56024.639999999999</v>
      </c>
      <c r="K1178">
        <v>0.29518465054232701</v>
      </c>
      <c r="L1178">
        <v>252</v>
      </c>
      <c r="M1178">
        <v>0.59099437148217604</v>
      </c>
      <c r="N1178">
        <v>222.32</v>
      </c>
      <c r="O1178">
        <v>56024.639999999999</v>
      </c>
      <c r="P1178">
        <v>0.59036930108465402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3</v>
      </c>
      <c r="W1178">
        <v>0.206611570247934</v>
      </c>
    </row>
    <row r="1179" spans="1:23" hidden="1" x14ac:dyDescent="0.25">
      <c r="A1179" t="s">
        <v>181</v>
      </c>
      <c r="B1179">
        <v>11</v>
      </c>
      <c r="C1179">
        <v>2025</v>
      </c>
      <c r="D1179" t="s">
        <v>122</v>
      </c>
      <c r="E1179" t="s">
        <v>123</v>
      </c>
      <c r="F1179">
        <v>-833</v>
      </c>
      <c r="G1179">
        <v>-191127.97</v>
      </c>
      <c r="H1179">
        <v>1191</v>
      </c>
      <c r="I1179">
        <v>1.3965759849906201</v>
      </c>
      <c r="J1179">
        <v>269917.57</v>
      </c>
      <c r="K1179">
        <v>1.42215146006622</v>
      </c>
      <c r="L1179">
        <v>179</v>
      </c>
      <c r="M1179">
        <v>0.419793621013133</v>
      </c>
      <c r="N1179">
        <v>220.082681564246</v>
      </c>
      <c r="O1179">
        <v>39394.800000000003</v>
      </c>
      <c r="P1179">
        <v>0.41512949556426898</v>
      </c>
      <c r="Q1179">
        <v>1012</v>
      </c>
      <c r="R1179">
        <v>2.37335834896811</v>
      </c>
      <c r="S1179">
        <v>227.78929841897201</v>
      </c>
      <c r="T1179">
        <v>230522.77</v>
      </c>
      <c r="U1179">
        <v>2.4291734245681602</v>
      </c>
      <c r="V1179">
        <v>24</v>
      </c>
      <c r="W1179">
        <v>1.65289256198347</v>
      </c>
    </row>
    <row r="1180" spans="1:23" hidden="1" x14ac:dyDescent="0.25">
      <c r="A1180" t="s">
        <v>181</v>
      </c>
      <c r="B1180">
        <v>11</v>
      </c>
      <c r="C1180">
        <v>2025</v>
      </c>
      <c r="D1180" t="s">
        <v>126</v>
      </c>
      <c r="E1180" t="s">
        <v>127</v>
      </c>
      <c r="F1180">
        <v>-6</v>
      </c>
      <c r="G1180">
        <v>-1135.33</v>
      </c>
      <c r="H1180">
        <v>66</v>
      </c>
      <c r="I1180">
        <v>7.7392120075046894E-2</v>
      </c>
      <c r="J1180">
        <v>14584.11</v>
      </c>
      <c r="K1180">
        <v>7.6841286509308396E-2</v>
      </c>
      <c r="L1180">
        <v>30</v>
      </c>
      <c r="M1180">
        <v>7.0356472795497199E-2</v>
      </c>
      <c r="N1180">
        <v>224.14633333333299</v>
      </c>
      <c r="O1180">
        <v>6724.39</v>
      </c>
      <c r="P1180">
        <v>7.0859418722202194E-2</v>
      </c>
      <c r="Q1180">
        <v>36</v>
      </c>
      <c r="R1180">
        <v>8.4427767354596603E-2</v>
      </c>
      <c r="S1180">
        <v>218.32555555555601</v>
      </c>
      <c r="T1180">
        <v>7859.72</v>
      </c>
      <c r="U1180">
        <v>8.2823154296414597E-2</v>
      </c>
      <c r="V1180">
        <v>12</v>
      </c>
      <c r="W1180">
        <v>0.826446280991736</v>
      </c>
    </row>
    <row r="1181" spans="1:23" hidden="1" x14ac:dyDescent="0.25">
      <c r="A1181" t="s">
        <v>181</v>
      </c>
      <c r="B1181">
        <v>11</v>
      </c>
      <c r="C1181">
        <v>2025</v>
      </c>
      <c r="D1181" t="s">
        <v>130</v>
      </c>
      <c r="E1181" t="s">
        <v>131</v>
      </c>
      <c r="F1181">
        <v>621</v>
      </c>
      <c r="G1181">
        <v>141084.19</v>
      </c>
      <c r="H1181">
        <v>831</v>
      </c>
      <c r="I1181">
        <v>0.97443714821763605</v>
      </c>
      <c r="J1181">
        <v>186908.25</v>
      </c>
      <c r="K1181">
        <v>0.98478895107095599</v>
      </c>
      <c r="L1181">
        <v>726</v>
      </c>
      <c r="M1181">
        <v>1.7026266416510301</v>
      </c>
      <c r="N1181">
        <v>225.890110192837</v>
      </c>
      <c r="O1181">
        <v>163996.22</v>
      </c>
      <c r="P1181">
        <v>1.7281384366222601</v>
      </c>
      <c r="Q1181">
        <v>105</v>
      </c>
      <c r="R1181">
        <v>0.24624765478423999</v>
      </c>
      <c r="S1181">
        <v>218.20980952381001</v>
      </c>
      <c r="T1181">
        <v>22912.03</v>
      </c>
      <c r="U1181">
        <v>0.24143946551964701</v>
      </c>
      <c r="V1181">
        <v>22</v>
      </c>
      <c r="W1181">
        <v>1.51515151515152</v>
      </c>
    </row>
    <row r="1182" spans="1:23" hidden="1" x14ac:dyDescent="0.25">
      <c r="A1182" t="s">
        <v>181</v>
      </c>
      <c r="B1182">
        <v>11</v>
      </c>
      <c r="C1182">
        <v>2025</v>
      </c>
      <c r="D1182" t="s">
        <v>132</v>
      </c>
      <c r="E1182" t="s">
        <v>133</v>
      </c>
      <c r="F1182">
        <v>5026</v>
      </c>
      <c r="G1182">
        <v>1128764.51</v>
      </c>
      <c r="H1182">
        <v>5194</v>
      </c>
      <c r="I1182">
        <v>6.0905253283302097</v>
      </c>
      <c r="J1182">
        <v>1165734.81</v>
      </c>
      <c r="K1182">
        <v>6.1420657502641003</v>
      </c>
      <c r="L1182">
        <v>5110</v>
      </c>
      <c r="M1182">
        <v>11.984052532832999</v>
      </c>
      <c r="N1182">
        <v>224.51069667319001</v>
      </c>
      <c r="O1182">
        <v>1147249.6599999999</v>
      </c>
      <c r="P1182">
        <v>12.089341046079101</v>
      </c>
      <c r="Q1182">
        <v>84</v>
      </c>
      <c r="R1182">
        <v>0.19699812382739201</v>
      </c>
      <c r="S1182">
        <v>220.06130952381</v>
      </c>
      <c r="T1182">
        <v>18485.150000000001</v>
      </c>
      <c r="U1182">
        <v>0.19479045444906001</v>
      </c>
      <c r="V1182">
        <v>55</v>
      </c>
      <c r="W1182">
        <v>3.7878787878787898</v>
      </c>
    </row>
    <row r="1183" spans="1:23" hidden="1" x14ac:dyDescent="0.25">
      <c r="A1183" t="s">
        <v>181</v>
      </c>
      <c r="B1183">
        <v>11</v>
      </c>
      <c r="C1183">
        <v>2025</v>
      </c>
      <c r="D1183" t="s">
        <v>134</v>
      </c>
      <c r="E1183" t="s">
        <v>135</v>
      </c>
      <c r="F1183">
        <v>489</v>
      </c>
      <c r="G1183">
        <v>111152.1</v>
      </c>
      <c r="H1183">
        <v>489</v>
      </c>
      <c r="I1183">
        <v>0.57340525328330205</v>
      </c>
      <c r="J1183">
        <v>111152.1</v>
      </c>
      <c r="K1183">
        <v>0.58564220663525601</v>
      </c>
      <c r="L1183">
        <v>489</v>
      </c>
      <c r="M1183">
        <v>1.1468105065666001</v>
      </c>
      <c r="N1183">
        <v>227.30490797546</v>
      </c>
      <c r="O1183">
        <v>111152.1</v>
      </c>
      <c r="P1183">
        <v>1.17128441327051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7</v>
      </c>
      <c r="W1183">
        <v>0.48209366391184599</v>
      </c>
    </row>
    <row r="1184" spans="1:23" hidden="1" x14ac:dyDescent="0.25">
      <c r="A1184" t="s">
        <v>181</v>
      </c>
      <c r="B1184">
        <v>11</v>
      </c>
      <c r="C1184">
        <v>2025</v>
      </c>
      <c r="D1184" t="s">
        <v>136</v>
      </c>
      <c r="E1184" t="s">
        <v>137</v>
      </c>
      <c r="F1184">
        <v>-859</v>
      </c>
      <c r="G1184">
        <v>-197620.39</v>
      </c>
      <c r="H1184">
        <v>1335</v>
      </c>
      <c r="I1184">
        <v>1.5654315196998101</v>
      </c>
      <c r="J1184">
        <v>305938.11</v>
      </c>
      <c r="K1184">
        <v>1.61193778465921</v>
      </c>
      <c r="L1184">
        <v>238</v>
      </c>
      <c r="M1184">
        <v>0.55816135084427798</v>
      </c>
      <c r="N1184">
        <v>227.55823529411799</v>
      </c>
      <c r="O1184">
        <v>54158.86</v>
      </c>
      <c r="P1184">
        <v>0.57070832272624406</v>
      </c>
      <c r="Q1184">
        <v>1097</v>
      </c>
      <c r="R1184">
        <v>2.57270168855535</v>
      </c>
      <c r="S1184">
        <v>229.516180492252</v>
      </c>
      <c r="T1184">
        <v>251779.25</v>
      </c>
      <c r="U1184">
        <v>2.6531672465921901</v>
      </c>
      <c r="V1184">
        <v>14</v>
      </c>
      <c r="W1184">
        <v>0.96418732782369099</v>
      </c>
    </row>
    <row r="1185" spans="1:23" hidden="1" x14ac:dyDescent="0.25">
      <c r="A1185" t="s">
        <v>181</v>
      </c>
      <c r="B1185">
        <v>11</v>
      </c>
      <c r="C1185">
        <v>2025</v>
      </c>
      <c r="D1185" t="s">
        <v>138</v>
      </c>
      <c r="E1185" t="s">
        <v>139</v>
      </c>
      <c r="F1185">
        <v>2699</v>
      </c>
      <c r="G1185">
        <v>596187.32999999996</v>
      </c>
      <c r="H1185">
        <v>2699</v>
      </c>
      <c r="I1185">
        <v>3.16486866791745</v>
      </c>
      <c r="J1185">
        <v>596187.32999999996</v>
      </c>
      <c r="K1185">
        <v>3.1412133779675</v>
      </c>
      <c r="L1185">
        <v>2699</v>
      </c>
      <c r="M1185">
        <v>6.3297373358349001</v>
      </c>
      <c r="N1185">
        <v>220.891934049648</v>
      </c>
      <c r="O1185">
        <v>596187.32999999996</v>
      </c>
      <c r="P1185">
        <v>6.282426755935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30</v>
      </c>
      <c r="W1185">
        <v>2.06611570247934</v>
      </c>
    </row>
    <row r="1186" spans="1:23" hidden="1" x14ac:dyDescent="0.25">
      <c r="A1186" t="s">
        <v>181</v>
      </c>
      <c r="B1186">
        <v>11</v>
      </c>
      <c r="C1186">
        <v>2025</v>
      </c>
      <c r="D1186" t="s">
        <v>142</v>
      </c>
      <c r="E1186" t="s">
        <v>143</v>
      </c>
      <c r="F1186">
        <v>761</v>
      </c>
      <c r="G1186">
        <v>173137.25</v>
      </c>
      <c r="H1186">
        <v>2075</v>
      </c>
      <c r="I1186">
        <v>2.43316135084428</v>
      </c>
      <c r="J1186">
        <v>474783.29</v>
      </c>
      <c r="K1186">
        <v>2.50155537888305</v>
      </c>
      <c r="L1186">
        <v>1418</v>
      </c>
      <c r="M1186">
        <v>3.3255159474671698</v>
      </c>
      <c r="N1186">
        <v>228.462813822285</v>
      </c>
      <c r="O1186">
        <v>323960.27</v>
      </c>
      <c r="P1186">
        <v>3.41378718683593</v>
      </c>
      <c r="Q1186">
        <v>657</v>
      </c>
      <c r="R1186">
        <v>1.5408067542213899</v>
      </c>
      <c r="S1186">
        <v>229.563196347032</v>
      </c>
      <c r="T1186">
        <v>150823.01999999999</v>
      </c>
      <c r="U1186">
        <v>1.5893235709301601</v>
      </c>
      <c r="V1186">
        <v>55</v>
      </c>
      <c r="W1186">
        <v>3.7878787878787898</v>
      </c>
    </row>
    <row r="1187" spans="1:23" hidden="1" x14ac:dyDescent="0.25">
      <c r="A1187" t="s">
        <v>181</v>
      </c>
      <c r="B1187">
        <v>11</v>
      </c>
      <c r="C1187">
        <v>2025</v>
      </c>
      <c r="D1187" t="s">
        <v>146</v>
      </c>
      <c r="E1187" t="s">
        <v>147</v>
      </c>
      <c r="F1187">
        <v>-196</v>
      </c>
      <c r="G1187">
        <v>-43022.68</v>
      </c>
      <c r="H1187">
        <v>274</v>
      </c>
      <c r="I1187">
        <v>0.32129455909943699</v>
      </c>
      <c r="J1187">
        <v>60737.919999999998</v>
      </c>
      <c r="K1187">
        <v>0.32001815076130502</v>
      </c>
      <c r="L1187">
        <v>39</v>
      </c>
      <c r="M1187">
        <v>9.1463414634146395E-2</v>
      </c>
      <c r="N1187">
        <v>227.11846153846199</v>
      </c>
      <c r="O1187">
        <v>8857.6200000000008</v>
      </c>
      <c r="P1187">
        <v>9.3338697556529696E-2</v>
      </c>
      <c r="Q1187">
        <v>235</v>
      </c>
      <c r="R1187">
        <v>0.55112570356472801</v>
      </c>
      <c r="S1187">
        <v>220.76723404255301</v>
      </c>
      <c r="T1187">
        <v>51880.3</v>
      </c>
      <c r="U1187">
        <v>0.54669760396608003</v>
      </c>
      <c r="V1187">
        <v>7</v>
      </c>
      <c r="W1187">
        <v>0.48209366391184599</v>
      </c>
    </row>
    <row r="1188" spans="1:23" x14ac:dyDescent="0.25">
      <c r="A1188" t="s">
        <v>181</v>
      </c>
      <c r="B1188">
        <v>11</v>
      </c>
      <c r="C1188">
        <v>2025</v>
      </c>
      <c r="D1188" t="s">
        <v>148</v>
      </c>
      <c r="E1188" t="s">
        <v>148</v>
      </c>
      <c r="F1188">
        <v>0</v>
      </c>
      <c r="G1188" s="4">
        <v>1.26442500913981E-9</v>
      </c>
      <c r="H1188">
        <v>85280</v>
      </c>
      <c r="I1188">
        <v>0</v>
      </c>
      <c r="J1188">
        <v>18979523.460000001</v>
      </c>
      <c r="K1188">
        <v>0</v>
      </c>
      <c r="L1188">
        <v>42640</v>
      </c>
      <c r="M1188">
        <v>100</v>
      </c>
      <c r="N1188">
        <v>223.26809043347001</v>
      </c>
      <c r="O1188">
        <v>9489761.7300000004</v>
      </c>
      <c r="P1188">
        <v>100</v>
      </c>
      <c r="Q1188">
        <v>42640</v>
      </c>
      <c r="R1188">
        <v>100</v>
      </c>
      <c r="S1188">
        <v>220.189453971213</v>
      </c>
      <c r="T1188">
        <v>9489761.7300000004</v>
      </c>
      <c r="U1188">
        <v>100</v>
      </c>
      <c r="V1188">
        <v>1452</v>
      </c>
      <c r="W1188">
        <v>100</v>
      </c>
    </row>
    <row r="1189" spans="1:23" hidden="1" x14ac:dyDescent="0.25">
      <c r="A1189" t="s">
        <v>181</v>
      </c>
      <c r="B1189">
        <v>11</v>
      </c>
      <c r="C1189">
        <v>2025</v>
      </c>
      <c r="D1189" t="s">
        <v>149</v>
      </c>
      <c r="E1189" t="s">
        <v>150</v>
      </c>
      <c r="F1189">
        <v>-144</v>
      </c>
      <c r="G1189">
        <v>-29131.79</v>
      </c>
      <c r="H1189">
        <v>1138</v>
      </c>
      <c r="I1189">
        <v>1.3344277673545999</v>
      </c>
      <c r="J1189">
        <v>253096.53</v>
      </c>
      <c r="K1189">
        <v>1.3335241558272499</v>
      </c>
      <c r="L1189">
        <v>497</v>
      </c>
      <c r="M1189">
        <v>1.1655722326454001</v>
      </c>
      <c r="N1189">
        <v>225.316639839034</v>
      </c>
      <c r="O1189">
        <v>111982.37</v>
      </c>
      <c r="P1189">
        <v>1.1800335265108901</v>
      </c>
      <c r="Q1189">
        <v>641</v>
      </c>
      <c r="R1189">
        <v>1.5032833020637899</v>
      </c>
      <c r="S1189">
        <v>220.14689547581901</v>
      </c>
      <c r="T1189">
        <v>141114.16</v>
      </c>
      <c r="U1189">
        <v>1.48701478514361</v>
      </c>
      <c r="V1189">
        <v>25</v>
      </c>
      <c r="W1189">
        <v>1.7217630853994501</v>
      </c>
    </row>
    <row r="1190" spans="1:23" hidden="1" x14ac:dyDescent="0.25">
      <c r="A1190" t="s">
        <v>181</v>
      </c>
      <c r="B1190">
        <v>11</v>
      </c>
      <c r="C1190">
        <v>2025</v>
      </c>
      <c r="D1190" t="s">
        <v>151</v>
      </c>
      <c r="E1190" t="s">
        <v>152</v>
      </c>
      <c r="F1190">
        <v>-378</v>
      </c>
      <c r="G1190">
        <v>-91418.059999999605</v>
      </c>
      <c r="H1190">
        <v>25928</v>
      </c>
      <c r="I1190">
        <v>30.403377110694201</v>
      </c>
      <c r="J1190">
        <v>5726560.4400000004</v>
      </c>
      <c r="K1190">
        <v>30.172308867864501</v>
      </c>
      <c r="L1190">
        <v>12775</v>
      </c>
      <c r="M1190">
        <v>29.9601313320826</v>
      </c>
      <c r="N1190">
        <v>220.553517808219</v>
      </c>
      <c r="O1190">
        <v>2817571.19</v>
      </c>
      <c r="P1190">
        <v>29.690642085278199</v>
      </c>
      <c r="Q1190">
        <v>13153</v>
      </c>
      <c r="R1190">
        <v>30.846622889305799</v>
      </c>
      <c r="S1190">
        <v>221.16545654983699</v>
      </c>
      <c r="T1190">
        <v>2908989.25</v>
      </c>
      <c r="U1190">
        <v>30.6539756504508</v>
      </c>
      <c r="V1190">
        <v>366</v>
      </c>
      <c r="W1190">
        <v>25.206611570247901</v>
      </c>
    </row>
    <row r="1191" spans="1:23" hidden="1" x14ac:dyDescent="0.25">
      <c r="A1191" t="s">
        <v>181</v>
      </c>
      <c r="B1191">
        <v>11</v>
      </c>
      <c r="C1191">
        <v>2025</v>
      </c>
      <c r="D1191" t="s">
        <v>153</v>
      </c>
      <c r="E1191" t="s">
        <v>154</v>
      </c>
      <c r="F1191">
        <v>-6</v>
      </c>
      <c r="G1191">
        <v>-1339.18</v>
      </c>
      <c r="H1191">
        <v>8</v>
      </c>
      <c r="I1191">
        <v>9.3808630393996308E-3</v>
      </c>
      <c r="J1191">
        <v>1792.36</v>
      </c>
      <c r="K1191">
        <v>9.4436512264254695E-3</v>
      </c>
      <c r="L1191">
        <v>1</v>
      </c>
      <c r="M1191">
        <v>2.3452157598499099E-3</v>
      </c>
      <c r="N1191">
        <v>226.59</v>
      </c>
      <c r="O1191">
        <v>226.59</v>
      </c>
      <c r="P1191">
        <v>2.38773118279335E-3</v>
      </c>
      <c r="Q1191">
        <v>7</v>
      </c>
      <c r="R1191">
        <v>1.64165103189493E-2</v>
      </c>
      <c r="S1191">
        <v>223.681428571429</v>
      </c>
      <c r="T1191">
        <v>1565.77</v>
      </c>
      <c r="U1191">
        <v>1.6499571270057599E-2</v>
      </c>
      <c r="V1191">
        <v>3</v>
      </c>
      <c r="W1191">
        <v>0.206611570247934</v>
      </c>
    </row>
    <row r="1192" spans="1:23" hidden="1" x14ac:dyDescent="0.25">
      <c r="A1192" t="s">
        <v>181</v>
      </c>
      <c r="B1192">
        <v>11</v>
      </c>
      <c r="C1192">
        <v>2025</v>
      </c>
      <c r="D1192" t="s">
        <v>155</v>
      </c>
      <c r="E1192" t="s">
        <v>156</v>
      </c>
      <c r="F1192">
        <v>349</v>
      </c>
      <c r="G1192">
        <v>78482.73</v>
      </c>
      <c r="H1192">
        <v>349</v>
      </c>
      <c r="I1192">
        <v>0.40924015009380899</v>
      </c>
      <c r="J1192">
        <v>78482.73</v>
      </c>
      <c r="K1192">
        <v>0.41351264780385599</v>
      </c>
      <c r="L1192">
        <v>349</v>
      </c>
      <c r="M1192">
        <v>0.81848030018761697</v>
      </c>
      <c r="N1192">
        <v>224.87888252149</v>
      </c>
      <c r="O1192">
        <v>78482.73</v>
      </c>
      <c r="P1192">
        <v>0.82702529560771199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4</v>
      </c>
      <c r="W1192">
        <v>0.27548209366391202</v>
      </c>
    </row>
    <row r="1193" spans="1:23" hidden="1" x14ac:dyDescent="0.25">
      <c r="A1193" t="s">
        <v>181</v>
      </c>
      <c r="B1193">
        <v>12</v>
      </c>
      <c r="C1193">
        <v>2025</v>
      </c>
      <c r="D1193" t="s">
        <v>88</v>
      </c>
      <c r="E1193" t="s">
        <v>89</v>
      </c>
      <c r="F1193">
        <v>248</v>
      </c>
      <c r="G1193">
        <v>15161.3500000001</v>
      </c>
      <c r="H1193">
        <v>4600</v>
      </c>
      <c r="I1193">
        <v>1.6423409785495999</v>
      </c>
      <c r="J1193">
        <v>1263832.21</v>
      </c>
      <c r="K1193">
        <v>1.5983212393061299</v>
      </c>
      <c r="L1193">
        <v>2424</v>
      </c>
      <c r="M1193">
        <v>1.73088457913227</v>
      </c>
      <c r="N1193">
        <v>263.81880363036299</v>
      </c>
      <c r="O1193">
        <v>639496.78</v>
      </c>
      <c r="P1193">
        <v>1.6174952305446899</v>
      </c>
      <c r="Q1193">
        <v>2176</v>
      </c>
      <c r="R1193">
        <v>1.5537973779669201</v>
      </c>
      <c r="S1193">
        <v>286.918855698529</v>
      </c>
      <c r="T1193">
        <v>624335.43000000005</v>
      </c>
      <c r="U1193">
        <v>1.5791472480675599</v>
      </c>
      <c r="V1193">
        <v>121</v>
      </c>
      <c r="W1193">
        <v>2.41709948062325</v>
      </c>
    </row>
    <row r="1194" spans="1:23" hidden="1" x14ac:dyDescent="0.25">
      <c r="A1194" t="s">
        <v>181</v>
      </c>
      <c r="B1194">
        <v>12</v>
      </c>
      <c r="C1194">
        <v>2025</v>
      </c>
      <c r="D1194" t="s">
        <v>90</v>
      </c>
      <c r="E1194" t="s">
        <v>91</v>
      </c>
      <c r="F1194">
        <v>2733</v>
      </c>
      <c r="G1194">
        <v>751798.95</v>
      </c>
      <c r="H1194">
        <v>24801</v>
      </c>
      <c r="I1194">
        <v>8.8547170889149101</v>
      </c>
      <c r="J1194">
        <v>7049860.79</v>
      </c>
      <c r="K1194">
        <v>8.9156947778759807</v>
      </c>
      <c r="L1194">
        <v>13767</v>
      </c>
      <c r="M1194">
        <v>9.8304818485618792</v>
      </c>
      <c r="N1194">
        <v>283.346398634416</v>
      </c>
      <c r="O1194">
        <v>3900829.87</v>
      </c>
      <c r="P1194">
        <v>9.8664667395061194</v>
      </c>
      <c r="Q1194">
        <v>11034</v>
      </c>
      <c r="R1194">
        <v>7.8789523292679498</v>
      </c>
      <c r="S1194">
        <v>285.39341308682299</v>
      </c>
      <c r="T1194">
        <v>3149030.92</v>
      </c>
      <c r="U1194">
        <v>7.9649228162458501</v>
      </c>
      <c r="V1194">
        <v>513</v>
      </c>
      <c r="W1194">
        <v>10.247702756692</v>
      </c>
    </row>
    <row r="1195" spans="1:23" hidden="1" x14ac:dyDescent="0.25">
      <c r="A1195" t="s">
        <v>181</v>
      </c>
      <c r="B1195">
        <v>12</v>
      </c>
      <c r="C1195">
        <v>2025</v>
      </c>
      <c r="D1195" t="s">
        <v>92</v>
      </c>
      <c r="E1195" t="s">
        <v>93</v>
      </c>
      <c r="F1195">
        <v>200</v>
      </c>
      <c r="G1195">
        <v>52633</v>
      </c>
      <c r="H1195">
        <v>200</v>
      </c>
      <c r="I1195">
        <v>7.1406129502156496E-2</v>
      </c>
      <c r="J1195">
        <v>52633</v>
      </c>
      <c r="K1195">
        <v>6.6562982904510196E-2</v>
      </c>
      <c r="L1195">
        <v>200</v>
      </c>
      <c r="M1195">
        <v>0.14281225900431299</v>
      </c>
      <c r="N1195">
        <v>263.16500000000002</v>
      </c>
      <c r="O1195">
        <v>52633</v>
      </c>
      <c r="P1195">
        <v>0.13312596580902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3</v>
      </c>
      <c r="W1195">
        <v>5.9928086296444298E-2</v>
      </c>
    </row>
    <row r="1196" spans="1:23" hidden="1" x14ac:dyDescent="0.25">
      <c r="A1196" t="s">
        <v>181</v>
      </c>
      <c r="B1196">
        <v>12</v>
      </c>
      <c r="C1196">
        <v>2025</v>
      </c>
      <c r="D1196" t="s">
        <v>94</v>
      </c>
      <c r="E1196" t="s">
        <v>95</v>
      </c>
      <c r="F1196">
        <v>-36435</v>
      </c>
      <c r="G1196">
        <v>-9891982.3100000005</v>
      </c>
      <c r="H1196">
        <v>65567</v>
      </c>
      <c r="I1196">
        <v>23.409428465339499</v>
      </c>
      <c r="J1196">
        <v>18567804.690000001</v>
      </c>
      <c r="K1196">
        <v>23.482006842755599</v>
      </c>
      <c r="L1196">
        <v>14566</v>
      </c>
      <c r="M1196">
        <v>10.401016823284101</v>
      </c>
      <c r="N1196">
        <v>297.81073664698602</v>
      </c>
      <c r="O1196">
        <v>4337911.1900000004</v>
      </c>
      <c r="P1196">
        <v>10.9719874748258</v>
      </c>
      <c r="Q1196">
        <v>51001</v>
      </c>
      <c r="R1196">
        <v>36.417840107394802</v>
      </c>
      <c r="S1196">
        <v>279.01204878335699</v>
      </c>
      <c r="T1196">
        <v>14229893.5</v>
      </c>
      <c r="U1196">
        <v>35.992026210685303</v>
      </c>
      <c r="V1196">
        <v>840</v>
      </c>
      <c r="W1196">
        <v>16.779864163004401</v>
      </c>
    </row>
    <row r="1197" spans="1:23" hidden="1" x14ac:dyDescent="0.25">
      <c r="A1197" t="s">
        <v>181</v>
      </c>
      <c r="B1197">
        <v>12</v>
      </c>
      <c r="C1197">
        <v>2025</v>
      </c>
      <c r="D1197" t="s">
        <v>100</v>
      </c>
      <c r="E1197" t="s">
        <v>101</v>
      </c>
      <c r="F1197">
        <v>190</v>
      </c>
      <c r="G1197">
        <v>44114.46</v>
      </c>
      <c r="H1197">
        <v>190</v>
      </c>
      <c r="I1197">
        <v>6.7835823027048603E-2</v>
      </c>
      <c r="J1197">
        <v>44114.46</v>
      </c>
      <c r="K1197">
        <v>5.5789904562189102E-2</v>
      </c>
      <c r="L1197">
        <v>190</v>
      </c>
      <c r="M1197">
        <v>0.13567164605409701</v>
      </c>
      <c r="N1197">
        <v>232.18136842105301</v>
      </c>
      <c r="O1197">
        <v>44114.46</v>
      </c>
      <c r="P1197">
        <v>0.111579809124378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3</v>
      </c>
      <c r="W1197">
        <v>5.9928086296444298E-2</v>
      </c>
    </row>
    <row r="1198" spans="1:23" hidden="1" x14ac:dyDescent="0.25">
      <c r="A1198" t="s">
        <v>181</v>
      </c>
      <c r="B1198">
        <v>12</v>
      </c>
      <c r="C1198">
        <v>2025</v>
      </c>
      <c r="D1198" t="s">
        <v>159</v>
      </c>
      <c r="E1198" t="s">
        <v>160</v>
      </c>
      <c r="F1198">
        <v>-1</v>
      </c>
      <c r="G1198">
        <v>-245</v>
      </c>
      <c r="H1198">
        <v>1</v>
      </c>
      <c r="I1198">
        <v>3.5703064751078201E-4</v>
      </c>
      <c r="J1198">
        <v>245</v>
      </c>
      <c r="K1198">
        <v>3.0984231967786399E-4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1</v>
      </c>
      <c r="R1198">
        <v>7.14061295021565E-4</v>
      </c>
      <c r="S1198">
        <v>245</v>
      </c>
      <c r="T1198">
        <v>245</v>
      </c>
      <c r="U1198">
        <v>6.1968463935572701E-4</v>
      </c>
      <c r="V1198">
        <v>1</v>
      </c>
      <c r="W1198">
        <v>1.99760287654814E-2</v>
      </c>
    </row>
    <row r="1199" spans="1:23" hidden="1" x14ac:dyDescent="0.25">
      <c r="A1199" t="s">
        <v>181</v>
      </c>
      <c r="B1199">
        <v>12</v>
      </c>
      <c r="C1199">
        <v>2025</v>
      </c>
      <c r="D1199" t="s">
        <v>102</v>
      </c>
      <c r="E1199" t="s">
        <v>103</v>
      </c>
      <c r="F1199">
        <v>8278</v>
      </c>
      <c r="G1199">
        <v>2194787.37</v>
      </c>
      <c r="H1199">
        <v>19328</v>
      </c>
      <c r="I1199">
        <v>6.9006883550884002</v>
      </c>
      <c r="J1199">
        <v>5508089.6100000003</v>
      </c>
      <c r="K1199">
        <v>6.9658745377793396</v>
      </c>
      <c r="L1199">
        <v>13803</v>
      </c>
      <c r="M1199">
        <v>9.8561880551826597</v>
      </c>
      <c r="N1199">
        <v>279.02908715496602</v>
      </c>
      <c r="O1199">
        <v>3851438.49</v>
      </c>
      <c r="P1199">
        <v>9.7415398843935392</v>
      </c>
      <c r="Q1199">
        <v>5525</v>
      </c>
      <c r="R1199">
        <v>3.9451886549941402</v>
      </c>
      <c r="S1199">
        <v>299.846356561086</v>
      </c>
      <c r="T1199">
        <v>1656651.12</v>
      </c>
      <c r="U1199">
        <v>4.1902091911651498</v>
      </c>
      <c r="V1199">
        <v>611</v>
      </c>
      <c r="W1199">
        <v>12.205353575709101</v>
      </c>
    </row>
    <row r="1200" spans="1:23" hidden="1" x14ac:dyDescent="0.25">
      <c r="A1200" t="s">
        <v>181</v>
      </c>
      <c r="B1200">
        <v>12</v>
      </c>
      <c r="C1200">
        <v>2025</v>
      </c>
      <c r="D1200" t="s">
        <v>104</v>
      </c>
      <c r="E1200" t="s">
        <v>105</v>
      </c>
      <c r="F1200">
        <v>3862</v>
      </c>
      <c r="G1200">
        <v>1244827.25</v>
      </c>
      <c r="H1200">
        <v>8610</v>
      </c>
      <c r="I1200">
        <v>3.07403387506784</v>
      </c>
      <c r="J1200">
        <v>2494319.21</v>
      </c>
      <c r="K1200">
        <v>3.1544720409937002</v>
      </c>
      <c r="L1200">
        <v>6236</v>
      </c>
      <c r="M1200">
        <v>4.4528862357544803</v>
      </c>
      <c r="N1200">
        <v>299.80327613855002</v>
      </c>
      <c r="O1200">
        <v>1869573.23</v>
      </c>
      <c r="P1200">
        <v>4.72875841951703</v>
      </c>
      <c r="Q1200">
        <v>2374</v>
      </c>
      <c r="R1200">
        <v>1.6951815143811899</v>
      </c>
      <c r="S1200">
        <v>263.16174389216502</v>
      </c>
      <c r="T1200">
        <v>624745.98</v>
      </c>
      <c r="U1200">
        <v>1.5801856624703701</v>
      </c>
      <c r="V1200">
        <v>351</v>
      </c>
      <c r="W1200">
        <v>7.0115860966839803</v>
      </c>
    </row>
    <row r="1201" spans="1:23" hidden="1" x14ac:dyDescent="0.25">
      <c r="A1201" t="s">
        <v>181</v>
      </c>
      <c r="B1201">
        <v>12</v>
      </c>
      <c r="C1201">
        <v>2025</v>
      </c>
      <c r="D1201" t="s">
        <v>106</v>
      </c>
      <c r="E1201" t="s">
        <v>107</v>
      </c>
      <c r="F1201">
        <v>-632</v>
      </c>
      <c r="G1201">
        <v>-187430.33</v>
      </c>
      <c r="H1201">
        <v>3710</v>
      </c>
      <c r="I1201">
        <v>1.324583702265</v>
      </c>
      <c r="J1201">
        <v>1027130.81</v>
      </c>
      <c r="K1201">
        <v>1.2989738480938899</v>
      </c>
      <c r="L1201">
        <v>1539</v>
      </c>
      <c r="M1201">
        <v>1.0989403330381899</v>
      </c>
      <c r="N1201">
        <v>272.80717348927902</v>
      </c>
      <c r="O1201">
        <v>419850.23999999999</v>
      </c>
      <c r="P1201">
        <v>1.06193773288904</v>
      </c>
      <c r="Q1201">
        <v>2171</v>
      </c>
      <c r="R1201">
        <v>1.55022707149182</v>
      </c>
      <c r="S1201">
        <v>279.72389221556898</v>
      </c>
      <c r="T1201">
        <v>607280.56999999995</v>
      </c>
      <c r="U1201">
        <v>1.5360099632987401</v>
      </c>
      <c r="V1201">
        <v>62</v>
      </c>
      <c r="W1201">
        <v>1.2385137834598501</v>
      </c>
    </row>
    <row r="1202" spans="1:23" hidden="1" x14ac:dyDescent="0.25">
      <c r="A1202" t="s">
        <v>181</v>
      </c>
      <c r="B1202">
        <v>12</v>
      </c>
      <c r="C1202">
        <v>2025</v>
      </c>
      <c r="D1202" t="s">
        <v>108</v>
      </c>
      <c r="E1202" t="s">
        <v>109</v>
      </c>
      <c r="F1202">
        <v>55</v>
      </c>
      <c r="G1202">
        <v>-2238</v>
      </c>
      <c r="H1202">
        <v>535</v>
      </c>
      <c r="I1202">
        <v>0.191011396418269</v>
      </c>
      <c r="J1202">
        <v>153174</v>
      </c>
      <c r="K1202">
        <v>0.1937134182626</v>
      </c>
      <c r="L1202">
        <v>295</v>
      </c>
      <c r="M1202">
        <v>0.21064808203136201</v>
      </c>
      <c r="N1202">
        <v>255.823728813559</v>
      </c>
      <c r="O1202">
        <v>75468</v>
      </c>
      <c r="P1202">
        <v>0.190883103522033</v>
      </c>
      <c r="Q1202">
        <v>240</v>
      </c>
      <c r="R1202">
        <v>0.17137471080517599</v>
      </c>
      <c r="S1202">
        <v>323.77499999999998</v>
      </c>
      <c r="T1202">
        <v>77706</v>
      </c>
      <c r="U1202">
        <v>0.19654373300316799</v>
      </c>
      <c r="V1202">
        <v>10</v>
      </c>
      <c r="W1202">
        <v>0.19976028765481399</v>
      </c>
    </row>
    <row r="1203" spans="1:23" hidden="1" x14ac:dyDescent="0.25">
      <c r="A1203" t="s">
        <v>181</v>
      </c>
      <c r="B1203">
        <v>12</v>
      </c>
      <c r="C1203">
        <v>2025</v>
      </c>
      <c r="D1203" t="s">
        <v>110</v>
      </c>
      <c r="E1203" t="s">
        <v>111</v>
      </c>
      <c r="F1203">
        <v>384</v>
      </c>
      <c r="G1203">
        <v>107509.69</v>
      </c>
      <c r="H1203">
        <v>882</v>
      </c>
      <c r="I1203">
        <v>0.31490103110451001</v>
      </c>
      <c r="J1203">
        <v>258201.95</v>
      </c>
      <c r="K1203">
        <v>0.32653833115652198</v>
      </c>
      <c r="L1203">
        <v>633</v>
      </c>
      <c r="M1203">
        <v>0.45200079974864998</v>
      </c>
      <c r="N1203">
        <v>288.87175355450199</v>
      </c>
      <c r="O1203">
        <v>182855.82</v>
      </c>
      <c r="P1203">
        <v>0.46250180763590099</v>
      </c>
      <c r="Q1203">
        <v>249</v>
      </c>
      <c r="R1203">
        <v>0.17780126246037001</v>
      </c>
      <c r="S1203">
        <v>302.59489959839402</v>
      </c>
      <c r="T1203">
        <v>75346.13</v>
      </c>
      <c r="U1203">
        <v>0.190574854677142</v>
      </c>
      <c r="V1203">
        <v>34</v>
      </c>
      <c r="W1203">
        <v>0.67918497802636801</v>
      </c>
    </row>
    <row r="1204" spans="1:23" hidden="1" x14ac:dyDescent="0.25">
      <c r="A1204" t="s">
        <v>181</v>
      </c>
      <c r="B1204">
        <v>12</v>
      </c>
      <c r="C1204">
        <v>2025</v>
      </c>
      <c r="D1204" t="s">
        <v>116</v>
      </c>
      <c r="E1204" t="s">
        <v>117</v>
      </c>
      <c r="F1204">
        <v>-144</v>
      </c>
      <c r="G1204">
        <v>-32769.9</v>
      </c>
      <c r="H1204">
        <v>162</v>
      </c>
      <c r="I1204">
        <v>5.7838964896746697E-2</v>
      </c>
      <c r="J1204">
        <v>37283.339999999997</v>
      </c>
      <c r="K1204">
        <v>4.7150843065055001E-2</v>
      </c>
      <c r="L1204">
        <v>9</v>
      </c>
      <c r="M1204">
        <v>6.4265516551940804E-3</v>
      </c>
      <c r="N1204">
        <v>250.74666666666701</v>
      </c>
      <c r="O1204">
        <v>2256.7199999999998</v>
      </c>
      <c r="P1204">
        <v>5.7079784462320702E-3</v>
      </c>
      <c r="Q1204">
        <v>153</v>
      </c>
      <c r="R1204">
        <v>0.10925137813829899</v>
      </c>
      <c r="S1204">
        <v>228.93215686274499</v>
      </c>
      <c r="T1204">
        <v>35026.620000000003</v>
      </c>
      <c r="U1204">
        <v>8.8593707683878004E-2</v>
      </c>
      <c r="V1204">
        <v>7</v>
      </c>
      <c r="W1204">
        <v>0.13983220135836999</v>
      </c>
    </row>
    <row r="1205" spans="1:23" hidden="1" x14ac:dyDescent="0.25">
      <c r="A1205" t="s">
        <v>181</v>
      </c>
      <c r="B1205">
        <v>12</v>
      </c>
      <c r="C1205">
        <v>2025</v>
      </c>
      <c r="D1205" t="s">
        <v>118</v>
      </c>
      <c r="E1205" t="s">
        <v>119</v>
      </c>
      <c r="F1205">
        <v>599</v>
      </c>
      <c r="G1205">
        <v>162226.21</v>
      </c>
      <c r="H1205">
        <v>599</v>
      </c>
      <c r="I1205">
        <v>0.21386135785895899</v>
      </c>
      <c r="J1205">
        <v>162226.21</v>
      </c>
      <c r="K1205">
        <v>0.205161409056932</v>
      </c>
      <c r="L1205">
        <v>599</v>
      </c>
      <c r="M1205">
        <v>0.42772271571791698</v>
      </c>
      <c r="N1205">
        <v>270.82839732888101</v>
      </c>
      <c r="O1205">
        <v>162226.21</v>
      </c>
      <c r="P1205">
        <v>0.41032281811386301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3</v>
      </c>
      <c r="W1205">
        <v>5.9928086296444298E-2</v>
      </c>
    </row>
    <row r="1206" spans="1:23" hidden="1" x14ac:dyDescent="0.25">
      <c r="A1206" t="s">
        <v>181</v>
      </c>
      <c r="B1206">
        <v>12</v>
      </c>
      <c r="C1206">
        <v>2025</v>
      </c>
      <c r="D1206" t="s">
        <v>120</v>
      </c>
      <c r="E1206" t="s">
        <v>121</v>
      </c>
      <c r="F1206">
        <v>344</v>
      </c>
      <c r="G1206">
        <v>80815.56</v>
      </c>
      <c r="H1206">
        <v>344</v>
      </c>
      <c r="I1206">
        <v>0.122818542743709</v>
      </c>
      <c r="J1206">
        <v>80815.56</v>
      </c>
      <c r="K1206">
        <v>0.10220441051618601</v>
      </c>
      <c r="L1206">
        <v>344</v>
      </c>
      <c r="M1206">
        <v>0.245637085487418</v>
      </c>
      <c r="N1206">
        <v>234.928953488372</v>
      </c>
      <c r="O1206">
        <v>80815.56</v>
      </c>
      <c r="P1206">
        <v>0.20440882103237201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10</v>
      </c>
      <c r="W1206">
        <v>0.19976028765481399</v>
      </c>
    </row>
    <row r="1207" spans="1:23" hidden="1" x14ac:dyDescent="0.25">
      <c r="A1207" t="s">
        <v>181</v>
      </c>
      <c r="B1207">
        <v>12</v>
      </c>
      <c r="C1207">
        <v>2025</v>
      </c>
      <c r="D1207" t="s">
        <v>122</v>
      </c>
      <c r="E1207" t="s">
        <v>123</v>
      </c>
      <c r="F1207">
        <v>632</v>
      </c>
      <c r="G1207">
        <v>296020.12</v>
      </c>
      <c r="H1207">
        <v>39422</v>
      </c>
      <c r="I1207">
        <v>14.074862186170099</v>
      </c>
      <c r="J1207">
        <v>11466546.619999999</v>
      </c>
      <c r="K1207">
        <v>14.501311850755799</v>
      </c>
      <c r="L1207">
        <v>20027</v>
      </c>
      <c r="M1207">
        <v>14.300505555396899</v>
      </c>
      <c r="N1207">
        <v>293.66771708193897</v>
      </c>
      <c r="O1207">
        <v>5881283.3700000001</v>
      </c>
      <c r="P1207">
        <v>14.8756774044379</v>
      </c>
      <c r="Q1207">
        <v>19395</v>
      </c>
      <c r="R1207">
        <v>13.8492188169432</v>
      </c>
      <c r="S1207">
        <v>287.97438772879599</v>
      </c>
      <c r="T1207">
        <v>5585263.25</v>
      </c>
      <c r="U1207">
        <v>14.126946297073699</v>
      </c>
      <c r="V1207">
        <v>320</v>
      </c>
      <c r="W1207">
        <v>6.3923292049540503</v>
      </c>
    </row>
    <row r="1208" spans="1:23" hidden="1" x14ac:dyDescent="0.25">
      <c r="A1208" t="s">
        <v>181</v>
      </c>
      <c r="B1208">
        <v>12</v>
      </c>
      <c r="C1208">
        <v>2025</v>
      </c>
      <c r="D1208" t="s">
        <v>126</v>
      </c>
      <c r="E1208" t="s">
        <v>127</v>
      </c>
      <c r="F1208">
        <v>26</v>
      </c>
      <c r="G1208">
        <v>8299</v>
      </c>
      <c r="H1208">
        <v>254</v>
      </c>
      <c r="I1208">
        <v>9.06857844677387E-2</v>
      </c>
      <c r="J1208">
        <v>62387.38</v>
      </c>
      <c r="K1208">
        <v>7.8898981787038205E-2</v>
      </c>
      <c r="L1208">
        <v>140</v>
      </c>
      <c r="M1208">
        <v>9.9968581303019E-2</v>
      </c>
      <c r="N1208">
        <v>252.45135714285701</v>
      </c>
      <c r="O1208">
        <v>35343.19</v>
      </c>
      <c r="P1208">
        <v>8.9394416117677303E-2</v>
      </c>
      <c r="Q1208">
        <v>114</v>
      </c>
      <c r="R1208">
        <v>8.1402987632458401E-2</v>
      </c>
      <c r="S1208">
        <v>237.22973684210501</v>
      </c>
      <c r="T1208">
        <v>27044.19</v>
      </c>
      <c r="U1208">
        <v>6.8403547456399094E-2</v>
      </c>
      <c r="V1208">
        <v>12</v>
      </c>
      <c r="W1208">
        <v>0.239712345185777</v>
      </c>
    </row>
    <row r="1209" spans="1:23" hidden="1" x14ac:dyDescent="0.25">
      <c r="A1209" t="s">
        <v>181</v>
      </c>
      <c r="B1209">
        <v>12</v>
      </c>
      <c r="C1209">
        <v>2025</v>
      </c>
      <c r="D1209" t="s">
        <v>128</v>
      </c>
      <c r="E1209" t="s">
        <v>129</v>
      </c>
      <c r="F1209">
        <v>1212</v>
      </c>
      <c r="G1209">
        <v>284756.28999999998</v>
      </c>
      <c r="H1209">
        <v>1212</v>
      </c>
      <c r="I1209">
        <v>0.432721144783068</v>
      </c>
      <c r="J1209">
        <v>284756.28999999998</v>
      </c>
      <c r="K1209">
        <v>0.36012060994474498</v>
      </c>
      <c r="L1209">
        <v>1212</v>
      </c>
      <c r="M1209">
        <v>0.865442289566136</v>
      </c>
      <c r="N1209">
        <v>234.94743399339899</v>
      </c>
      <c r="O1209">
        <v>284756.28999999998</v>
      </c>
      <c r="P1209">
        <v>0.72024121988948897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26</v>
      </c>
      <c r="W1209">
        <v>0.51937674790251698</v>
      </c>
    </row>
    <row r="1210" spans="1:23" hidden="1" x14ac:dyDescent="0.25">
      <c r="A1210" t="s">
        <v>181</v>
      </c>
      <c r="B1210">
        <v>12</v>
      </c>
      <c r="C1210">
        <v>2025</v>
      </c>
      <c r="D1210" t="s">
        <v>175</v>
      </c>
      <c r="E1210" t="s">
        <v>176</v>
      </c>
      <c r="F1210">
        <v>6</v>
      </c>
      <c r="G1210">
        <v>1365.88</v>
      </c>
      <c r="H1210">
        <v>14</v>
      </c>
      <c r="I1210">
        <v>4.9984290651509502E-3</v>
      </c>
      <c r="J1210">
        <v>3238.12</v>
      </c>
      <c r="K1210">
        <v>4.0951290293685097E-3</v>
      </c>
      <c r="L1210">
        <v>10</v>
      </c>
      <c r="M1210">
        <v>7.1406129502156503E-3</v>
      </c>
      <c r="N1210">
        <v>230.2</v>
      </c>
      <c r="O1210">
        <v>2302</v>
      </c>
      <c r="P1210">
        <v>5.8225062848852403E-3</v>
      </c>
      <c r="Q1210">
        <v>4</v>
      </c>
      <c r="R1210">
        <v>2.85624518008626E-3</v>
      </c>
      <c r="S1210">
        <v>234.03</v>
      </c>
      <c r="T1210">
        <v>936.12</v>
      </c>
      <c r="U1210">
        <v>2.36775177385177E-3</v>
      </c>
      <c r="V1210">
        <v>3</v>
      </c>
      <c r="W1210">
        <v>5.9928086296444298E-2</v>
      </c>
    </row>
    <row r="1211" spans="1:23" hidden="1" x14ac:dyDescent="0.25">
      <c r="A1211" t="s">
        <v>181</v>
      </c>
      <c r="B1211">
        <v>12</v>
      </c>
      <c r="C1211">
        <v>2025</v>
      </c>
      <c r="D1211" t="s">
        <v>130</v>
      </c>
      <c r="E1211" t="s">
        <v>131</v>
      </c>
      <c r="F1211">
        <v>2500</v>
      </c>
      <c r="G1211">
        <v>657481.93000000005</v>
      </c>
      <c r="H1211">
        <v>4236</v>
      </c>
      <c r="I1211">
        <v>1.51238182285567</v>
      </c>
      <c r="J1211">
        <v>1221042.77</v>
      </c>
      <c r="K1211">
        <v>1.54420703788851</v>
      </c>
      <c r="L1211">
        <v>3368</v>
      </c>
      <c r="M1211">
        <v>2.4049584416326302</v>
      </c>
      <c r="N1211">
        <v>278.87836995249398</v>
      </c>
      <c r="O1211">
        <v>939262.35</v>
      </c>
      <c r="P1211">
        <v>2.3756997984496402</v>
      </c>
      <c r="Q1211">
        <v>868</v>
      </c>
      <c r="R1211">
        <v>0.61980520407871798</v>
      </c>
      <c r="S1211">
        <v>324.63182027649799</v>
      </c>
      <c r="T1211">
        <v>281780.42</v>
      </c>
      <c r="U1211">
        <v>0.71271427732736903</v>
      </c>
      <c r="V1211">
        <v>78</v>
      </c>
      <c r="W1211">
        <v>1.5581302437075499</v>
      </c>
    </row>
    <row r="1212" spans="1:23" hidden="1" x14ac:dyDescent="0.25">
      <c r="A1212" t="s">
        <v>181</v>
      </c>
      <c r="B1212">
        <v>12</v>
      </c>
      <c r="C1212">
        <v>2025</v>
      </c>
      <c r="D1212" t="s">
        <v>132</v>
      </c>
      <c r="E1212" t="s">
        <v>133</v>
      </c>
      <c r="F1212">
        <v>4755</v>
      </c>
      <c r="G1212">
        <v>1134243.75</v>
      </c>
      <c r="H1212">
        <v>5515</v>
      </c>
      <c r="I1212">
        <v>1.9690240210219601</v>
      </c>
      <c r="J1212">
        <v>1348210.83</v>
      </c>
      <c r="K1212">
        <v>1.7050317182939501</v>
      </c>
      <c r="L1212">
        <v>5135</v>
      </c>
      <c r="M1212">
        <v>3.6667047499357301</v>
      </c>
      <c r="N1212">
        <v>241.71904381694301</v>
      </c>
      <c r="O1212">
        <v>1241227.29</v>
      </c>
      <c r="P1212">
        <v>3.1394672880087202</v>
      </c>
      <c r="Q1212">
        <v>380</v>
      </c>
      <c r="R1212">
        <v>0.27134329210819502</v>
      </c>
      <c r="S1212">
        <v>281.535631578947</v>
      </c>
      <c r="T1212">
        <v>106983.54</v>
      </c>
      <c r="U1212">
        <v>0.27059614857918002</v>
      </c>
      <c r="V1212">
        <v>91</v>
      </c>
      <c r="W1212">
        <v>1.81781861765881</v>
      </c>
    </row>
    <row r="1213" spans="1:23" hidden="1" x14ac:dyDescent="0.25">
      <c r="A1213" t="s">
        <v>181</v>
      </c>
      <c r="B1213">
        <v>12</v>
      </c>
      <c r="C1213">
        <v>2025</v>
      </c>
      <c r="D1213" t="s">
        <v>134</v>
      </c>
      <c r="E1213" t="s">
        <v>135</v>
      </c>
      <c r="F1213">
        <v>1886</v>
      </c>
      <c r="G1213">
        <v>556280.79</v>
      </c>
      <c r="H1213">
        <v>2664</v>
      </c>
      <c r="I1213">
        <v>0.95112964496872399</v>
      </c>
      <c r="J1213">
        <v>752051.19</v>
      </c>
      <c r="K1213">
        <v>0.95109096010652106</v>
      </c>
      <c r="L1213">
        <v>2275</v>
      </c>
      <c r="M1213">
        <v>1.62448944617406</v>
      </c>
      <c r="N1213">
        <v>287.54549010989001</v>
      </c>
      <c r="O1213">
        <v>654165.99</v>
      </c>
      <c r="P1213">
        <v>1.6545984309874799</v>
      </c>
      <c r="Q1213">
        <v>389</v>
      </c>
      <c r="R1213">
        <v>0.27776984376338898</v>
      </c>
      <c r="S1213">
        <v>251.632904884319</v>
      </c>
      <c r="T1213">
        <v>97885.2</v>
      </c>
      <c r="U1213">
        <v>0.247583489225564</v>
      </c>
      <c r="V1213">
        <v>24</v>
      </c>
      <c r="W1213">
        <v>0.479424690371554</v>
      </c>
    </row>
    <row r="1214" spans="1:23" hidden="1" x14ac:dyDescent="0.25">
      <c r="A1214" t="s">
        <v>181</v>
      </c>
      <c r="B1214">
        <v>12</v>
      </c>
      <c r="C1214">
        <v>2025</v>
      </c>
      <c r="D1214" t="s">
        <v>136</v>
      </c>
      <c r="E1214" t="s">
        <v>137</v>
      </c>
      <c r="F1214">
        <v>422</v>
      </c>
      <c r="G1214">
        <v>108978.99</v>
      </c>
      <c r="H1214">
        <v>978</v>
      </c>
      <c r="I1214">
        <v>0.349175973265545</v>
      </c>
      <c r="J1214">
        <v>293355.75</v>
      </c>
      <c r="K1214">
        <v>0.37099602477893701</v>
      </c>
      <c r="L1214">
        <v>700</v>
      </c>
      <c r="M1214">
        <v>0.499842906515095</v>
      </c>
      <c r="N1214">
        <v>287.381957142857</v>
      </c>
      <c r="O1214">
        <v>201167.37</v>
      </c>
      <c r="P1214">
        <v>0.50881766991261301</v>
      </c>
      <c r="Q1214">
        <v>278</v>
      </c>
      <c r="R1214">
        <v>0.19850904001599501</v>
      </c>
      <c r="S1214">
        <v>331.61287769784201</v>
      </c>
      <c r="T1214">
        <v>92188.38</v>
      </c>
      <c r="U1214">
        <v>0.23317437964526</v>
      </c>
      <c r="V1214">
        <v>49</v>
      </c>
      <c r="W1214">
        <v>0.97882540950858998</v>
      </c>
    </row>
    <row r="1215" spans="1:23" hidden="1" x14ac:dyDescent="0.25">
      <c r="A1215" t="s">
        <v>181</v>
      </c>
      <c r="B1215">
        <v>12</v>
      </c>
      <c r="C1215">
        <v>2025</v>
      </c>
      <c r="D1215" t="s">
        <v>138</v>
      </c>
      <c r="E1215" t="s">
        <v>139</v>
      </c>
      <c r="F1215">
        <v>3212</v>
      </c>
      <c r="G1215">
        <v>779335.87</v>
      </c>
      <c r="H1215">
        <v>3674</v>
      </c>
      <c r="I1215">
        <v>1.31173059895461</v>
      </c>
      <c r="J1215">
        <v>903023.87</v>
      </c>
      <c r="K1215">
        <v>1.14202045145013</v>
      </c>
      <c r="L1215">
        <v>3443</v>
      </c>
      <c r="M1215">
        <v>2.45851303875925</v>
      </c>
      <c r="N1215">
        <v>244.315965727563</v>
      </c>
      <c r="O1215">
        <v>841179.87</v>
      </c>
      <c r="P1215">
        <v>2.1276173239765201</v>
      </c>
      <c r="Q1215">
        <v>231</v>
      </c>
      <c r="R1215">
        <v>0.16494815914998101</v>
      </c>
      <c r="S1215">
        <v>267.72294372294402</v>
      </c>
      <c r="T1215">
        <v>61844</v>
      </c>
      <c r="U1215">
        <v>0.15642357892373701</v>
      </c>
      <c r="V1215">
        <v>37</v>
      </c>
      <c r="W1215">
        <v>0.73911306432281298</v>
      </c>
    </row>
    <row r="1216" spans="1:23" hidden="1" x14ac:dyDescent="0.25">
      <c r="A1216" t="s">
        <v>181</v>
      </c>
      <c r="B1216">
        <v>12</v>
      </c>
      <c r="C1216">
        <v>2025</v>
      </c>
      <c r="D1216" t="s">
        <v>142</v>
      </c>
      <c r="E1216" t="s">
        <v>143</v>
      </c>
      <c r="F1216">
        <v>1626</v>
      </c>
      <c r="G1216">
        <v>487697.61</v>
      </c>
      <c r="H1216">
        <v>9548</v>
      </c>
      <c r="I1216">
        <v>3.40892862243295</v>
      </c>
      <c r="J1216">
        <v>2633486.25</v>
      </c>
      <c r="K1216">
        <v>3.3304713817949301</v>
      </c>
      <c r="L1216">
        <v>5587</v>
      </c>
      <c r="M1216">
        <v>3.9894604552854802</v>
      </c>
      <c r="N1216">
        <v>279.32556470377699</v>
      </c>
      <c r="O1216">
        <v>1560591.93</v>
      </c>
      <c r="P1216">
        <v>3.94724427478983</v>
      </c>
      <c r="Q1216">
        <v>3961</v>
      </c>
      <c r="R1216">
        <v>2.8283967895804198</v>
      </c>
      <c r="S1216">
        <v>270.86450896238301</v>
      </c>
      <c r="T1216">
        <v>1072894.32</v>
      </c>
      <c r="U1216">
        <v>2.7136984888000302</v>
      </c>
      <c r="V1216">
        <v>270</v>
      </c>
      <c r="W1216">
        <v>5.3935277666799797</v>
      </c>
    </row>
    <row r="1217" spans="1:23" hidden="1" x14ac:dyDescent="0.25">
      <c r="A1217" t="s">
        <v>181</v>
      </c>
      <c r="B1217">
        <v>12</v>
      </c>
      <c r="C1217">
        <v>2025</v>
      </c>
      <c r="D1217" t="s">
        <v>146</v>
      </c>
      <c r="E1217" t="s">
        <v>147</v>
      </c>
      <c r="F1217">
        <v>754</v>
      </c>
      <c r="G1217">
        <v>219720.79</v>
      </c>
      <c r="H1217">
        <v>1218</v>
      </c>
      <c r="I1217">
        <v>0.43486332866813299</v>
      </c>
      <c r="J1217">
        <v>357754.31</v>
      </c>
      <c r="K1217">
        <v>0.45243847055164699</v>
      </c>
      <c r="L1217">
        <v>986</v>
      </c>
      <c r="M1217">
        <v>0.70406443689126297</v>
      </c>
      <c r="N1217">
        <v>292.83727180527399</v>
      </c>
      <c r="O1217">
        <v>288737.55</v>
      </c>
      <c r="P1217">
        <v>0.73031112057226999</v>
      </c>
      <c r="Q1217">
        <v>232</v>
      </c>
      <c r="R1217">
        <v>0.16566222044500301</v>
      </c>
      <c r="S1217">
        <v>297.48603448275901</v>
      </c>
      <c r="T1217">
        <v>69016.759999999995</v>
      </c>
      <c r="U1217">
        <v>0.17456582053102401</v>
      </c>
      <c r="V1217">
        <v>28</v>
      </c>
      <c r="W1217">
        <v>0.55932880543347996</v>
      </c>
    </row>
    <row r="1218" spans="1:23" x14ac:dyDescent="0.25">
      <c r="A1218" t="s">
        <v>181</v>
      </c>
      <c r="B1218">
        <v>12</v>
      </c>
      <c r="C1218">
        <v>2025</v>
      </c>
      <c r="D1218" t="s">
        <v>148</v>
      </c>
      <c r="E1218" t="s">
        <v>148</v>
      </c>
      <c r="F1218">
        <v>0</v>
      </c>
      <c r="G1218" s="4">
        <v>2.5556801119819299E-10</v>
      </c>
      <c r="H1218">
        <v>280088</v>
      </c>
      <c r="I1218">
        <v>0</v>
      </c>
      <c r="J1218">
        <v>79072477.980000004</v>
      </c>
      <c r="K1218">
        <v>0</v>
      </c>
      <c r="L1218">
        <v>140044</v>
      </c>
      <c r="M1218">
        <v>100</v>
      </c>
      <c r="N1218">
        <v>270.82839732888101</v>
      </c>
      <c r="O1218">
        <v>39536238.990000002</v>
      </c>
      <c r="P1218">
        <v>100</v>
      </c>
      <c r="Q1218">
        <v>140044</v>
      </c>
      <c r="R1218">
        <v>100</v>
      </c>
      <c r="S1218">
        <v>270.86450896238301</v>
      </c>
      <c r="T1218">
        <v>39536238.990000002</v>
      </c>
      <c r="U1218">
        <v>100</v>
      </c>
      <c r="V1218">
        <v>5006</v>
      </c>
      <c r="W1218">
        <v>100</v>
      </c>
    </row>
    <row r="1219" spans="1:23" hidden="1" x14ac:dyDescent="0.25">
      <c r="A1219" t="s">
        <v>181</v>
      </c>
      <c r="B1219">
        <v>12</v>
      </c>
      <c r="C1219">
        <v>2025</v>
      </c>
      <c r="D1219" t="s">
        <v>149</v>
      </c>
      <c r="E1219" t="s">
        <v>150</v>
      </c>
      <c r="F1219">
        <v>1099</v>
      </c>
      <c r="G1219">
        <v>268918.11</v>
      </c>
      <c r="H1219">
        <v>2523</v>
      </c>
      <c r="I1219">
        <v>0.90078832366970396</v>
      </c>
      <c r="J1219">
        <v>635131.77</v>
      </c>
      <c r="K1219">
        <v>0.80322735068533602</v>
      </c>
      <c r="L1219">
        <v>1811</v>
      </c>
      <c r="M1219">
        <v>1.29316500528405</v>
      </c>
      <c r="N1219">
        <v>249.59963556046401</v>
      </c>
      <c r="O1219">
        <v>452024.94</v>
      </c>
      <c r="P1219">
        <v>1.1433180078518099</v>
      </c>
      <c r="Q1219">
        <v>712</v>
      </c>
      <c r="R1219">
        <v>0.50841164205535405</v>
      </c>
      <c r="S1219">
        <v>257.17251404494402</v>
      </c>
      <c r="T1219">
        <v>183106.83</v>
      </c>
      <c r="U1219">
        <v>0.463136693518859</v>
      </c>
      <c r="V1219">
        <v>51</v>
      </c>
      <c r="W1219">
        <v>1.01877746703955</v>
      </c>
    </row>
    <row r="1220" spans="1:23" hidden="1" x14ac:dyDescent="0.25">
      <c r="A1220" t="s">
        <v>181</v>
      </c>
      <c r="B1220">
        <v>12</v>
      </c>
      <c r="C1220">
        <v>2025</v>
      </c>
      <c r="D1220" t="s">
        <v>151</v>
      </c>
      <c r="E1220" t="s">
        <v>152</v>
      </c>
      <c r="F1220">
        <v>1962</v>
      </c>
      <c r="G1220">
        <v>595175.25</v>
      </c>
      <c r="H1220">
        <v>78664</v>
      </c>
      <c r="I1220">
        <v>28.0854588557882</v>
      </c>
      <c r="J1220">
        <v>22238939.27</v>
      </c>
      <c r="K1220">
        <v>28.124753186089499</v>
      </c>
      <c r="L1220">
        <v>40313</v>
      </c>
      <c r="M1220">
        <v>28.7859529862043</v>
      </c>
      <c r="N1220">
        <v>283.21031081784997</v>
      </c>
      <c r="O1220">
        <v>11417057.26</v>
      </c>
      <c r="P1220">
        <v>28.877449023129799</v>
      </c>
      <c r="Q1220">
        <v>38351</v>
      </c>
      <c r="R1220">
        <v>27.384964725372001</v>
      </c>
      <c r="S1220">
        <v>282.17991734244202</v>
      </c>
      <c r="T1220">
        <v>10821882.01</v>
      </c>
      <c r="U1220">
        <v>27.3720573490493</v>
      </c>
      <c r="V1220">
        <v>1409</v>
      </c>
      <c r="W1220">
        <v>28.146224530563298</v>
      </c>
    </row>
    <row r="1221" spans="1:23" hidden="1" x14ac:dyDescent="0.25">
      <c r="A1221" t="s">
        <v>181</v>
      </c>
      <c r="B1221">
        <v>12</v>
      </c>
      <c r="C1221">
        <v>2025</v>
      </c>
      <c r="D1221" t="s">
        <v>153</v>
      </c>
      <c r="E1221" t="s">
        <v>154</v>
      </c>
      <c r="F1221">
        <v>179</v>
      </c>
      <c r="G1221">
        <v>49728.1</v>
      </c>
      <c r="H1221">
        <v>467</v>
      </c>
      <c r="I1221">
        <v>0.166733312387535</v>
      </c>
      <c r="J1221">
        <v>128882.7</v>
      </c>
      <c r="K1221">
        <v>0.162993121364678</v>
      </c>
      <c r="L1221">
        <v>323</v>
      </c>
      <c r="M1221">
        <v>0.23064179829196499</v>
      </c>
      <c r="N1221">
        <v>276.48730650154801</v>
      </c>
      <c r="O1221">
        <v>89305.4</v>
      </c>
      <c r="P1221">
        <v>0.22588238608783301</v>
      </c>
      <c r="Q1221">
        <v>144</v>
      </c>
      <c r="R1221">
        <v>0.10282482648310499</v>
      </c>
      <c r="S1221">
        <v>274.84236111111102</v>
      </c>
      <c r="T1221">
        <v>39577.300000000003</v>
      </c>
      <c r="U1221">
        <v>0.10010385664152401</v>
      </c>
      <c r="V1221">
        <v>33</v>
      </c>
      <c r="W1221">
        <v>0.65920894926088702</v>
      </c>
    </row>
    <row r="1222" spans="1:23" hidden="1" x14ac:dyDescent="0.25">
      <c r="A1222" t="s">
        <v>181</v>
      </c>
      <c r="B1222">
        <v>12</v>
      </c>
      <c r="C1222">
        <v>2025</v>
      </c>
      <c r="D1222" t="s">
        <v>155</v>
      </c>
      <c r="E1222" t="s">
        <v>156</v>
      </c>
      <c r="F1222">
        <v>48</v>
      </c>
      <c r="G1222">
        <v>12789.22</v>
      </c>
      <c r="H1222">
        <v>170</v>
      </c>
      <c r="I1222">
        <v>6.0695210076832998E-2</v>
      </c>
      <c r="J1222">
        <v>43940.02</v>
      </c>
      <c r="K1222">
        <v>5.5569296830578499E-2</v>
      </c>
      <c r="L1222">
        <v>109</v>
      </c>
      <c r="M1222">
        <v>7.7832681157350495E-2</v>
      </c>
      <c r="N1222">
        <v>260.22587155963299</v>
      </c>
      <c r="O1222">
        <v>28364.62</v>
      </c>
      <c r="P1222">
        <v>7.1743344143519405E-2</v>
      </c>
      <c r="Q1222">
        <v>61</v>
      </c>
      <c r="R1222">
        <v>4.3557738996315397E-2</v>
      </c>
      <c r="S1222">
        <v>255.33442622950801</v>
      </c>
      <c r="T1222">
        <v>15575.4</v>
      </c>
      <c r="U1222">
        <v>3.9395249517637503E-2</v>
      </c>
      <c r="V1222">
        <v>6</v>
      </c>
      <c r="W1222">
        <v>0.119856172592889</v>
      </c>
    </row>
    <row r="1223" spans="1:23" hidden="1" x14ac:dyDescent="0.25">
      <c r="A1223" t="s">
        <v>181</v>
      </c>
      <c r="B1223">
        <v>1</v>
      </c>
      <c r="C1223">
        <v>2026</v>
      </c>
      <c r="D1223" t="s">
        <v>88</v>
      </c>
      <c r="E1223" t="s">
        <v>89</v>
      </c>
      <c r="F1223">
        <v>1018</v>
      </c>
      <c r="G1223">
        <v>328395.03000000003</v>
      </c>
      <c r="H1223">
        <v>6160</v>
      </c>
      <c r="I1223">
        <v>2.88273447956347</v>
      </c>
      <c r="J1223">
        <v>2013302.89</v>
      </c>
      <c r="K1223">
        <v>2.9077793917699499</v>
      </c>
      <c r="L1223">
        <v>3589</v>
      </c>
      <c r="M1223">
        <v>3.3591344308939299</v>
      </c>
      <c r="N1223">
        <v>326.23264419058199</v>
      </c>
      <c r="O1223">
        <v>1170848.96</v>
      </c>
      <c r="P1223">
        <v>3.3820747913194902</v>
      </c>
      <c r="Q1223">
        <v>2571</v>
      </c>
      <c r="R1223">
        <v>2.40633452823301</v>
      </c>
      <c r="S1223">
        <v>327.67558537534001</v>
      </c>
      <c r="T1223">
        <v>842453.93</v>
      </c>
      <c r="U1223">
        <v>2.4334839919463902</v>
      </c>
      <c r="V1223">
        <v>149</v>
      </c>
      <c r="W1223">
        <v>3.0149736948603798</v>
      </c>
    </row>
    <row r="1224" spans="1:23" hidden="1" x14ac:dyDescent="0.25">
      <c r="A1224" t="s">
        <v>181</v>
      </c>
      <c r="B1224">
        <v>1</v>
      </c>
      <c r="C1224">
        <v>2026</v>
      </c>
      <c r="D1224" t="s">
        <v>90</v>
      </c>
      <c r="E1224" t="s">
        <v>91</v>
      </c>
      <c r="F1224">
        <v>-1816</v>
      </c>
      <c r="G1224">
        <v>-554516.95999999903</v>
      </c>
      <c r="H1224">
        <v>19894</v>
      </c>
      <c r="I1224">
        <v>9.3099220351356706</v>
      </c>
      <c r="J1224">
        <v>6385363.7400000002</v>
      </c>
      <c r="K1224">
        <v>9.22227310373904</v>
      </c>
      <c r="L1224">
        <v>9039</v>
      </c>
      <c r="M1224">
        <v>8.4600769353163106</v>
      </c>
      <c r="N1224">
        <v>322.53826640115102</v>
      </c>
      <c r="O1224">
        <v>2915423.39</v>
      </c>
      <c r="P1224">
        <v>8.4213936128381803</v>
      </c>
      <c r="Q1224">
        <v>10855</v>
      </c>
      <c r="R1224">
        <v>10.159767134955001</v>
      </c>
      <c r="S1224">
        <v>319.66286043297998</v>
      </c>
      <c r="T1224">
        <v>3469940.35</v>
      </c>
      <c r="U1224">
        <v>10.0231525951026</v>
      </c>
      <c r="V1224">
        <v>480</v>
      </c>
      <c r="W1224">
        <v>9.7126669364629699</v>
      </c>
    </row>
    <row r="1225" spans="1:23" hidden="1" x14ac:dyDescent="0.25">
      <c r="A1225" t="s">
        <v>181</v>
      </c>
      <c r="B1225">
        <v>1</v>
      </c>
      <c r="C1225">
        <v>2026</v>
      </c>
      <c r="D1225" t="s">
        <v>92</v>
      </c>
      <c r="E1225" t="s">
        <v>93</v>
      </c>
      <c r="F1225">
        <v>-100</v>
      </c>
      <c r="G1225">
        <v>-35761.800000000003</v>
      </c>
      <c r="H1225">
        <v>100</v>
      </c>
      <c r="I1225">
        <v>4.6797637655251197E-2</v>
      </c>
      <c r="J1225">
        <v>35761.800000000003</v>
      </c>
      <c r="K1225">
        <v>5.1650164299222E-2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100</v>
      </c>
      <c r="R1225">
        <v>9.3595275310502296E-2</v>
      </c>
      <c r="S1225">
        <v>357.61799999999999</v>
      </c>
      <c r="T1225">
        <v>35761.800000000003</v>
      </c>
      <c r="U1225">
        <v>0.10330032862828301</v>
      </c>
      <c r="V1225">
        <v>2</v>
      </c>
      <c r="W1225">
        <v>4.0469445568595698E-2</v>
      </c>
    </row>
    <row r="1226" spans="1:23" hidden="1" x14ac:dyDescent="0.25">
      <c r="A1226" t="s">
        <v>181</v>
      </c>
      <c r="B1226">
        <v>1</v>
      </c>
      <c r="C1226">
        <v>2026</v>
      </c>
      <c r="D1226" t="s">
        <v>94</v>
      </c>
      <c r="E1226" t="s">
        <v>95</v>
      </c>
      <c r="F1226">
        <v>-11624</v>
      </c>
      <c r="G1226">
        <v>-3774874.72</v>
      </c>
      <c r="H1226">
        <v>40010</v>
      </c>
      <c r="I1226">
        <v>18.723734825866</v>
      </c>
      <c r="J1226">
        <v>13045937.800000001</v>
      </c>
      <c r="K1226">
        <v>18.842027828784701</v>
      </c>
      <c r="L1226">
        <v>14193</v>
      </c>
      <c r="M1226">
        <v>13.2839774248196</v>
      </c>
      <c r="N1226">
        <v>326.60688649334202</v>
      </c>
      <c r="O1226">
        <v>4635531.54</v>
      </c>
      <c r="P1226">
        <v>13.3900399636521</v>
      </c>
      <c r="Q1226">
        <v>25817</v>
      </c>
      <c r="R1226">
        <v>24.1634922269124</v>
      </c>
      <c r="S1226">
        <v>325.77008405314302</v>
      </c>
      <c r="T1226">
        <v>8410406.2599999998</v>
      </c>
      <c r="U1226">
        <v>24.294015697067</v>
      </c>
      <c r="V1226">
        <v>704</v>
      </c>
      <c r="W1226">
        <v>14.2452448401457</v>
      </c>
    </row>
    <row r="1227" spans="1:23" hidden="1" x14ac:dyDescent="0.25">
      <c r="A1227" t="s">
        <v>181</v>
      </c>
      <c r="B1227">
        <v>1</v>
      </c>
      <c r="C1227">
        <v>2026</v>
      </c>
      <c r="D1227" t="s">
        <v>100</v>
      </c>
      <c r="E1227" t="s">
        <v>101</v>
      </c>
      <c r="F1227">
        <v>226</v>
      </c>
      <c r="G1227">
        <v>69391.490000000005</v>
      </c>
      <c r="H1227">
        <v>306</v>
      </c>
      <c r="I1227">
        <v>0.143200771225069</v>
      </c>
      <c r="J1227">
        <v>96485.09</v>
      </c>
      <c r="K1227">
        <v>0.13935178740793899</v>
      </c>
      <c r="L1227">
        <v>266</v>
      </c>
      <c r="M1227">
        <v>0.24896343232593601</v>
      </c>
      <c r="N1227">
        <v>311.79808270676699</v>
      </c>
      <c r="O1227">
        <v>82938.289999999994</v>
      </c>
      <c r="P1227">
        <v>0.23957274544117599</v>
      </c>
      <c r="Q1227">
        <v>40</v>
      </c>
      <c r="R1227">
        <v>3.7438110124200903E-2</v>
      </c>
      <c r="S1227">
        <v>338.67</v>
      </c>
      <c r="T1227">
        <v>13546.8</v>
      </c>
      <c r="U1227">
        <v>3.9130829316802403E-2</v>
      </c>
      <c r="V1227">
        <v>11</v>
      </c>
      <c r="W1227">
        <v>0.22258195062727601</v>
      </c>
    </row>
    <row r="1228" spans="1:23" hidden="1" x14ac:dyDescent="0.25">
      <c r="A1228" t="s">
        <v>181</v>
      </c>
      <c r="B1228">
        <v>1</v>
      </c>
      <c r="C1228">
        <v>2026</v>
      </c>
      <c r="D1228" t="s">
        <v>159</v>
      </c>
      <c r="E1228" t="s">
        <v>160</v>
      </c>
      <c r="F1228">
        <v>180</v>
      </c>
      <c r="G1228">
        <v>61481.4</v>
      </c>
      <c r="H1228">
        <v>180</v>
      </c>
      <c r="I1228">
        <v>8.42357477794521E-2</v>
      </c>
      <c r="J1228">
        <v>61481.4</v>
      </c>
      <c r="K1228">
        <v>8.8796548589449895E-2</v>
      </c>
      <c r="L1228">
        <v>180</v>
      </c>
      <c r="M1228">
        <v>0.16847149555890401</v>
      </c>
      <c r="N1228">
        <v>341.56333333333299</v>
      </c>
      <c r="O1228">
        <v>61481.4</v>
      </c>
      <c r="P1228">
        <v>0.17759309712760099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3</v>
      </c>
      <c r="W1228">
        <v>6.0704168352893599E-2</v>
      </c>
    </row>
    <row r="1229" spans="1:23" hidden="1" x14ac:dyDescent="0.25">
      <c r="A1229" t="s">
        <v>181</v>
      </c>
      <c r="B1229">
        <v>1</v>
      </c>
      <c r="C1229">
        <v>2026</v>
      </c>
      <c r="D1229" t="s">
        <v>102</v>
      </c>
      <c r="E1229" t="s">
        <v>103</v>
      </c>
      <c r="F1229">
        <v>7794</v>
      </c>
      <c r="G1229">
        <v>2530281.63</v>
      </c>
      <c r="H1229">
        <v>24220</v>
      </c>
      <c r="I1229">
        <v>11.334387840101799</v>
      </c>
      <c r="J1229">
        <v>7926827.0700000003</v>
      </c>
      <c r="K1229">
        <v>11.448582580771101</v>
      </c>
      <c r="L1229">
        <v>16007</v>
      </c>
      <c r="M1229">
        <v>14.9817957189521</v>
      </c>
      <c r="N1229">
        <v>326.64174111326298</v>
      </c>
      <c r="O1229">
        <v>5228554.3499999996</v>
      </c>
      <c r="P1229">
        <v>15.1030256389166</v>
      </c>
      <c r="Q1229">
        <v>8213</v>
      </c>
      <c r="R1229">
        <v>7.6869799612515601</v>
      </c>
      <c r="S1229">
        <v>328.53679775964901</v>
      </c>
      <c r="T1229">
        <v>2698272.72</v>
      </c>
      <c r="U1229">
        <v>7.7941395205143804</v>
      </c>
      <c r="V1229">
        <v>809</v>
      </c>
      <c r="W1229">
        <v>16.369890732497002</v>
      </c>
    </row>
    <row r="1230" spans="1:23" hidden="1" x14ac:dyDescent="0.25">
      <c r="A1230" t="s">
        <v>181</v>
      </c>
      <c r="B1230">
        <v>1</v>
      </c>
      <c r="C1230">
        <v>2026</v>
      </c>
      <c r="D1230" t="s">
        <v>104</v>
      </c>
      <c r="E1230" t="s">
        <v>105</v>
      </c>
      <c r="F1230">
        <v>-854</v>
      </c>
      <c r="G1230">
        <v>-262326.51</v>
      </c>
      <c r="H1230">
        <v>11120</v>
      </c>
      <c r="I1230">
        <v>5.2038973072639303</v>
      </c>
      <c r="J1230">
        <v>3617666.83</v>
      </c>
      <c r="K1230">
        <v>5.2249351584468799</v>
      </c>
      <c r="L1230">
        <v>5133</v>
      </c>
      <c r="M1230">
        <v>4.8042454816880804</v>
      </c>
      <c r="N1230">
        <v>326.84008571985203</v>
      </c>
      <c r="O1230">
        <v>1677670.16</v>
      </c>
      <c r="P1230">
        <v>4.8460614051234598</v>
      </c>
      <c r="Q1230">
        <v>5987</v>
      </c>
      <c r="R1230">
        <v>5.6035491328397704</v>
      </c>
      <c r="S1230">
        <v>324.03485385000801</v>
      </c>
      <c r="T1230">
        <v>1939996.67</v>
      </c>
      <c r="U1230">
        <v>5.6038089119891801</v>
      </c>
      <c r="V1230">
        <v>505</v>
      </c>
      <c r="W1230">
        <v>10.2185350060704</v>
      </c>
    </row>
    <row r="1231" spans="1:23" hidden="1" x14ac:dyDescent="0.25">
      <c r="A1231" t="s">
        <v>181</v>
      </c>
      <c r="B1231">
        <v>1</v>
      </c>
      <c r="C1231">
        <v>2026</v>
      </c>
      <c r="D1231" t="s">
        <v>106</v>
      </c>
      <c r="E1231" t="s">
        <v>107</v>
      </c>
      <c r="F1231">
        <v>2719</v>
      </c>
      <c r="G1231">
        <v>888189.79</v>
      </c>
      <c r="H1231">
        <v>3841</v>
      </c>
      <c r="I1231">
        <v>1.7974972623382</v>
      </c>
      <c r="J1231">
        <v>1252611.8899999999</v>
      </c>
      <c r="K1231">
        <v>1.8091262162882999</v>
      </c>
      <c r="L1231">
        <v>3280</v>
      </c>
      <c r="M1231">
        <v>3.0699250301844798</v>
      </c>
      <c r="N1231">
        <v>326.34171951219503</v>
      </c>
      <c r="O1231">
        <v>1070400.8400000001</v>
      </c>
      <c r="P1231">
        <v>3.09192374187292</v>
      </c>
      <c r="Q1231">
        <v>561</v>
      </c>
      <c r="R1231">
        <v>0.52506949449191798</v>
      </c>
      <c r="S1231">
        <v>324.79688057041</v>
      </c>
      <c r="T1231">
        <v>182211.05</v>
      </c>
      <c r="U1231">
        <v>0.52632868996259996</v>
      </c>
      <c r="V1231">
        <v>72</v>
      </c>
      <c r="W1231">
        <v>1.4569000404694501</v>
      </c>
    </row>
    <row r="1232" spans="1:23" hidden="1" x14ac:dyDescent="0.25">
      <c r="A1232" t="s">
        <v>181</v>
      </c>
      <c r="B1232">
        <v>1</v>
      </c>
      <c r="C1232">
        <v>2026</v>
      </c>
      <c r="D1232" t="s">
        <v>108</v>
      </c>
      <c r="E1232" t="s">
        <v>109</v>
      </c>
      <c r="F1232">
        <v>59</v>
      </c>
      <c r="G1232">
        <v>19646.41</v>
      </c>
      <c r="H1232">
        <v>59</v>
      </c>
      <c r="I1232">
        <v>2.7610606216598201E-2</v>
      </c>
      <c r="J1232">
        <v>19646.41</v>
      </c>
      <c r="K1232">
        <v>2.8374978451584602E-2</v>
      </c>
      <c r="L1232">
        <v>59</v>
      </c>
      <c r="M1232">
        <v>5.5221212433196401E-2</v>
      </c>
      <c r="N1232">
        <v>332.99</v>
      </c>
      <c r="O1232">
        <v>19646.41</v>
      </c>
      <c r="P1232">
        <v>5.6749956886776601E-2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1</v>
      </c>
      <c r="W1232">
        <v>2.0234722784297901E-2</v>
      </c>
    </row>
    <row r="1233" spans="1:23" hidden="1" x14ac:dyDescent="0.25">
      <c r="A1233" t="s">
        <v>181</v>
      </c>
      <c r="B1233">
        <v>1</v>
      </c>
      <c r="C1233">
        <v>2026</v>
      </c>
      <c r="D1233" t="s">
        <v>110</v>
      </c>
      <c r="E1233" t="s">
        <v>111</v>
      </c>
      <c r="F1233">
        <v>537</v>
      </c>
      <c r="G1233">
        <v>181141.86</v>
      </c>
      <c r="H1233">
        <v>1879</v>
      </c>
      <c r="I1233">
        <v>0.87932761154216899</v>
      </c>
      <c r="J1233">
        <v>619345.76</v>
      </c>
      <c r="K1233">
        <v>0.89451063039406697</v>
      </c>
      <c r="L1233">
        <v>1208</v>
      </c>
      <c r="M1233">
        <v>1.13063092575087</v>
      </c>
      <c r="N1233">
        <v>331.32765728476801</v>
      </c>
      <c r="O1233">
        <v>400243.81</v>
      </c>
      <c r="P1233">
        <v>1.15613076188979</v>
      </c>
      <c r="Q1233">
        <v>671</v>
      </c>
      <c r="R1233">
        <v>0.62802429733347098</v>
      </c>
      <c r="S1233">
        <v>326.53047690014898</v>
      </c>
      <c r="T1233">
        <v>219101.95</v>
      </c>
      <c r="U1233">
        <v>0.63289049874720105</v>
      </c>
      <c r="V1233">
        <v>50</v>
      </c>
      <c r="W1233">
        <v>1.01173613921489</v>
      </c>
    </row>
    <row r="1234" spans="1:23" hidden="1" x14ac:dyDescent="0.25">
      <c r="A1234" t="s">
        <v>181</v>
      </c>
      <c r="B1234">
        <v>1</v>
      </c>
      <c r="C1234">
        <v>2026</v>
      </c>
      <c r="D1234" t="s">
        <v>167</v>
      </c>
      <c r="E1234" t="s">
        <v>168</v>
      </c>
      <c r="F1234">
        <v>20</v>
      </c>
      <c r="G1234">
        <v>6480</v>
      </c>
      <c r="H1234">
        <v>20</v>
      </c>
      <c r="I1234">
        <v>9.3595275310502293E-3</v>
      </c>
      <c r="J1234">
        <v>6480</v>
      </c>
      <c r="K1234">
        <v>9.3589546571749404E-3</v>
      </c>
      <c r="L1234">
        <v>20</v>
      </c>
      <c r="M1234">
        <v>1.87190550621005E-2</v>
      </c>
      <c r="N1234">
        <v>324</v>
      </c>
      <c r="O1234">
        <v>6480</v>
      </c>
      <c r="P1234">
        <v>1.8717909308943102E-2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1</v>
      </c>
      <c r="W1234">
        <v>2.0234722784297901E-2</v>
      </c>
    </row>
    <row r="1235" spans="1:23" hidden="1" x14ac:dyDescent="0.25">
      <c r="A1235" t="s">
        <v>181</v>
      </c>
      <c r="B1235">
        <v>1</v>
      </c>
      <c r="C1235">
        <v>2026</v>
      </c>
      <c r="D1235" t="s">
        <v>116</v>
      </c>
      <c r="E1235" t="s">
        <v>117</v>
      </c>
      <c r="F1235">
        <v>61</v>
      </c>
      <c r="G1235">
        <v>20205</v>
      </c>
      <c r="H1235">
        <v>85</v>
      </c>
      <c r="I1235">
        <v>3.9777992006963497E-2</v>
      </c>
      <c r="J1235">
        <v>28077.68</v>
      </c>
      <c r="K1235">
        <v>4.0552119444238803E-2</v>
      </c>
      <c r="L1235">
        <v>73</v>
      </c>
      <c r="M1235">
        <v>6.8324550976666704E-2</v>
      </c>
      <c r="N1235">
        <v>330.703287671233</v>
      </c>
      <c r="O1235">
        <v>24141.34</v>
      </c>
      <c r="P1235">
        <v>6.9733859987092597E-2</v>
      </c>
      <c r="Q1235">
        <v>12</v>
      </c>
      <c r="R1235">
        <v>1.12314330372603E-2</v>
      </c>
      <c r="S1235">
        <v>328.02833333333302</v>
      </c>
      <c r="T1235">
        <v>3936.34</v>
      </c>
      <c r="U1235">
        <v>1.13703788845264E-2</v>
      </c>
      <c r="V1235">
        <v>9</v>
      </c>
      <c r="W1235">
        <v>0.18211250505868101</v>
      </c>
    </row>
    <row r="1236" spans="1:23" hidden="1" x14ac:dyDescent="0.25">
      <c r="A1236" t="s">
        <v>181</v>
      </c>
      <c r="B1236">
        <v>1</v>
      </c>
      <c r="C1236">
        <v>2026</v>
      </c>
      <c r="D1236" t="s">
        <v>118</v>
      </c>
      <c r="E1236" t="s">
        <v>119</v>
      </c>
      <c r="F1236">
        <v>142</v>
      </c>
      <c r="G1236">
        <v>45740.72</v>
      </c>
      <c r="H1236">
        <v>202</v>
      </c>
      <c r="I1236">
        <v>9.4531228063607406E-2</v>
      </c>
      <c r="J1236">
        <v>64785.919999999998</v>
      </c>
      <c r="K1236">
        <v>9.3569211065333793E-2</v>
      </c>
      <c r="L1236">
        <v>172</v>
      </c>
      <c r="M1236">
        <v>0.16098387353406399</v>
      </c>
      <c r="N1236">
        <v>321.29837209302298</v>
      </c>
      <c r="O1236">
        <v>55263.32</v>
      </c>
      <c r="P1236">
        <v>0.15963176109121899</v>
      </c>
      <c r="Q1236">
        <v>30</v>
      </c>
      <c r="R1236">
        <v>2.80785825931507E-2</v>
      </c>
      <c r="S1236">
        <v>317.42</v>
      </c>
      <c r="T1236">
        <v>9522.6</v>
      </c>
      <c r="U1236">
        <v>2.7506661001283201E-2</v>
      </c>
      <c r="V1236">
        <v>5</v>
      </c>
      <c r="W1236">
        <v>0.10117361392148901</v>
      </c>
    </row>
    <row r="1237" spans="1:23" hidden="1" x14ac:dyDescent="0.25">
      <c r="A1237" t="s">
        <v>181</v>
      </c>
      <c r="B1237">
        <v>1</v>
      </c>
      <c r="C1237">
        <v>2026</v>
      </c>
      <c r="D1237" t="s">
        <v>120</v>
      </c>
      <c r="E1237" t="s">
        <v>121</v>
      </c>
      <c r="F1237">
        <v>24</v>
      </c>
      <c r="G1237">
        <v>7966.08</v>
      </c>
      <c r="H1237">
        <v>24</v>
      </c>
      <c r="I1237">
        <v>1.12314330372603E-2</v>
      </c>
      <c r="J1237">
        <v>7966.08</v>
      </c>
      <c r="K1237">
        <v>1.15052749252204E-2</v>
      </c>
      <c r="L1237">
        <v>24</v>
      </c>
      <c r="M1237">
        <v>2.2462866074520599E-2</v>
      </c>
      <c r="N1237">
        <v>331.92</v>
      </c>
      <c r="O1237">
        <v>7966.08</v>
      </c>
      <c r="P1237">
        <v>2.3010549843794002E-2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1</v>
      </c>
      <c r="W1237">
        <v>2.0234722784297901E-2</v>
      </c>
    </row>
    <row r="1238" spans="1:23" hidden="1" x14ac:dyDescent="0.25">
      <c r="A1238" t="s">
        <v>181</v>
      </c>
      <c r="B1238">
        <v>1</v>
      </c>
      <c r="C1238">
        <v>2026</v>
      </c>
      <c r="D1238" t="s">
        <v>122</v>
      </c>
      <c r="E1238" t="s">
        <v>123</v>
      </c>
      <c r="F1238">
        <v>-3397</v>
      </c>
      <c r="G1238">
        <v>-1070802.3899999999</v>
      </c>
      <c r="H1238">
        <v>19173</v>
      </c>
      <c r="I1238">
        <v>8.9725110676413102</v>
      </c>
      <c r="J1238">
        <v>6059531.5499999998</v>
      </c>
      <c r="K1238">
        <v>8.7516791697794698</v>
      </c>
      <c r="L1238">
        <v>7888</v>
      </c>
      <c r="M1238">
        <v>7.3827953164924196</v>
      </c>
      <c r="N1238">
        <v>316.22269016227199</v>
      </c>
      <c r="O1238">
        <v>2494364.58</v>
      </c>
      <c r="P1238">
        <v>7.2051373444259097</v>
      </c>
      <c r="Q1238">
        <v>11285</v>
      </c>
      <c r="R1238">
        <v>10.562226818790201</v>
      </c>
      <c r="S1238">
        <v>315.920865750997</v>
      </c>
      <c r="T1238">
        <v>3565166.97</v>
      </c>
      <c r="U1238">
        <v>10.298220996026499</v>
      </c>
      <c r="V1238">
        <v>203</v>
      </c>
      <c r="W1238">
        <v>4.1076487252124698</v>
      </c>
    </row>
    <row r="1239" spans="1:23" hidden="1" x14ac:dyDescent="0.25">
      <c r="A1239" t="s">
        <v>181</v>
      </c>
      <c r="B1239">
        <v>1</v>
      </c>
      <c r="C1239">
        <v>2026</v>
      </c>
      <c r="D1239" t="s">
        <v>124</v>
      </c>
      <c r="E1239" t="s">
        <v>125</v>
      </c>
      <c r="F1239">
        <v>336</v>
      </c>
      <c r="G1239">
        <v>108987.6</v>
      </c>
      <c r="H1239">
        <v>336</v>
      </c>
      <c r="I1239">
        <v>0.15724006252164399</v>
      </c>
      <c r="J1239">
        <v>108987.6</v>
      </c>
      <c r="K1239">
        <v>0.15740895163492599</v>
      </c>
      <c r="L1239">
        <v>336</v>
      </c>
      <c r="M1239">
        <v>0.31448012504328798</v>
      </c>
      <c r="N1239">
        <v>324.36785714285702</v>
      </c>
      <c r="O1239">
        <v>108987.6</v>
      </c>
      <c r="P1239">
        <v>0.314817903178914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15</v>
      </c>
      <c r="W1239">
        <v>0.30352084176446797</v>
      </c>
    </row>
    <row r="1240" spans="1:23" hidden="1" x14ac:dyDescent="0.25">
      <c r="A1240" t="s">
        <v>181</v>
      </c>
      <c r="B1240">
        <v>1</v>
      </c>
      <c r="C1240">
        <v>2026</v>
      </c>
      <c r="D1240" t="s">
        <v>126</v>
      </c>
      <c r="E1240" t="s">
        <v>127</v>
      </c>
      <c r="F1240">
        <v>227</v>
      </c>
      <c r="G1240">
        <v>74633.52</v>
      </c>
      <c r="H1240">
        <v>283</v>
      </c>
      <c r="I1240">
        <v>0.132437314564361</v>
      </c>
      <c r="J1240">
        <v>93852.6</v>
      </c>
      <c r="K1240">
        <v>0.13554972652129299</v>
      </c>
      <c r="L1240">
        <v>255</v>
      </c>
      <c r="M1240">
        <v>0.23866795204178101</v>
      </c>
      <c r="N1240">
        <v>330.36494117647101</v>
      </c>
      <c r="O1240">
        <v>84243.06</v>
      </c>
      <c r="P1240">
        <v>0.24334166002898899</v>
      </c>
      <c r="Q1240">
        <v>28</v>
      </c>
      <c r="R1240">
        <v>2.6206677086940699E-2</v>
      </c>
      <c r="S1240">
        <v>343.197857142857</v>
      </c>
      <c r="T1240">
        <v>9609.5400000000009</v>
      </c>
      <c r="U1240">
        <v>2.7757792951323201E-2</v>
      </c>
      <c r="V1240">
        <v>15</v>
      </c>
      <c r="W1240">
        <v>0.30352084176446797</v>
      </c>
    </row>
    <row r="1241" spans="1:23" hidden="1" x14ac:dyDescent="0.25">
      <c r="A1241" t="s">
        <v>181</v>
      </c>
      <c r="B1241">
        <v>1</v>
      </c>
      <c r="C1241">
        <v>2026</v>
      </c>
      <c r="D1241" t="s">
        <v>130</v>
      </c>
      <c r="E1241" t="s">
        <v>131</v>
      </c>
      <c r="F1241">
        <v>954</v>
      </c>
      <c r="G1241">
        <v>301702.58</v>
      </c>
      <c r="H1241">
        <v>3372</v>
      </c>
      <c r="I1241">
        <v>1.5780163417350701</v>
      </c>
      <c r="J1241">
        <v>1111425.28</v>
      </c>
      <c r="K1241">
        <v>1.6052127778330201</v>
      </c>
      <c r="L1241">
        <v>2163</v>
      </c>
      <c r="M1241">
        <v>2.0244658049661699</v>
      </c>
      <c r="N1241">
        <v>326.65923717059599</v>
      </c>
      <c r="O1241">
        <v>706563.93</v>
      </c>
      <c r="P1241">
        <v>2.0409567226404999</v>
      </c>
      <c r="Q1241">
        <v>1209</v>
      </c>
      <c r="R1241">
        <v>1.1315668785039701</v>
      </c>
      <c r="S1241">
        <v>334.87291149710501</v>
      </c>
      <c r="T1241">
        <v>404861.35</v>
      </c>
      <c r="U1241">
        <v>1.1694688327738101</v>
      </c>
      <c r="V1241">
        <v>97</v>
      </c>
      <c r="W1241">
        <v>1.9627681100768899</v>
      </c>
    </row>
    <row r="1242" spans="1:23" hidden="1" x14ac:dyDescent="0.25">
      <c r="A1242" t="s">
        <v>181</v>
      </c>
      <c r="B1242">
        <v>1</v>
      </c>
      <c r="C1242">
        <v>2026</v>
      </c>
      <c r="D1242" t="s">
        <v>132</v>
      </c>
      <c r="E1242" t="s">
        <v>133</v>
      </c>
      <c r="F1242">
        <v>330</v>
      </c>
      <c r="G1242">
        <v>122488.07</v>
      </c>
      <c r="H1242">
        <v>4642</v>
      </c>
      <c r="I1242">
        <v>2.1723463399567602</v>
      </c>
      <c r="J1242">
        <v>1491558.91</v>
      </c>
      <c r="K1242">
        <v>2.1542333653079102</v>
      </c>
      <c r="L1242">
        <v>2486</v>
      </c>
      <c r="M1242">
        <v>2.3267785442190898</v>
      </c>
      <c r="N1242">
        <v>324.62730893000798</v>
      </c>
      <c r="O1242">
        <v>807023.49</v>
      </c>
      <c r="P1242">
        <v>2.3311408172849899</v>
      </c>
      <c r="Q1242">
        <v>2156</v>
      </c>
      <c r="R1242">
        <v>2.0179141356944301</v>
      </c>
      <c r="S1242">
        <v>317.50251391465702</v>
      </c>
      <c r="T1242">
        <v>684535.42</v>
      </c>
      <c r="U1242">
        <v>1.97732591322863</v>
      </c>
      <c r="V1242">
        <v>98</v>
      </c>
      <c r="W1242">
        <v>1.9830028328611899</v>
      </c>
    </row>
    <row r="1243" spans="1:23" hidden="1" x14ac:dyDescent="0.25">
      <c r="A1243" t="s">
        <v>181</v>
      </c>
      <c r="B1243">
        <v>1</v>
      </c>
      <c r="C1243">
        <v>2026</v>
      </c>
      <c r="D1243" t="s">
        <v>134</v>
      </c>
      <c r="E1243" t="s">
        <v>135</v>
      </c>
      <c r="F1243">
        <v>384</v>
      </c>
      <c r="G1243">
        <v>130787.64</v>
      </c>
      <c r="H1243">
        <v>1134</v>
      </c>
      <c r="I1243">
        <v>0.530685211010548</v>
      </c>
      <c r="J1243">
        <v>370736.64000000001</v>
      </c>
      <c r="K1243">
        <v>0.53544867338169599</v>
      </c>
      <c r="L1243">
        <v>759</v>
      </c>
      <c r="M1243">
        <v>0.71038813960671299</v>
      </c>
      <c r="N1243">
        <v>330.38490118577101</v>
      </c>
      <c r="O1243">
        <v>250762.14</v>
      </c>
      <c r="P1243">
        <v>0.72434305472785299</v>
      </c>
      <c r="Q1243">
        <v>375</v>
      </c>
      <c r="R1243">
        <v>0.35098228241438401</v>
      </c>
      <c r="S1243">
        <v>319.93200000000002</v>
      </c>
      <c r="T1243">
        <v>119974.5</v>
      </c>
      <c r="U1243">
        <v>0.34655429192641202</v>
      </c>
      <c r="V1243">
        <v>15</v>
      </c>
      <c r="W1243">
        <v>0.30352084176446797</v>
      </c>
    </row>
    <row r="1244" spans="1:23" hidden="1" x14ac:dyDescent="0.25">
      <c r="A1244" t="s">
        <v>181</v>
      </c>
      <c r="B1244">
        <v>1</v>
      </c>
      <c r="C1244">
        <v>2026</v>
      </c>
      <c r="D1244" t="s">
        <v>136</v>
      </c>
      <c r="E1244" t="s">
        <v>137</v>
      </c>
      <c r="F1244">
        <v>532</v>
      </c>
      <c r="G1244">
        <v>183129.86</v>
      </c>
      <c r="H1244">
        <v>692</v>
      </c>
      <c r="I1244">
        <v>0.323839652574338</v>
      </c>
      <c r="J1244">
        <v>234285.32</v>
      </c>
      <c r="K1244">
        <v>0.33837433437063602</v>
      </c>
      <c r="L1244">
        <v>612</v>
      </c>
      <c r="M1244">
        <v>0.57280308490027398</v>
      </c>
      <c r="N1244">
        <v>341.02547385620898</v>
      </c>
      <c r="O1244">
        <v>208707.59</v>
      </c>
      <c r="P1244">
        <v>0.60286570088087599</v>
      </c>
      <c r="Q1244">
        <v>80</v>
      </c>
      <c r="R1244">
        <v>7.4876220248401903E-2</v>
      </c>
      <c r="S1244">
        <v>319.72162500000002</v>
      </c>
      <c r="T1244">
        <v>25577.73</v>
      </c>
      <c r="U1244">
        <v>7.3882967707595601E-2</v>
      </c>
      <c r="V1244">
        <v>11</v>
      </c>
      <c r="W1244">
        <v>0.22258195062727601</v>
      </c>
    </row>
    <row r="1245" spans="1:23" hidden="1" x14ac:dyDescent="0.25">
      <c r="A1245" t="s">
        <v>181</v>
      </c>
      <c r="B1245">
        <v>1</v>
      </c>
      <c r="C1245">
        <v>2026</v>
      </c>
      <c r="D1245" t="s">
        <v>138</v>
      </c>
      <c r="E1245" t="s">
        <v>139</v>
      </c>
      <c r="F1245">
        <v>259</v>
      </c>
      <c r="G1245">
        <v>89124.5</v>
      </c>
      <c r="H1245">
        <v>259</v>
      </c>
      <c r="I1245">
        <v>0.121205881527101</v>
      </c>
      <c r="J1245">
        <v>89124.5</v>
      </c>
      <c r="K1245">
        <v>0.12872101147274501</v>
      </c>
      <c r="L1245">
        <v>259</v>
      </c>
      <c r="M1245">
        <v>0.24241176305420101</v>
      </c>
      <c r="N1245">
        <v>344.110038610039</v>
      </c>
      <c r="O1245">
        <v>89124.5</v>
      </c>
      <c r="P1245">
        <v>0.257442022871126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3</v>
      </c>
      <c r="W1245">
        <v>6.0704168352893599E-2</v>
      </c>
    </row>
    <row r="1246" spans="1:23" hidden="1" x14ac:dyDescent="0.25">
      <c r="A1246" t="s">
        <v>181</v>
      </c>
      <c r="B1246">
        <v>1</v>
      </c>
      <c r="C1246">
        <v>2026</v>
      </c>
      <c r="D1246" t="s">
        <v>142</v>
      </c>
      <c r="E1246" t="s">
        <v>143</v>
      </c>
      <c r="F1246">
        <v>1085</v>
      </c>
      <c r="G1246">
        <v>335991.28999999899</v>
      </c>
      <c r="H1246">
        <v>12119</v>
      </c>
      <c r="I1246">
        <v>5.6714057074398898</v>
      </c>
      <c r="J1246">
        <v>3890701.69</v>
      </c>
      <c r="K1246">
        <v>5.6192747995839403</v>
      </c>
      <c r="L1246">
        <v>6602</v>
      </c>
      <c r="M1246">
        <v>6.1791600759993601</v>
      </c>
      <c r="N1246">
        <v>320.10701151166302</v>
      </c>
      <c r="O1246">
        <v>2113346.4900000002</v>
      </c>
      <c r="P1246">
        <v>6.1045413484865998</v>
      </c>
      <c r="Q1246">
        <v>5517</v>
      </c>
      <c r="R1246">
        <v>5.1636513388804097</v>
      </c>
      <c r="S1246">
        <v>322.15972448794599</v>
      </c>
      <c r="T1246">
        <v>1777355.2</v>
      </c>
      <c r="U1246">
        <v>5.1340082504009201</v>
      </c>
      <c r="V1246">
        <v>299</v>
      </c>
      <c r="W1246">
        <v>6.0501821125050599</v>
      </c>
    </row>
    <row r="1247" spans="1:23" hidden="1" x14ac:dyDescent="0.25">
      <c r="A1247" t="s">
        <v>181</v>
      </c>
      <c r="B1247">
        <v>1</v>
      </c>
      <c r="C1247">
        <v>2026</v>
      </c>
      <c r="D1247" t="s">
        <v>146</v>
      </c>
      <c r="E1247" t="s">
        <v>147</v>
      </c>
      <c r="F1247">
        <v>4</v>
      </c>
      <c r="G1247">
        <v>-8455.5300000000298</v>
      </c>
      <c r="H1247">
        <v>1794</v>
      </c>
      <c r="I1247">
        <v>0.83954961953520602</v>
      </c>
      <c r="J1247">
        <v>590534.31000000006</v>
      </c>
      <c r="K1247">
        <v>0.85289873932038396</v>
      </c>
      <c r="L1247">
        <v>899</v>
      </c>
      <c r="M1247">
        <v>0.84142152504141599</v>
      </c>
      <c r="N1247">
        <v>323.73680756395999</v>
      </c>
      <c r="O1247">
        <v>291039.39</v>
      </c>
      <c r="P1247">
        <v>0.84068655977625295</v>
      </c>
      <c r="Q1247">
        <v>895</v>
      </c>
      <c r="R1247">
        <v>0.83767771402899605</v>
      </c>
      <c r="S1247">
        <v>334.63119553072602</v>
      </c>
      <c r="T1247">
        <v>299494.92</v>
      </c>
      <c r="U1247">
        <v>0.86511091887157099</v>
      </c>
      <c r="V1247">
        <v>53</v>
      </c>
      <c r="W1247">
        <v>1.07244030756779</v>
      </c>
    </row>
    <row r="1248" spans="1:23" x14ac:dyDescent="0.25">
      <c r="A1248" t="s">
        <v>181</v>
      </c>
      <c r="B1248">
        <v>1</v>
      </c>
      <c r="C1248">
        <v>2026</v>
      </c>
      <c r="D1248" t="s">
        <v>148</v>
      </c>
      <c r="E1248" t="s">
        <v>148</v>
      </c>
      <c r="F1248">
        <v>0</v>
      </c>
      <c r="G1248">
        <v>2.0000007107228199E-2</v>
      </c>
      <c r="H1248">
        <v>213686</v>
      </c>
      <c r="I1248">
        <v>0</v>
      </c>
      <c r="J1248">
        <v>69238501.920000002</v>
      </c>
      <c r="K1248">
        <v>0</v>
      </c>
      <c r="L1248">
        <v>106843</v>
      </c>
      <c r="M1248">
        <v>100</v>
      </c>
      <c r="N1248">
        <v>326.28718185138899</v>
      </c>
      <c r="O1248">
        <v>34619250.969999999</v>
      </c>
      <c r="P1248">
        <v>100</v>
      </c>
      <c r="Q1248">
        <v>106843</v>
      </c>
      <c r="R1248">
        <v>100</v>
      </c>
      <c r="S1248">
        <v>323.12436517543301</v>
      </c>
      <c r="T1248">
        <v>34619250.950000003</v>
      </c>
      <c r="U1248">
        <v>100</v>
      </c>
      <c r="V1248">
        <v>4942</v>
      </c>
      <c r="W1248">
        <v>100</v>
      </c>
    </row>
    <row r="1249" spans="1:23" hidden="1" x14ac:dyDescent="0.25">
      <c r="A1249" t="s">
        <v>181</v>
      </c>
      <c r="B1249">
        <v>1</v>
      </c>
      <c r="C1249">
        <v>2026</v>
      </c>
      <c r="D1249" t="s">
        <v>149</v>
      </c>
      <c r="E1249" t="s">
        <v>150</v>
      </c>
      <c r="F1249">
        <v>538</v>
      </c>
      <c r="G1249">
        <v>169517.29</v>
      </c>
      <c r="H1249">
        <v>2088</v>
      </c>
      <c r="I1249">
        <v>0.97713467424164402</v>
      </c>
      <c r="J1249">
        <v>683736.99</v>
      </c>
      <c r="K1249">
        <v>0.987509797352357</v>
      </c>
      <c r="L1249">
        <v>1313</v>
      </c>
      <c r="M1249">
        <v>1.2289059648269001</v>
      </c>
      <c r="N1249">
        <v>324.92546839299303</v>
      </c>
      <c r="O1249">
        <v>426627.14</v>
      </c>
      <c r="P1249">
        <v>1.23234075852682</v>
      </c>
      <c r="Q1249">
        <v>775</v>
      </c>
      <c r="R1249">
        <v>0.72536338365639297</v>
      </c>
      <c r="S1249">
        <v>331.75464516129</v>
      </c>
      <c r="T1249">
        <v>257109.85</v>
      </c>
      <c r="U1249">
        <v>0.74267883603645701</v>
      </c>
      <c r="V1249">
        <v>46</v>
      </c>
      <c r="W1249">
        <v>0.93079724807770103</v>
      </c>
    </row>
    <row r="1250" spans="1:23" hidden="1" x14ac:dyDescent="0.25">
      <c r="A1250" t="s">
        <v>181</v>
      </c>
      <c r="B1250">
        <v>1</v>
      </c>
      <c r="C1250">
        <v>2026</v>
      </c>
      <c r="D1250" t="s">
        <v>151</v>
      </c>
      <c r="E1250" t="s">
        <v>152</v>
      </c>
      <c r="F1250">
        <v>264</v>
      </c>
      <c r="G1250">
        <v>-1918.00999999233</v>
      </c>
      <c r="H1250">
        <v>58430</v>
      </c>
      <c r="I1250">
        <v>27.343859681963298</v>
      </c>
      <c r="J1250">
        <v>18923210.609999999</v>
      </c>
      <c r="K1250">
        <v>27.330473775796602</v>
      </c>
      <c r="L1250">
        <v>29347</v>
      </c>
      <c r="M1250">
        <v>27.4674054453731</v>
      </c>
      <c r="N1250">
        <v>322.371836985041</v>
      </c>
      <c r="O1250">
        <v>9460646.3000000007</v>
      </c>
      <c r="P1250">
        <v>27.327703618424099</v>
      </c>
      <c r="Q1250">
        <v>29083</v>
      </c>
      <c r="R1250">
        <v>27.220313918553401</v>
      </c>
      <c r="S1250">
        <v>325.36410652271098</v>
      </c>
      <c r="T1250">
        <v>9462564.3100000005</v>
      </c>
      <c r="U1250">
        <v>27.3332439331706</v>
      </c>
      <c r="V1250">
        <v>1224</v>
      </c>
      <c r="W1250">
        <v>24.767300687980601</v>
      </c>
    </row>
    <row r="1251" spans="1:23" hidden="1" x14ac:dyDescent="0.25">
      <c r="A1251" t="s">
        <v>181</v>
      </c>
      <c r="B1251">
        <v>1</v>
      </c>
      <c r="C1251">
        <v>2026</v>
      </c>
      <c r="D1251" t="s">
        <v>153</v>
      </c>
      <c r="E1251" t="s">
        <v>154</v>
      </c>
      <c r="F1251">
        <v>98</v>
      </c>
      <c r="G1251">
        <v>33374.18</v>
      </c>
      <c r="H1251">
        <v>1264</v>
      </c>
      <c r="I1251">
        <v>0.59152213996237502</v>
      </c>
      <c r="J1251">
        <v>409075.56</v>
      </c>
      <c r="K1251">
        <v>0.59082092861087099</v>
      </c>
      <c r="L1251">
        <v>681</v>
      </c>
      <c r="M1251">
        <v>0.63738382486452105</v>
      </c>
      <c r="N1251">
        <v>324.85296622613799</v>
      </c>
      <c r="O1251">
        <v>221224.87</v>
      </c>
      <c r="P1251">
        <v>0.63902269344795104</v>
      </c>
      <c r="Q1251">
        <v>583</v>
      </c>
      <c r="R1251">
        <v>0.54566045506022898</v>
      </c>
      <c r="S1251">
        <v>322.21387650085802</v>
      </c>
      <c r="T1251">
        <v>187850.69</v>
      </c>
      <c r="U1251">
        <v>0.54261916374594499</v>
      </c>
      <c r="V1251">
        <v>61</v>
      </c>
      <c r="W1251">
        <v>1.23431808984217</v>
      </c>
    </row>
    <row r="1252" spans="1:23" hidden="1" x14ac:dyDescent="0.25">
      <c r="A1252" t="s">
        <v>182</v>
      </c>
      <c r="B1252">
        <v>2</v>
      </c>
      <c r="C1252">
        <v>2025</v>
      </c>
      <c r="D1252" t="s">
        <v>88</v>
      </c>
      <c r="E1252" t="s">
        <v>89</v>
      </c>
      <c r="F1252">
        <v>53243</v>
      </c>
      <c r="G1252">
        <v>2249526.38</v>
      </c>
      <c r="H1252">
        <v>327523</v>
      </c>
      <c r="I1252">
        <v>2.3756801402880199</v>
      </c>
      <c r="J1252">
        <v>13867055.359999999</v>
      </c>
      <c r="K1252">
        <v>2.3771765872955499</v>
      </c>
      <c r="L1252">
        <v>190383</v>
      </c>
      <c r="M1252">
        <v>2.7618769500062901</v>
      </c>
      <c r="N1252">
        <v>42.326735422805598</v>
      </c>
      <c r="O1252">
        <v>8058290.8700000001</v>
      </c>
      <c r="P1252">
        <v>2.7628043430304801</v>
      </c>
      <c r="Q1252">
        <v>137140</v>
      </c>
      <c r="R1252">
        <v>1.9894833305697599</v>
      </c>
      <c r="S1252">
        <v>42.356456832433999</v>
      </c>
      <c r="T1252">
        <v>5808764.4900000002</v>
      </c>
      <c r="U1252">
        <v>1.9915488314416301</v>
      </c>
      <c r="V1252">
        <v>1349</v>
      </c>
      <c r="W1252">
        <v>2.6032419915090701</v>
      </c>
    </row>
    <row r="1253" spans="1:23" hidden="1" x14ac:dyDescent="0.25">
      <c r="A1253" t="s">
        <v>182</v>
      </c>
      <c r="B1253">
        <v>2</v>
      </c>
      <c r="C1253">
        <v>2025</v>
      </c>
      <c r="D1253" t="s">
        <v>90</v>
      </c>
      <c r="E1253" t="s">
        <v>91</v>
      </c>
      <c r="F1253">
        <v>86505</v>
      </c>
      <c r="G1253">
        <v>3622732.85</v>
      </c>
      <c r="H1253">
        <v>520375</v>
      </c>
      <c r="I1253">
        <v>3.7745274469346599</v>
      </c>
      <c r="J1253">
        <v>22021328.789999999</v>
      </c>
      <c r="K1253">
        <v>3.7750326844246098</v>
      </c>
      <c r="L1253">
        <v>303440</v>
      </c>
      <c r="M1253">
        <v>4.4019893672749602</v>
      </c>
      <c r="N1253">
        <v>42.255572172422902</v>
      </c>
      <c r="O1253">
        <v>12822030.82</v>
      </c>
      <c r="P1253">
        <v>4.3960640050669504</v>
      </c>
      <c r="Q1253">
        <v>216935</v>
      </c>
      <c r="R1253">
        <v>3.1470655265943601</v>
      </c>
      <c r="S1253">
        <v>42.405780395049199</v>
      </c>
      <c r="T1253">
        <v>9199297.9700000007</v>
      </c>
      <c r="U1253">
        <v>3.1540013635906399</v>
      </c>
      <c r="V1253">
        <v>3134</v>
      </c>
      <c r="W1253">
        <v>6.0478579698957899</v>
      </c>
    </row>
    <row r="1254" spans="1:23" hidden="1" x14ac:dyDescent="0.25">
      <c r="A1254" t="s">
        <v>182</v>
      </c>
      <c r="B1254">
        <v>2</v>
      </c>
      <c r="C1254">
        <v>2025</v>
      </c>
      <c r="D1254" t="s">
        <v>92</v>
      </c>
      <c r="E1254" t="s">
        <v>93</v>
      </c>
      <c r="F1254">
        <v>3442</v>
      </c>
      <c r="G1254">
        <v>148091.66000000099</v>
      </c>
      <c r="H1254">
        <v>109028</v>
      </c>
      <c r="I1254">
        <v>0.79083195481026602</v>
      </c>
      <c r="J1254">
        <v>4620084.8</v>
      </c>
      <c r="K1254">
        <v>0.79200357485845096</v>
      </c>
      <c r="L1254">
        <v>56235</v>
      </c>
      <c r="M1254">
        <v>0.81579841836510403</v>
      </c>
      <c r="N1254">
        <v>42.395096114519397</v>
      </c>
      <c r="O1254">
        <v>2384088.23</v>
      </c>
      <c r="P1254">
        <v>0.81739036506284002</v>
      </c>
      <c r="Q1254">
        <v>52793</v>
      </c>
      <c r="R1254">
        <v>0.76586549125542702</v>
      </c>
      <c r="S1254">
        <v>42.354035004640799</v>
      </c>
      <c r="T1254">
        <v>2235996.5699999998</v>
      </c>
      <c r="U1254">
        <v>0.76661678464622895</v>
      </c>
      <c r="V1254">
        <v>328</v>
      </c>
      <c r="W1254">
        <v>0.63296024700887699</v>
      </c>
    </row>
    <row r="1255" spans="1:23" hidden="1" x14ac:dyDescent="0.25">
      <c r="A1255" t="s">
        <v>182</v>
      </c>
      <c r="B1255">
        <v>2</v>
      </c>
      <c r="C1255">
        <v>2025</v>
      </c>
      <c r="D1255" t="s">
        <v>94</v>
      </c>
      <c r="E1255" t="s">
        <v>95</v>
      </c>
      <c r="F1255">
        <v>-785942</v>
      </c>
      <c r="G1255">
        <v>-33229212.140000001</v>
      </c>
      <c r="H1255">
        <v>947704</v>
      </c>
      <c r="I1255">
        <v>6.8741479886039203</v>
      </c>
      <c r="J1255">
        <v>40074364.600000001</v>
      </c>
      <c r="K1255">
        <v>6.8697959880262296</v>
      </c>
      <c r="L1255">
        <v>80881</v>
      </c>
      <c r="M1255">
        <v>1.1733367453683301</v>
      </c>
      <c r="N1255">
        <v>42.3161957690929</v>
      </c>
      <c r="O1255">
        <v>3422576.23</v>
      </c>
      <c r="P1255">
        <v>1.1734384654443299</v>
      </c>
      <c r="Q1255">
        <v>866823</v>
      </c>
      <c r="R1255">
        <v>12.5749592318395</v>
      </c>
      <c r="S1255">
        <v>42.282897858040201</v>
      </c>
      <c r="T1255">
        <v>36651788.369999997</v>
      </c>
      <c r="U1255">
        <v>12.566153512365799</v>
      </c>
      <c r="V1255">
        <v>2089</v>
      </c>
      <c r="W1255">
        <v>4.0312620609803202</v>
      </c>
    </row>
    <row r="1256" spans="1:23" hidden="1" x14ac:dyDescent="0.25">
      <c r="A1256" t="s">
        <v>182</v>
      </c>
      <c r="B1256">
        <v>2</v>
      </c>
      <c r="C1256">
        <v>2025</v>
      </c>
      <c r="D1256" t="s">
        <v>96</v>
      </c>
      <c r="E1256" t="s">
        <v>97</v>
      </c>
      <c r="F1256">
        <v>13001</v>
      </c>
      <c r="G1256">
        <v>553491.52999999898</v>
      </c>
      <c r="H1256">
        <v>148993</v>
      </c>
      <c r="I1256">
        <v>1.08071711343</v>
      </c>
      <c r="J1256">
        <v>6304150.3499999996</v>
      </c>
      <c r="K1256">
        <v>1.0806965304284399</v>
      </c>
      <c r="L1256">
        <v>80997</v>
      </c>
      <c r="M1256">
        <v>1.1750195517438999</v>
      </c>
      <c r="N1256">
        <v>42.332690593478802</v>
      </c>
      <c r="O1256">
        <v>3428820.94</v>
      </c>
      <c r="P1256">
        <v>1.17557947923836</v>
      </c>
      <c r="Q1256">
        <v>67996</v>
      </c>
      <c r="R1256">
        <v>0.98641467511609504</v>
      </c>
      <c r="S1256">
        <v>42.2867434849109</v>
      </c>
      <c r="T1256">
        <v>2875329.41</v>
      </c>
      <c r="U1256">
        <v>0.98581358158923305</v>
      </c>
      <c r="V1256">
        <v>825</v>
      </c>
      <c r="W1256">
        <v>1.5920494017753799</v>
      </c>
    </row>
    <row r="1257" spans="1:23" hidden="1" x14ac:dyDescent="0.25">
      <c r="A1257" t="s">
        <v>182</v>
      </c>
      <c r="B1257">
        <v>2</v>
      </c>
      <c r="C1257">
        <v>2025</v>
      </c>
      <c r="D1257" t="s">
        <v>98</v>
      </c>
      <c r="E1257" t="s">
        <v>99</v>
      </c>
      <c r="F1257">
        <v>-6475</v>
      </c>
      <c r="G1257">
        <v>-272945.40999999997</v>
      </c>
      <c r="H1257">
        <v>6475</v>
      </c>
      <c r="I1257">
        <v>4.6966255525153801E-2</v>
      </c>
      <c r="J1257">
        <v>272945.40999999997</v>
      </c>
      <c r="K1257">
        <v>4.67899940843522E-2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6475</v>
      </c>
      <c r="R1257">
        <v>9.3932511050307602E-2</v>
      </c>
      <c r="S1257">
        <v>42.153731274131303</v>
      </c>
      <c r="T1257">
        <v>272945.40999999997</v>
      </c>
      <c r="U1257">
        <v>9.3579988183142296E-2</v>
      </c>
      <c r="V1257">
        <v>72</v>
      </c>
      <c r="W1257">
        <v>0.13894249324585101</v>
      </c>
    </row>
    <row r="1258" spans="1:23" hidden="1" x14ac:dyDescent="0.25">
      <c r="A1258" t="s">
        <v>182</v>
      </c>
      <c r="B1258">
        <v>2</v>
      </c>
      <c r="C1258">
        <v>2025</v>
      </c>
      <c r="D1258" t="s">
        <v>100</v>
      </c>
      <c r="E1258" t="s">
        <v>101</v>
      </c>
      <c r="F1258">
        <v>3640</v>
      </c>
      <c r="G1258">
        <v>153301.18</v>
      </c>
      <c r="H1258">
        <v>9972</v>
      </c>
      <c r="I1258">
        <v>7.2331660246615304E-2</v>
      </c>
      <c r="J1258">
        <v>422673.94</v>
      </c>
      <c r="K1258">
        <v>7.2457386816689298E-2</v>
      </c>
      <c r="L1258">
        <v>6806</v>
      </c>
      <c r="M1258">
        <v>9.8734312001296301E-2</v>
      </c>
      <c r="N1258">
        <v>42.313776079929497</v>
      </c>
      <c r="O1258">
        <v>287987.56</v>
      </c>
      <c r="P1258">
        <v>9.8737225342518706E-2</v>
      </c>
      <c r="Q1258">
        <v>3166</v>
      </c>
      <c r="R1258">
        <v>4.5929008491934202E-2</v>
      </c>
      <c r="S1258">
        <v>42.541497157296298</v>
      </c>
      <c r="T1258">
        <v>134686.38</v>
      </c>
      <c r="U1258">
        <v>4.6177548282750801E-2</v>
      </c>
      <c r="V1258">
        <v>29</v>
      </c>
      <c r="W1258">
        <v>5.59629486684678E-2</v>
      </c>
    </row>
    <row r="1259" spans="1:23" hidden="1" x14ac:dyDescent="0.25">
      <c r="A1259" t="s">
        <v>182</v>
      </c>
      <c r="B1259">
        <v>2</v>
      </c>
      <c r="C1259">
        <v>2025</v>
      </c>
      <c r="D1259" t="s">
        <v>159</v>
      </c>
      <c r="E1259" t="s">
        <v>160</v>
      </c>
      <c r="F1259">
        <v>1850</v>
      </c>
      <c r="G1259">
        <v>78177</v>
      </c>
      <c r="H1259">
        <v>3150</v>
      </c>
      <c r="I1259">
        <v>2.2848448633858601E-2</v>
      </c>
      <c r="J1259">
        <v>133323</v>
      </c>
      <c r="K1259">
        <v>2.2855055087052399E-2</v>
      </c>
      <c r="L1259">
        <v>2500</v>
      </c>
      <c r="M1259">
        <v>3.6267378783902599E-2</v>
      </c>
      <c r="N1259">
        <v>42.3</v>
      </c>
      <c r="O1259">
        <v>105750</v>
      </c>
      <c r="P1259">
        <v>3.62566410159222E-2</v>
      </c>
      <c r="Q1259">
        <v>650</v>
      </c>
      <c r="R1259">
        <v>9.4295184838146702E-3</v>
      </c>
      <c r="S1259">
        <v>42.42</v>
      </c>
      <c r="T1259">
        <v>27573</v>
      </c>
      <c r="U1259">
        <v>9.4534691540472601E-3</v>
      </c>
      <c r="V1259">
        <v>3</v>
      </c>
      <c r="W1259">
        <v>5.78927055191046E-3</v>
      </c>
    </row>
    <row r="1260" spans="1:23" hidden="1" x14ac:dyDescent="0.25">
      <c r="A1260" t="s">
        <v>182</v>
      </c>
      <c r="B1260">
        <v>2</v>
      </c>
      <c r="C1260">
        <v>2025</v>
      </c>
      <c r="D1260" t="s">
        <v>102</v>
      </c>
      <c r="E1260" t="s">
        <v>103</v>
      </c>
      <c r="F1260">
        <v>407290</v>
      </c>
      <c r="G1260">
        <v>17213067.780000001</v>
      </c>
      <c r="H1260">
        <v>1177670</v>
      </c>
      <c r="I1260">
        <v>8.5422007944877105</v>
      </c>
      <c r="J1260">
        <v>49833410.539999999</v>
      </c>
      <c r="K1260">
        <v>8.5427521362960306</v>
      </c>
      <c r="L1260">
        <v>792480</v>
      </c>
      <c r="M1260">
        <v>11.496468935466799</v>
      </c>
      <c r="N1260">
        <v>42.301684786997797</v>
      </c>
      <c r="O1260">
        <v>33523239.16</v>
      </c>
      <c r="P1260">
        <v>11.493522911726</v>
      </c>
      <c r="Q1260">
        <v>385190</v>
      </c>
      <c r="R1260">
        <v>5.5879326535085703</v>
      </c>
      <c r="S1260">
        <v>42.343184869804503</v>
      </c>
      <c r="T1260">
        <v>16310171.380000001</v>
      </c>
      <c r="U1260">
        <v>5.5919813599555503</v>
      </c>
      <c r="V1260">
        <v>5846</v>
      </c>
      <c r="W1260">
        <v>11.2813585488228</v>
      </c>
    </row>
    <row r="1261" spans="1:23" hidden="1" x14ac:dyDescent="0.25">
      <c r="A1261" t="s">
        <v>182</v>
      </c>
      <c r="B1261">
        <v>2</v>
      </c>
      <c r="C1261">
        <v>2025</v>
      </c>
      <c r="D1261" t="s">
        <v>161</v>
      </c>
      <c r="E1261" t="s">
        <v>162</v>
      </c>
      <c r="F1261">
        <v>-1993</v>
      </c>
      <c r="G1261">
        <v>-84092.35</v>
      </c>
      <c r="H1261">
        <v>30631</v>
      </c>
      <c r="I1261">
        <v>0.222181215905944</v>
      </c>
      <c r="J1261">
        <v>1299876.3899999999</v>
      </c>
      <c r="K1261">
        <v>0.22283286829585899</v>
      </c>
      <c r="L1261">
        <v>14319</v>
      </c>
      <c r="M1261">
        <v>0.20772503872268</v>
      </c>
      <c r="N1261">
        <v>42.4535246874782</v>
      </c>
      <c r="O1261">
        <v>607892.02</v>
      </c>
      <c r="P1261">
        <v>0.20841723636485801</v>
      </c>
      <c r="Q1261">
        <v>16312</v>
      </c>
      <c r="R1261">
        <v>0.236637393089207</v>
      </c>
      <c r="S1261">
        <v>42.421798062775899</v>
      </c>
      <c r="T1261">
        <v>691984.37</v>
      </c>
      <c r="U1261">
        <v>0.237248500231307</v>
      </c>
      <c r="V1261">
        <v>108</v>
      </c>
      <c r="W1261">
        <v>0.20841373986877701</v>
      </c>
    </row>
    <row r="1262" spans="1:23" hidden="1" x14ac:dyDescent="0.25">
      <c r="A1262" t="s">
        <v>182</v>
      </c>
      <c r="B1262">
        <v>2</v>
      </c>
      <c r="C1262">
        <v>2025</v>
      </c>
      <c r="D1262" t="s">
        <v>104</v>
      </c>
      <c r="E1262" t="s">
        <v>105</v>
      </c>
      <c r="F1262">
        <v>111895</v>
      </c>
      <c r="G1262">
        <v>4711332.16</v>
      </c>
      <c r="H1262">
        <v>351793</v>
      </c>
      <c r="I1262">
        <v>2.5517219969050902</v>
      </c>
      <c r="J1262">
        <v>14881907.84</v>
      </c>
      <c r="K1262">
        <v>2.5511488901662598</v>
      </c>
      <c r="L1262">
        <v>231844</v>
      </c>
      <c r="M1262">
        <v>3.36334966671004</v>
      </c>
      <c r="N1262">
        <v>42.255223339832</v>
      </c>
      <c r="O1262">
        <v>9796620</v>
      </c>
      <c r="P1262">
        <v>3.35879465257119</v>
      </c>
      <c r="Q1262">
        <v>119949</v>
      </c>
      <c r="R1262">
        <v>1.7400943271001299</v>
      </c>
      <c r="S1262">
        <v>42.395416718772097</v>
      </c>
      <c r="T1262">
        <v>5085287.84</v>
      </c>
      <c r="U1262">
        <v>1.74350312751212</v>
      </c>
      <c r="V1262">
        <v>4021</v>
      </c>
      <c r="W1262">
        <v>7.75955229641065</v>
      </c>
    </row>
    <row r="1263" spans="1:23" hidden="1" x14ac:dyDescent="0.25">
      <c r="A1263" t="s">
        <v>182</v>
      </c>
      <c r="B1263">
        <v>2</v>
      </c>
      <c r="C1263">
        <v>2025</v>
      </c>
      <c r="D1263" t="s">
        <v>106</v>
      </c>
      <c r="E1263" t="s">
        <v>107</v>
      </c>
      <c r="F1263">
        <v>1219</v>
      </c>
      <c r="G1263">
        <v>69783.320000002204</v>
      </c>
      <c r="H1263">
        <v>277323</v>
      </c>
      <c r="I1263">
        <v>2.0115556572976399</v>
      </c>
      <c r="J1263">
        <v>11717194.82</v>
      </c>
      <c r="K1263">
        <v>2.0086341672241401</v>
      </c>
      <c r="L1263">
        <v>139271</v>
      </c>
      <c r="M1263">
        <v>2.0203976442451599</v>
      </c>
      <c r="N1263">
        <v>42.316699600060304</v>
      </c>
      <c r="O1263">
        <v>5893489.0700000003</v>
      </c>
      <c r="P1263">
        <v>2.0205968561915002</v>
      </c>
      <c r="Q1263">
        <v>138052</v>
      </c>
      <c r="R1263">
        <v>2.00271367035013</v>
      </c>
      <c r="S1263">
        <v>42.184870556022403</v>
      </c>
      <c r="T1263">
        <v>5823705.75</v>
      </c>
      <c r="U1263">
        <v>1.9966714782531001</v>
      </c>
      <c r="V1263">
        <v>841</v>
      </c>
      <c r="W1263">
        <v>1.6229255113855701</v>
      </c>
    </row>
    <row r="1264" spans="1:23" hidden="1" x14ac:dyDescent="0.25">
      <c r="A1264" t="s">
        <v>182</v>
      </c>
      <c r="B1264">
        <v>2</v>
      </c>
      <c r="C1264">
        <v>2025</v>
      </c>
      <c r="D1264" t="s">
        <v>108</v>
      </c>
      <c r="E1264" t="s">
        <v>109</v>
      </c>
      <c r="F1264">
        <v>-1400</v>
      </c>
      <c r="G1264">
        <v>-59102</v>
      </c>
      <c r="H1264">
        <v>2600</v>
      </c>
      <c r="I1264">
        <v>1.8859036967629299E-2</v>
      </c>
      <c r="J1264">
        <v>109298</v>
      </c>
      <c r="K1264">
        <v>1.87365406636863E-2</v>
      </c>
      <c r="L1264">
        <v>600</v>
      </c>
      <c r="M1264">
        <v>8.7041709081366204E-3</v>
      </c>
      <c r="N1264">
        <v>41.83</v>
      </c>
      <c r="O1264">
        <v>25098</v>
      </c>
      <c r="P1264">
        <v>8.6049094677788599E-3</v>
      </c>
      <c r="Q1264">
        <v>2000</v>
      </c>
      <c r="R1264">
        <v>2.90139030271221E-2</v>
      </c>
      <c r="S1264">
        <v>42.1</v>
      </c>
      <c r="T1264">
        <v>84200</v>
      </c>
      <c r="U1264">
        <v>2.8868171862720001E-2</v>
      </c>
      <c r="V1264">
        <v>6</v>
      </c>
      <c r="W1264">
        <v>1.1578541103820899E-2</v>
      </c>
    </row>
    <row r="1265" spans="1:23" hidden="1" x14ac:dyDescent="0.25">
      <c r="A1265" t="s">
        <v>182</v>
      </c>
      <c r="B1265">
        <v>2</v>
      </c>
      <c r="C1265">
        <v>2025</v>
      </c>
      <c r="D1265" t="s">
        <v>110</v>
      </c>
      <c r="E1265" t="s">
        <v>111</v>
      </c>
      <c r="F1265">
        <v>70937</v>
      </c>
      <c r="G1265">
        <v>2976554.59</v>
      </c>
      <c r="H1265">
        <v>163485</v>
      </c>
      <c r="I1265">
        <v>1.1858344840972601</v>
      </c>
      <c r="J1265">
        <v>6904191.5300000003</v>
      </c>
      <c r="K1265">
        <v>1.18355930896927</v>
      </c>
      <c r="L1265">
        <v>117211</v>
      </c>
      <c r="M1265">
        <v>1.700374293856</v>
      </c>
      <c r="N1265">
        <v>42.149397752770703</v>
      </c>
      <c r="O1265">
        <v>4940373.0599999996</v>
      </c>
      <c r="P1265">
        <v>1.69381874724495</v>
      </c>
      <c r="Q1265">
        <v>46274</v>
      </c>
      <c r="R1265">
        <v>0.67129467433852297</v>
      </c>
      <c r="S1265">
        <v>42.438917534684698</v>
      </c>
      <c r="T1265">
        <v>1963818.47</v>
      </c>
      <c r="U1265">
        <v>0.67329987053615103</v>
      </c>
      <c r="V1265">
        <v>640</v>
      </c>
      <c r="W1265">
        <v>1.23504438440756</v>
      </c>
    </row>
    <row r="1266" spans="1:23" hidden="1" x14ac:dyDescent="0.25">
      <c r="A1266" t="s">
        <v>182</v>
      </c>
      <c r="B1266">
        <v>2</v>
      </c>
      <c r="C1266">
        <v>2025</v>
      </c>
      <c r="D1266" t="s">
        <v>112</v>
      </c>
      <c r="E1266" t="s">
        <v>113</v>
      </c>
      <c r="F1266">
        <v>11930</v>
      </c>
      <c r="G1266">
        <v>506967.58</v>
      </c>
      <c r="H1266">
        <v>34842</v>
      </c>
      <c r="I1266">
        <v>0.25272560231774699</v>
      </c>
      <c r="J1266">
        <v>1482007.28</v>
      </c>
      <c r="K1266">
        <v>0.25405487443136299</v>
      </c>
      <c r="L1266">
        <v>23386</v>
      </c>
      <c r="M1266">
        <v>0.339259568096138</v>
      </c>
      <c r="N1266">
        <v>42.524905071410302</v>
      </c>
      <c r="O1266">
        <v>994487.43</v>
      </c>
      <c r="P1266">
        <v>0.34096239947382501</v>
      </c>
      <c r="Q1266">
        <v>11456</v>
      </c>
      <c r="R1266">
        <v>0.16619163653935501</v>
      </c>
      <c r="S1266">
        <v>42.555852828212302</v>
      </c>
      <c r="T1266">
        <v>487519.85</v>
      </c>
      <c r="U1266">
        <v>0.167147349362084</v>
      </c>
      <c r="V1266">
        <v>81</v>
      </c>
      <c r="W1266">
        <v>0.15631030490158199</v>
      </c>
    </row>
    <row r="1267" spans="1:23" hidden="1" x14ac:dyDescent="0.25">
      <c r="A1267" t="s">
        <v>182</v>
      </c>
      <c r="B1267">
        <v>2</v>
      </c>
      <c r="C1267">
        <v>2025</v>
      </c>
      <c r="D1267" t="s">
        <v>114</v>
      </c>
      <c r="E1267" t="s">
        <v>115</v>
      </c>
      <c r="F1267">
        <v>15195</v>
      </c>
      <c r="G1267">
        <v>642610.13</v>
      </c>
      <c r="H1267">
        <v>23853</v>
      </c>
      <c r="I1267">
        <v>0.173017157226486</v>
      </c>
      <c r="J1267">
        <v>1009504.81</v>
      </c>
      <c r="K1267">
        <v>0.173055572130798</v>
      </c>
      <c r="L1267">
        <v>19524</v>
      </c>
      <c r="M1267">
        <v>0.28323372135076502</v>
      </c>
      <c r="N1267">
        <v>42.309847879532903</v>
      </c>
      <c r="O1267">
        <v>826057.47</v>
      </c>
      <c r="P1267">
        <v>0.28321578390837698</v>
      </c>
      <c r="Q1267">
        <v>4329</v>
      </c>
      <c r="R1267">
        <v>6.2800593102205704E-2</v>
      </c>
      <c r="S1267">
        <v>42.376377916377898</v>
      </c>
      <c r="T1267">
        <v>183447.34</v>
      </c>
      <c r="U1267">
        <v>6.2895360319226101E-2</v>
      </c>
      <c r="V1267">
        <v>42</v>
      </c>
      <c r="W1267">
        <v>8.1049787726746397E-2</v>
      </c>
    </row>
    <row r="1268" spans="1:23" hidden="1" x14ac:dyDescent="0.25">
      <c r="A1268" t="s">
        <v>182</v>
      </c>
      <c r="B1268">
        <v>2</v>
      </c>
      <c r="C1268">
        <v>2025</v>
      </c>
      <c r="D1268" t="s">
        <v>169</v>
      </c>
      <c r="E1268" t="s">
        <v>170</v>
      </c>
      <c r="F1268">
        <v>1421</v>
      </c>
      <c r="G1268">
        <v>60372.83</v>
      </c>
      <c r="H1268">
        <v>1421</v>
      </c>
      <c r="I1268">
        <v>1.03071890503851E-2</v>
      </c>
      <c r="J1268">
        <v>60372.83</v>
      </c>
      <c r="K1268">
        <v>1.0349484750652499E-2</v>
      </c>
      <c r="L1268">
        <v>1421</v>
      </c>
      <c r="M1268">
        <v>2.06143781007702E-2</v>
      </c>
      <c r="N1268">
        <v>42.486157635467997</v>
      </c>
      <c r="O1268">
        <v>60372.83</v>
      </c>
      <c r="P1268">
        <v>2.0698969498111602E-2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3</v>
      </c>
      <c r="W1268">
        <v>5.78927055191046E-3</v>
      </c>
    </row>
    <row r="1269" spans="1:23" hidden="1" x14ac:dyDescent="0.25">
      <c r="A1269" t="s">
        <v>182</v>
      </c>
      <c r="B1269">
        <v>2</v>
      </c>
      <c r="C1269">
        <v>2025</v>
      </c>
      <c r="D1269" t="s">
        <v>163</v>
      </c>
      <c r="E1269" t="s">
        <v>164</v>
      </c>
      <c r="F1269">
        <v>13722</v>
      </c>
      <c r="G1269">
        <v>582625.78</v>
      </c>
      <c r="H1269">
        <v>14912</v>
      </c>
      <c r="I1269">
        <v>0.108163830485111</v>
      </c>
      <c r="J1269">
        <v>632584.38</v>
      </c>
      <c r="K1269">
        <v>0.108441535609826</v>
      </c>
      <c r="L1269">
        <v>14317</v>
      </c>
      <c r="M1269">
        <v>0.20769602481965299</v>
      </c>
      <c r="N1269">
        <v>42.439413284906102</v>
      </c>
      <c r="O1269">
        <v>607605.07999999996</v>
      </c>
      <c r="P1269">
        <v>0.208318858297973</v>
      </c>
      <c r="Q1269">
        <v>595</v>
      </c>
      <c r="R1269">
        <v>8.6316361505688107E-3</v>
      </c>
      <c r="S1269">
        <v>41.982016806722697</v>
      </c>
      <c r="T1269">
        <v>24979.3</v>
      </c>
      <c r="U1269">
        <v>8.5642128908603593E-3</v>
      </c>
      <c r="V1269">
        <v>62</v>
      </c>
      <c r="W1269">
        <v>0.119644924739483</v>
      </c>
    </row>
    <row r="1270" spans="1:23" hidden="1" x14ac:dyDescent="0.25">
      <c r="A1270" t="s">
        <v>182</v>
      </c>
      <c r="B1270">
        <v>2</v>
      </c>
      <c r="C1270">
        <v>2025</v>
      </c>
      <c r="D1270" t="s">
        <v>116</v>
      </c>
      <c r="E1270" t="s">
        <v>117</v>
      </c>
      <c r="F1270">
        <v>-151448</v>
      </c>
      <c r="G1270">
        <v>-6419882.2699999996</v>
      </c>
      <c r="H1270">
        <v>689596</v>
      </c>
      <c r="I1270">
        <v>5.0019678679728203</v>
      </c>
      <c r="J1270">
        <v>29172967.850000001</v>
      </c>
      <c r="K1270">
        <v>5.0010109828353499</v>
      </c>
      <c r="L1270">
        <v>269074</v>
      </c>
      <c r="M1270">
        <v>3.9034434715599202</v>
      </c>
      <c r="N1270">
        <v>42.280349606427997</v>
      </c>
      <c r="O1270">
        <v>11376542.789999999</v>
      </c>
      <c r="P1270">
        <v>3.9004749686932199</v>
      </c>
      <c r="Q1270">
        <v>420522</v>
      </c>
      <c r="R1270">
        <v>6.1004922643857098</v>
      </c>
      <c r="S1270">
        <v>42.319843099766501</v>
      </c>
      <c r="T1270">
        <v>17796425.059999999</v>
      </c>
      <c r="U1270">
        <v>6.1015469973170804</v>
      </c>
      <c r="V1270">
        <v>1254</v>
      </c>
      <c r="W1270">
        <v>2.41991509069857</v>
      </c>
    </row>
    <row r="1271" spans="1:23" hidden="1" x14ac:dyDescent="0.25">
      <c r="A1271" t="s">
        <v>182</v>
      </c>
      <c r="B1271">
        <v>2</v>
      </c>
      <c r="C1271">
        <v>2025</v>
      </c>
      <c r="D1271" t="s">
        <v>118</v>
      </c>
      <c r="E1271" t="s">
        <v>119</v>
      </c>
      <c r="F1271">
        <v>77965</v>
      </c>
      <c r="G1271">
        <v>3338368.7</v>
      </c>
      <c r="H1271">
        <v>301373</v>
      </c>
      <c r="I1271">
        <v>2.1860017492482098</v>
      </c>
      <c r="J1271">
        <v>12787636.619999999</v>
      </c>
      <c r="K1271">
        <v>2.1921359359098398</v>
      </c>
      <c r="L1271">
        <v>189669</v>
      </c>
      <c r="M1271">
        <v>2.75151898662561</v>
      </c>
      <c r="N1271">
        <v>42.5109145933178</v>
      </c>
      <c r="O1271">
        <v>8063002.6600000001</v>
      </c>
      <c r="P1271">
        <v>2.7644197915276201</v>
      </c>
      <c r="Q1271">
        <v>111704</v>
      </c>
      <c r="R1271">
        <v>1.62048451187082</v>
      </c>
      <c r="S1271">
        <v>42.296014108715902</v>
      </c>
      <c r="T1271">
        <v>4724633.96</v>
      </c>
      <c r="U1271">
        <v>1.6198520801154801</v>
      </c>
      <c r="V1271">
        <v>908</v>
      </c>
      <c r="W1271">
        <v>1.7522192203782301</v>
      </c>
    </row>
    <row r="1272" spans="1:23" hidden="1" x14ac:dyDescent="0.25">
      <c r="A1272" t="s">
        <v>182</v>
      </c>
      <c r="B1272">
        <v>2</v>
      </c>
      <c r="C1272">
        <v>2025</v>
      </c>
      <c r="D1272" t="s">
        <v>120</v>
      </c>
      <c r="E1272" t="s">
        <v>121</v>
      </c>
      <c r="F1272">
        <v>-9641</v>
      </c>
      <c r="G1272">
        <v>-405575.88</v>
      </c>
      <c r="H1272">
        <v>48347</v>
      </c>
      <c r="I1272">
        <v>0.35068379241306702</v>
      </c>
      <c r="J1272">
        <v>2037387.44</v>
      </c>
      <c r="K1272">
        <v>0.34926158408428098</v>
      </c>
      <c r="L1272">
        <v>19353</v>
      </c>
      <c r="M1272">
        <v>0.28075303264194701</v>
      </c>
      <c r="N1272">
        <v>42.159137084689696</v>
      </c>
      <c r="O1272">
        <v>815905.78</v>
      </c>
      <c r="P1272">
        <v>0.27973525265509203</v>
      </c>
      <c r="Q1272">
        <v>28994</v>
      </c>
      <c r="R1272">
        <v>0.42061455218418797</v>
      </c>
      <c r="S1272">
        <v>42.128773539352999</v>
      </c>
      <c r="T1272">
        <v>1221481.6599999999</v>
      </c>
      <c r="U1272">
        <v>0.41878791553492301</v>
      </c>
      <c r="V1272">
        <v>158</v>
      </c>
      <c r="W1272">
        <v>0.30490158240061799</v>
      </c>
    </row>
    <row r="1273" spans="1:23" hidden="1" x14ac:dyDescent="0.25">
      <c r="A1273" t="s">
        <v>182</v>
      </c>
      <c r="B1273">
        <v>2</v>
      </c>
      <c r="C1273">
        <v>2025</v>
      </c>
      <c r="D1273" t="s">
        <v>122</v>
      </c>
      <c r="E1273" t="s">
        <v>123</v>
      </c>
      <c r="F1273">
        <v>32704</v>
      </c>
      <c r="G1273">
        <v>1373449.1499999899</v>
      </c>
      <c r="H1273">
        <v>1615322</v>
      </c>
      <c r="I1273">
        <v>11.716698966394199</v>
      </c>
      <c r="J1273">
        <v>68321936.030000001</v>
      </c>
      <c r="K1273">
        <v>11.712169780305899</v>
      </c>
      <c r="L1273">
        <v>824013</v>
      </c>
      <c r="M1273">
        <v>11.953916637543999</v>
      </c>
      <c r="N1273">
        <v>42.290221865431697</v>
      </c>
      <c r="O1273">
        <v>34847692.590000004</v>
      </c>
      <c r="P1273">
        <v>11.9476149453318</v>
      </c>
      <c r="Q1273">
        <v>791309</v>
      </c>
      <c r="R1273">
        <v>11.479481295244501</v>
      </c>
      <c r="S1273">
        <v>42.302366635536799</v>
      </c>
      <c r="T1273">
        <v>33474243.440000001</v>
      </c>
      <c r="U1273">
        <v>11.4767246152072</v>
      </c>
      <c r="V1273">
        <v>9606</v>
      </c>
      <c r="W1273">
        <v>18.5372443072173</v>
      </c>
    </row>
    <row r="1274" spans="1:23" hidden="1" x14ac:dyDescent="0.25">
      <c r="A1274" t="s">
        <v>182</v>
      </c>
      <c r="B1274">
        <v>2</v>
      </c>
      <c r="C1274">
        <v>2025</v>
      </c>
      <c r="D1274" t="s">
        <v>124</v>
      </c>
      <c r="E1274" t="s">
        <v>125</v>
      </c>
      <c r="F1274">
        <v>1740</v>
      </c>
      <c r="G1274">
        <v>73577.97</v>
      </c>
      <c r="H1274">
        <v>1940</v>
      </c>
      <c r="I1274">
        <v>1.4071742968154201E-2</v>
      </c>
      <c r="J1274">
        <v>82086.03</v>
      </c>
      <c r="K1274">
        <v>1.40716960879026E-2</v>
      </c>
      <c r="L1274">
        <v>1840</v>
      </c>
      <c r="M1274">
        <v>2.6692790784952299E-2</v>
      </c>
      <c r="N1274">
        <v>42.3</v>
      </c>
      <c r="O1274">
        <v>77832</v>
      </c>
      <c r="P1274">
        <v>2.66848877877187E-2</v>
      </c>
      <c r="Q1274">
        <v>100</v>
      </c>
      <c r="R1274">
        <v>1.4506951513561001E-3</v>
      </c>
      <c r="S1274">
        <v>42.540300000000002</v>
      </c>
      <c r="T1274">
        <v>4254.03</v>
      </c>
      <c r="U1274">
        <v>1.4585043841943801E-3</v>
      </c>
      <c r="V1274">
        <v>5</v>
      </c>
      <c r="W1274">
        <v>9.6487842531840992E-3</v>
      </c>
    </row>
    <row r="1275" spans="1:23" hidden="1" x14ac:dyDescent="0.25">
      <c r="A1275" t="s">
        <v>182</v>
      </c>
      <c r="B1275">
        <v>2</v>
      </c>
      <c r="C1275">
        <v>2025</v>
      </c>
      <c r="D1275" t="s">
        <v>126</v>
      </c>
      <c r="E1275" t="s">
        <v>127</v>
      </c>
      <c r="F1275">
        <v>16265</v>
      </c>
      <c r="G1275">
        <v>684752.11</v>
      </c>
      <c r="H1275">
        <v>40145</v>
      </c>
      <c r="I1275">
        <v>0.29119078425595402</v>
      </c>
      <c r="J1275">
        <v>1698920.55</v>
      </c>
      <c r="K1275">
        <v>0.29123949175142499</v>
      </c>
      <c r="L1275">
        <v>28205</v>
      </c>
      <c r="M1275">
        <v>0.40916856743998897</v>
      </c>
      <c r="N1275">
        <v>42.256207410033703</v>
      </c>
      <c r="O1275">
        <v>1191836.33</v>
      </c>
      <c r="P1275">
        <v>0.40862394294604398</v>
      </c>
      <c r="Q1275">
        <v>11940</v>
      </c>
      <c r="R1275">
        <v>0.173213001071919</v>
      </c>
      <c r="S1275">
        <v>42.469365159128998</v>
      </c>
      <c r="T1275">
        <v>507084.22</v>
      </c>
      <c r="U1275">
        <v>0.17385504052058601</v>
      </c>
      <c r="V1275">
        <v>621</v>
      </c>
      <c r="W1275">
        <v>1.1983790042454601</v>
      </c>
    </row>
    <row r="1276" spans="1:23" hidden="1" x14ac:dyDescent="0.25">
      <c r="A1276" t="s">
        <v>182</v>
      </c>
      <c r="B1276">
        <v>2</v>
      </c>
      <c r="C1276">
        <v>2025</v>
      </c>
      <c r="D1276" t="s">
        <v>128</v>
      </c>
      <c r="E1276" t="s">
        <v>129</v>
      </c>
      <c r="F1276">
        <v>-941</v>
      </c>
      <c r="G1276">
        <v>-38803.730000000003</v>
      </c>
      <c r="H1276">
        <v>4379</v>
      </c>
      <c r="I1276">
        <v>3.1762970338941897E-2</v>
      </c>
      <c r="J1276">
        <v>183962.53</v>
      </c>
      <c r="K1276">
        <v>3.1535997218060802E-2</v>
      </c>
      <c r="L1276">
        <v>1719</v>
      </c>
      <c r="M1276">
        <v>2.49374496518114E-2</v>
      </c>
      <c r="N1276">
        <v>42.221873182082597</v>
      </c>
      <c r="O1276">
        <v>72579.399999999994</v>
      </c>
      <c r="P1276">
        <v>2.4884021285588899E-2</v>
      </c>
      <c r="Q1276">
        <v>2660</v>
      </c>
      <c r="R1276">
        <v>3.85884910260723E-2</v>
      </c>
      <c r="S1276">
        <v>41.873357142857103</v>
      </c>
      <c r="T1276">
        <v>111383.13</v>
      </c>
      <c r="U1276">
        <v>3.8187973152585403E-2</v>
      </c>
      <c r="V1276">
        <v>29</v>
      </c>
      <c r="W1276">
        <v>5.59629486684678E-2</v>
      </c>
    </row>
    <row r="1277" spans="1:23" hidden="1" x14ac:dyDescent="0.25">
      <c r="A1277" t="s">
        <v>182</v>
      </c>
      <c r="B1277">
        <v>2</v>
      </c>
      <c r="C1277">
        <v>2025</v>
      </c>
      <c r="D1277" t="s">
        <v>175</v>
      </c>
      <c r="E1277" t="s">
        <v>176</v>
      </c>
      <c r="F1277">
        <v>15779</v>
      </c>
      <c r="G1277">
        <v>661677.31999999995</v>
      </c>
      <c r="H1277">
        <v>80423</v>
      </c>
      <c r="I1277">
        <v>0.58334628078755901</v>
      </c>
      <c r="J1277">
        <v>3410214.72</v>
      </c>
      <c r="K1277">
        <v>0.58460014614340206</v>
      </c>
      <c r="L1277">
        <v>48101</v>
      </c>
      <c r="M1277">
        <v>0.69779887475379898</v>
      </c>
      <c r="N1277">
        <v>42.326480114758503</v>
      </c>
      <c r="O1277">
        <v>2035946.02</v>
      </c>
      <c r="P1277">
        <v>0.69802897375825501</v>
      </c>
      <c r="Q1277">
        <v>32322</v>
      </c>
      <c r="R1277">
        <v>0.46889368682131899</v>
      </c>
      <c r="S1277">
        <v>42.518058907245802</v>
      </c>
      <c r="T1277">
        <v>1374268.7</v>
      </c>
      <c r="U1277">
        <v>0.47117131849354899</v>
      </c>
      <c r="V1277">
        <v>162</v>
      </c>
      <c r="W1277">
        <v>0.31262060980316497</v>
      </c>
    </row>
    <row r="1278" spans="1:23" hidden="1" x14ac:dyDescent="0.25">
      <c r="A1278" t="s">
        <v>182</v>
      </c>
      <c r="B1278">
        <v>2</v>
      </c>
      <c r="C1278">
        <v>2025</v>
      </c>
      <c r="D1278" t="s">
        <v>130</v>
      </c>
      <c r="E1278" t="s">
        <v>131</v>
      </c>
      <c r="F1278">
        <v>-574057</v>
      </c>
      <c r="G1278">
        <v>-24259274.109999999</v>
      </c>
      <c r="H1278">
        <v>905607</v>
      </c>
      <c r="I1278">
        <v>6.5687984196707303</v>
      </c>
      <c r="J1278">
        <v>38284024.630000003</v>
      </c>
      <c r="K1278">
        <v>6.5628848126183703</v>
      </c>
      <c r="L1278">
        <v>165775</v>
      </c>
      <c r="M1278">
        <v>2.4048898871605799</v>
      </c>
      <c r="N1278">
        <v>42.300559553611798</v>
      </c>
      <c r="O1278">
        <v>7012375.2599999998</v>
      </c>
      <c r="P1278">
        <v>2.4042096687541701</v>
      </c>
      <c r="Q1278">
        <v>739832</v>
      </c>
      <c r="R1278">
        <v>10.7327069521809</v>
      </c>
      <c r="S1278">
        <v>42.2685817455855</v>
      </c>
      <c r="T1278">
        <v>31271649.370000001</v>
      </c>
      <c r="U1278">
        <v>10.7215599577658</v>
      </c>
      <c r="V1278">
        <v>2105</v>
      </c>
      <c r="W1278">
        <v>4.0621381705905097</v>
      </c>
    </row>
    <row r="1279" spans="1:23" hidden="1" x14ac:dyDescent="0.25">
      <c r="A1279" t="s">
        <v>182</v>
      </c>
      <c r="B1279">
        <v>2</v>
      </c>
      <c r="C1279">
        <v>2025</v>
      </c>
      <c r="D1279" t="s">
        <v>132</v>
      </c>
      <c r="E1279" t="s">
        <v>133</v>
      </c>
      <c r="F1279">
        <v>16815</v>
      </c>
      <c r="G1279">
        <v>715419</v>
      </c>
      <c r="H1279">
        <v>30637</v>
      </c>
      <c r="I1279">
        <v>0.22222473676048499</v>
      </c>
      <c r="J1279">
        <v>1299840.76</v>
      </c>
      <c r="K1279">
        <v>0.2228267603804</v>
      </c>
      <c r="L1279">
        <v>23726</v>
      </c>
      <c r="M1279">
        <v>0.34419193161074901</v>
      </c>
      <c r="N1279">
        <v>42.469437747618599</v>
      </c>
      <c r="O1279">
        <v>1007629.88</v>
      </c>
      <c r="P1279">
        <v>0.345468319962901</v>
      </c>
      <c r="Q1279">
        <v>6911</v>
      </c>
      <c r="R1279">
        <v>0.10025754191022</v>
      </c>
      <c r="S1279">
        <v>42.2819968166691</v>
      </c>
      <c r="T1279">
        <v>292210.88</v>
      </c>
      <c r="U1279">
        <v>0.10018520076005499</v>
      </c>
      <c r="V1279">
        <v>278</v>
      </c>
      <c r="W1279">
        <v>0.53647240447703604</v>
      </c>
    </row>
    <row r="1280" spans="1:23" hidden="1" x14ac:dyDescent="0.25">
      <c r="A1280" t="s">
        <v>182</v>
      </c>
      <c r="B1280">
        <v>2</v>
      </c>
      <c r="C1280">
        <v>2025</v>
      </c>
      <c r="D1280" t="s">
        <v>134</v>
      </c>
      <c r="E1280" t="s">
        <v>135</v>
      </c>
      <c r="F1280">
        <v>14374</v>
      </c>
      <c r="G1280">
        <v>607495.80000000005</v>
      </c>
      <c r="H1280">
        <v>20262</v>
      </c>
      <c r="I1280">
        <v>0.14696992578388701</v>
      </c>
      <c r="J1280">
        <v>856084.68</v>
      </c>
      <c r="K1280">
        <v>0.14675534244340099</v>
      </c>
      <c r="L1280">
        <v>17318</v>
      </c>
      <c r="M1280">
        <v>0.25123138631184999</v>
      </c>
      <c r="N1280">
        <v>42.256048042499103</v>
      </c>
      <c r="O1280">
        <v>731790.24</v>
      </c>
      <c r="P1280">
        <v>0.25089603811475703</v>
      </c>
      <c r="Q1280">
        <v>2944</v>
      </c>
      <c r="R1280">
        <v>4.27084652559237E-2</v>
      </c>
      <c r="S1280">
        <v>42.219578804347798</v>
      </c>
      <c r="T1280">
        <v>124294.44</v>
      </c>
      <c r="U1280">
        <v>4.2614646739911402E-2</v>
      </c>
      <c r="V1280">
        <v>65</v>
      </c>
      <c r="W1280">
        <v>0.12543419529139299</v>
      </c>
    </row>
    <row r="1281" spans="1:23" hidden="1" x14ac:dyDescent="0.25">
      <c r="A1281" t="s">
        <v>182</v>
      </c>
      <c r="B1281">
        <v>2</v>
      </c>
      <c r="C1281">
        <v>2025</v>
      </c>
      <c r="D1281" t="s">
        <v>136</v>
      </c>
      <c r="E1281" t="s">
        <v>137</v>
      </c>
      <c r="F1281">
        <v>11414</v>
      </c>
      <c r="G1281">
        <v>482685.17</v>
      </c>
      <c r="H1281">
        <v>39828</v>
      </c>
      <c r="I1281">
        <v>0.28889143244105397</v>
      </c>
      <c r="J1281">
        <v>1684895.67</v>
      </c>
      <c r="K1281">
        <v>0.28883525988603598</v>
      </c>
      <c r="L1281">
        <v>25621</v>
      </c>
      <c r="M1281">
        <v>0.37168260472894699</v>
      </c>
      <c r="N1281">
        <v>42.300863354279699</v>
      </c>
      <c r="O1281">
        <v>1083790.42</v>
      </c>
      <c r="P1281">
        <v>0.371580143682605</v>
      </c>
      <c r="Q1281">
        <v>14207</v>
      </c>
      <c r="R1281">
        <v>0.20610026015316099</v>
      </c>
      <c r="S1281">
        <v>42.310498345885797</v>
      </c>
      <c r="T1281">
        <v>601105.25</v>
      </c>
      <c r="U1281">
        <v>0.20609037606393499</v>
      </c>
      <c r="V1281">
        <v>134</v>
      </c>
      <c r="W1281">
        <v>0.25858741798533402</v>
      </c>
    </row>
    <row r="1282" spans="1:23" hidden="1" x14ac:dyDescent="0.25">
      <c r="A1282" t="s">
        <v>182</v>
      </c>
      <c r="B1282">
        <v>2</v>
      </c>
      <c r="C1282">
        <v>2025</v>
      </c>
      <c r="D1282" t="s">
        <v>138</v>
      </c>
      <c r="E1282" t="s">
        <v>139</v>
      </c>
      <c r="F1282">
        <v>78054</v>
      </c>
      <c r="G1282">
        <v>3290100.69</v>
      </c>
      <c r="H1282">
        <v>91254</v>
      </c>
      <c r="I1282">
        <v>0.66190867670924902</v>
      </c>
      <c r="J1282">
        <v>3850393.15</v>
      </c>
      <c r="K1282">
        <v>0.660058261140681</v>
      </c>
      <c r="L1282">
        <v>84654</v>
      </c>
      <c r="M1282">
        <v>1.2280714734289999</v>
      </c>
      <c r="N1282">
        <v>42.174580291539698</v>
      </c>
      <c r="O1282">
        <v>3570246.92</v>
      </c>
      <c r="P1282">
        <v>1.2240677155238</v>
      </c>
      <c r="Q1282">
        <v>6600</v>
      </c>
      <c r="R1282">
        <v>9.5745879989502805E-2</v>
      </c>
      <c r="S1282">
        <v>42.446398484848501</v>
      </c>
      <c r="T1282">
        <v>280146.23</v>
      </c>
      <c r="U1282">
        <v>9.6048806583528407E-2</v>
      </c>
      <c r="V1282">
        <v>145</v>
      </c>
      <c r="W1282">
        <v>0.27981474334233902</v>
      </c>
    </row>
    <row r="1283" spans="1:23" hidden="1" x14ac:dyDescent="0.25">
      <c r="A1283" t="s">
        <v>182</v>
      </c>
      <c r="B1283">
        <v>2</v>
      </c>
      <c r="C1283">
        <v>2025</v>
      </c>
      <c r="D1283" t="s">
        <v>140</v>
      </c>
      <c r="E1283" t="s">
        <v>141</v>
      </c>
      <c r="F1283">
        <v>7018</v>
      </c>
      <c r="G1283">
        <v>297705.78999999998</v>
      </c>
      <c r="H1283">
        <v>10842</v>
      </c>
      <c r="I1283">
        <v>7.8642184155014297E-2</v>
      </c>
      <c r="J1283">
        <v>459610.79</v>
      </c>
      <c r="K1283">
        <v>7.8789330603524194E-2</v>
      </c>
      <c r="L1283">
        <v>8930</v>
      </c>
      <c r="M1283">
        <v>0.12954707701609999</v>
      </c>
      <c r="N1283">
        <v>42.402944008958599</v>
      </c>
      <c r="O1283">
        <v>378658.29</v>
      </c>
      <c r="P1283">
        <v>0.129823902489201</v>
      </c>
      <c r="Q1283">
        <v>1912</v>
      </c>
      <c r="R1283">
        <v>2.7737291293928702E-2</v>
      </c>
      <c r="S1283">
        <v>42.339173640167402</v>
      </c>
      <c r="T1283">
        <v>80952.5</v>
      </c>
      <c r="U1283">
        <v>2.7754758702100299E-2</v>
      </c>
      <c r="V1283">
        <v>173</v>
      </c>
      <c r="W1283">
        <v>0.33384793516016997</v>
      </c>
    </row>
    <row r="1284" spans="1:23" hidden="1" x14ac:dyDescent="0.25">
      <c r="A1284" t="s">
        <v>182</v>
      </c>
      <c r="B1284">
        <v>2</v>
      </c>
      <c r="C1284">
        <v>2025</v>
      </c>
      <c r="D1284" t="s">
        <v>142</v>
      </c>
      <c r="E1284" t="s">
        <v>143</v>
      </c>
      <c r="F1284">
        <v>326681</v>
      </c>
      <c r="G1284">
        <v>13872121.949999999</v>
      </c>
      <c r="H1284">
        <v>1430681</v>
      </c>
      <c r="I1284">
        <v>10.3774099491865</v>
      </c>
      <c r="J1284">
        <v>60643777.789999999</v>
      </c>
      <c r="K1284">
        <v>10.3959323003339</v>
      </c>
      <c r="L1284">
        <v>878681</v>
      </c>
      <c r="M1284">
        <v>12.7469826628873</v>
      </c>
      <c r="N1284">
        <v>42.402134415106303</v>
      </c>
      <c r="O1284">
        <v>37257949.869999997</v>
      </c>
      <c r="P1284">
        <v>12.773977431922599</v>
      </c>
      <c r="Q1284">
        <v>552000</v>
      </c>
      <c r="R1284">
        <v>8.0078372354856899</v>
      </c>
      <c r="S1284">
        <v>42.365630289855098</v>
      </c>
      <c r="T1284">
        <v>23385827.920000002</v>
      </c>
      <c r="U1284">
        <v>8.0178871680113595</v>
      </c>
      <c r="V1284">
        <v>4092</v>
      </c>
      <c r="W1284">
        <v>7.8965650328058699</v>
      </c>
    </row>
    <row r="1285" spans="1:23" hidden="1" x14ac:dyDescent="0.25">
      <c r="A1285" t="s">
        <v>182</v>
      </c>
      <c r="B1285">
        <v>2</v>
      </c>
      <c r="C1285">
        <v>2025</v>
      </c>
      <c r="D1285" t="s">
        <v>144</v>
      </c>
      <c r="E1285" t="s">
        <v>145</v>
      </c>
      <c r="F1285">
        <v>-187053</v>
      </c>
      <c r="G1285">
        <v>-7914664.8799999999</v>
      </c>
      <c r="H1285">
        <v>1129367</v>
      </c>
      <c r="I1285">
        <v>8.1918361550079393</v>
      </c>
      <c r="J1285">
        <v>47757725.960000001</v>
      </c>
      <c r="K1285">
        <v>8.1869254190811098</v>
      </c>
      <c r="L1285">
        <v>471157</v>
      </c>
      <c r="M1285">
        <v>6.8350517542748701</v>
      </c>
      <c r="N1285">
        <v>42.282149135001703</v>
      </c>
      <c r="O1285">
        <v>19921530.539999999</v>
      </c>
      <c r="P1285">
        <v>6.8301445037967898</v>
      </c>
      <c r="Q1285">
        <v>658210</v>
      </c>
      <c r="R1285">
        <v>9.5486205557409995</v>
      </c>
      <c r="S1285">
        <v>42.290751310372102</v>
      </c>
      <c r="T1285">
        <v>27836195.420000002</v>
      </c>
      <c r="U1285">
        <v>9.5437063347840905</v>
      </c>
      <c r="V1285">
        <v>2293</v>
      </c>
      <c r="W1285">
        <v>4.4249324585102299</v>
      </c>
    </row>
    <row r="1286" spans="1:23" hidden="1" x14ac:dyDescent="0.25">
      <c r="A1286" t="s">
        <v>182</v>
      </c>
      <c r="B1286">
        <v>2</v>
      </c>
      <c r="C1286">
        <v>2025</v>
      </c>
      <c r="D1286" t="s">
        <v>146</v>
      </c>
      <c r="E1286" t="s">
        <v>147</v>
      </c>
      <c r="F1286">
        <v>25366</v>
      </c>
      <c r="G1286">
        <v>1063633.5</v>
      </c>
      <c r="H1286">
        <v>195166</v>
      </c>
      <c r="I1286">
        <v>1.4156318495478299</v>
      </c>
      <c r="J1286">
        <v>8259820.2400000002</v>
      </c>
      <c r="K1286">
        <v>1.41594958555051</v>
      </c>
      <c r="L1286">
        <v>110266</v>
      </c>
      <c r="M1286">
        <v>1.5996235155943199</v>
      </c>
      <c r="N1286">
        <v>42.277101463733104</v>
      </c>
      <c r="O1286">
        <v>4661726.87</v>
      </c>
      <c r="P1286">
        <v>1.59828423300112</v>
      </c>
      <c r="Q1286">
        <v>84900</v>
      </c>
      <c r="R1286">
        <v>1.23164018350133</v>
      </c>
      <c r="S1286">
        <v>42.380369493521798</v>
      </c>
      <c r="T1286">
        <v>3598093.37</v>
      </c>
      <c r="U1286">
        <v>1.2336149380436301</v>
      </c>
      <c r="V1286">
        <v>650</v>
      </c>
      <c r="W1286">
        <v>1.2543419529139299</v>
      </c>
    </row>
    <row r="1287" spans="1:23" x14ac:dyDescent="0.25">
      <c r="A1287" t="s">
        <v>182</v>
      </c>
      <c r="B1287">
        <v>2</v>
      </c>
      <c r="C1287">
        <v>2025</v>
      </c>
      <c r="D1287" t="s">
        <v>148</v>
      </c>
      <c r="E1287" t="s">
        <v>148</v>
      </c>
      <c r="F1287">
        <v>0</v>
      </c>
      <c r="G1287">
        <v>8.9999989533680505E-2</v>
      </c>
      <c r="H1287">
        <v>13786494</v>
      </c>
      <c r="I1287">
        <v>0</v>
      </c>
      <c r="J1287">
        <v>583341407.37</v>
      </c>
      <c r="K1287">
        <v>0</v>
      </c>
      <c r="L1287">
        <v>6893247</v>
      </c>
      <c r="M1287">
        <v>100</v>
      </c>
      <c r="N1287">
        <v>42.300279776805901</v>
      </c>
      <c r="O1287">
        <v>291670703.73000002</v>
      </c>
      <c r="P1287">
        <v>100</v>
      </c>
      <c r="Q1287">
        <v>6893247</v>
      </c>
      <c r="R1287">
        <v>100</v>
      </c>
      <c r="S1287">
        <v>42.315170722826203</v>
      </c>
      <c r="T1287">
        <v>291670703.63999999</v>
      </c>
      <c r="U1287">
        <v>100</v>
      </c>
      <c r="V1287">
        <v>51820</v>
      </c>
      <c r="W1287">
        <v>100</v>
      </c>
    </row>
    <row r="1288" spans="1:23" hidden="1" x14ac:dyDescent="0.25">
      <c r="A1288" t="s">
        <v>182</v>
      </c>
      <c r="B1288">
        <v>2</v>
      </c>
      <c r="C1288">
        <v>2025</v>
      </c>
      <c r="D1288" t="s">
        <v>149</v>
      </c>
      <c r="E1288" t="s">
        <v>150</v>
      </c>
      <c r="F1288">
        <v>202756</v>
      </c>
      <c r="G1288">
        <v>8593157.2799999993</v>
      </c>
      <c r="H1288">
        <v>1249190</v>
      </c>
      <c r="I1288">
        <v>9.0609693806126508</v>
      </c>
      <c r="J1288">
        <v>52790668</v>
      </c>
      <c r="K1288">
        <v>9.0497035411916293</v>
      </c>
      <c r="L1288">
        <v>725973</v>
      </c>
      <c r="M1288">
        <v>10.5316551111544</v>
      </c>
      <c r="N1288">
        <v>42.276934045756498</v>
      </c>
      <c r="O1288">
        <v>30691912.640000001</v>
      </c>
      <c r="P1288">
        <v>10.522795826766201</v>
      </c>
      <c r="Q1288">
        <v>523217</v>
      </c>
      <c r="R1288">
        <v>7.5902836500708597</v>
      </c>
      <c r="S1288">
        <v>42.236309905832599</v>
      </c>
      <c r="T1288">
        <v>22098755.359999999</v>
      </c>
      <c r="U1288">
        <v>7.57661125516253</v>
      </c>
      <c r="V1288">
        <v>5773</v>
      </c>
      <c r="W1288">
        <v>11.140486298726399</v>
      </c>
    </row>
    <row r="1289" spans="1:23" hidden="1" x14ac:dyDescent="0.25">
      <c r="A1289" t="s">
        <v>182</v>
      </c>
      <c r="B1289">
        <v>2</v>
      </c>
      <c r="C1289">
        <v>2025</v>
      </c>
      <c r="D1289" t="s">
        <v>183</v>
      </c>
      <c r="E1289" t="s">
        <v>184</v>
      </c>
      <c r="F1289">
        <v>5975</v>
      </c>
      <c r="G1289">
        <v>251724.79999999999</v>
      </c>
      <c r="H1289">
        <v>58175</v>
      </c>
      <c r="I1289">
        <v>0.42197095215070601</v>
      </c>
      <c r="J1289">
        <v>2453169.94</v>
      </c>
      <c r="K1289">
        <v>0.42053759753831599</v>
      </c>
      <c r="L1289">
        <v>32075</v>
      </c>
      <c r="M1289">
        <v>0.46531046979746998</v>
      </c>
      <c r="N1289">
        <v>42.165155728760702</v>
      </c>
      <c r="O1289">
        <v>1352447.37</v>
      </c>
      <c r="P1289">
        <v>0.46368982304508799</v>
      </c>
      <c r="Q1289">
        <v>26100</v>
      </c>
      <c r="R1289">
        <v>0.37863143450394299</v>
      </c>
      <c r="S1289">
        <v>42.173278544061297</v>
      </c>
      <c r="T1289">
        <v>1100722.57</v>
      </c>
      <c r="U1289">
        <v>0.37738537201822903</v>
      </c>
      <c r="V1289">
        <v>63</v>
      </c>
      <c r="W1289">
        <v>0.12157468159012</v>
      </c>
    </row>
    <row r="1290" spans="1:23" hidden="1" x14ac:dyDescent="0.25">
      <c r="A1290" t="s">
        <v>182</v>
      </c>
      <c r="B1290">
        <v>2</v>
      </c>
      <c r="C1290">
        <v>2025</v>
      </c>
      <c r="D1290" t="s">
        <v>151</v>
      </c>
      <c r="E1290" t="s">
        <v>152</v>
      </c>
      <c r="F1290">
        <v>78627</v>
      </c>
      <c r="G1290">
        <v>3295418.6099999901</v>
      </c>
      <c r="H1290">
        <v>1671649</v>
      </c>
      <c r="I1290">
        <v>12.125265495346399</v>
      </c>
      <c r="J1290">
        <v>70791976.989999995</v>
      </c>
      <c r="K1290">
        <v>12.1355995126707</v>
      </c>
      <c r="L1290">
        <v>875138</v>
      </c>
      <c r="M1290">
        <v>12.695584533674801</v>
      </c>
      <c r="N1290">
        <v>42.328978743923798</v>
      </c>
      <c r="O1290">
        <v>37043697.799999997</v>
      </c>
      <c r="P1290">
        <v>12.7005205960937</v>
      </c>
      <c r="Q1290">
        <v>796511</v>
      </c>
      <c r="R1290">
        <v>11.554946457018</v>
      </c>
      <c r="S1290">
        <v>42.370135742004798</v>
      </c>
      <c r="T1290">
        <v>33748279.189999998</v>
      </c>
      <c r="U1290">
        <v>11.5706784290734</v>
      </c>
      <c r="V1290">
        <v>3557</v>
      </c>
      <c r="W1290">
        <v>6.8641451177151698</v>
      </c>
    </row>
    <row r="1291" spans="1:23" hidden="1" x14ac:dyDescent="0.25">
      <c r="A1291" t="s">
        <v>182</v>
      </c>
      <c r="B1291">
        <v>2</v>
      </c>
      <c r="C1291">
        <v>2025</v>
      </c>
      <c r="D1291" t="s">
        <v>153</v>
      </c>
      <c r="E1291" t="s">
        <v>154</v>
      </c>
      <c r="F1291">
        <v>1126</v>
      </c>
      <c r="G1291">
        <v>48322.28</v>
      </c>
      <c r="H1291">
        <v>8340</v>
      </c>
      <c r="I1291">
        <v>6.04939878115495E-2</v>
      </c>
      <c r="J1291">
        <v>351136.12</v>
      </c>
      <c r="K1291">
        <v>6.0193930271999797E-2</v>
      </c>
      <c r="L1291">
        <v>4733</v>
      </c>
      <c r="M1291">
        <v>6.86614015136843E-2</v>
      </c>
      <c r="N1291">
        <v>42.199281639552098</v>
      </c>
      <c r="O1291">
        <v>199729.2</v>
      </c>
      <c r="P1291">
        <v>6.8477635033544398E-2</v>
      </c>
      <c r="Q1291">
        <v>3607</v>
      </c>
      <c r="R1291">
        <v>5.2326574109414603E-2</v>
      </c>
      <c r="S1291">
        <v>41.9758580537843</v>
      </c>
      <c r="T1291">
        <v>151406.92000000001</v>
      </c>
      <c r="U1291">
        <v>5.1910225507899102E-2</v>
      </c>
      <c r="V1291">
        <v>225</v>
      </c>
      <c r="W1291">
        <v>0.434195291393284</v>
      </c>
    </row>
    <row r="1292" spans="1:23" hidden="1" x14ac:dyDescent="0.25">
      <c r="A1292" t="s">
        <v>182</v>
      </c>
      <c r="B1292">
        <v>2</v>
      </c>
      <c r="C1292">
        <v>2025</v>
      </c>
      <c r="D1292" t="s">
        <v>155</v>
      </c>
      <c r="E1292" t="s">
        <v>156</v>
      </c>
      <c r="F1292">
        <v>11001</v>
      </c>
      <c r="G1292">
        <v>465307.97</v>
      </c>
      <c r="H1292">
        <v>12221</v>
      </c>
      <c r="I1292">
        <v>8.8644727223614606E-2</v>
      </c>
      <c r="J1292">
        <v>516896.21</v>
      </c>
      <c r="K1292">
        <v>8.86095523940999E-2</v>
      </c>
      <c r="L1292">
        <v>11611</v>
      </c>
      <c r="M1292">
        <v>0.16844021402395701</v>
      </c>
      <c r="N1292">
        <v>42.296278528981098</v>
      </c>
      <c r="O1292">
        <v>491102.09</v>
      </c>
      <c r="P1292">
        <v>0.16837552888226101</v>
      </c>
      <c r="Q1292">
        <v>610</v>
      </c>
      <c r="R1292">
        <v>8.8492404232722293E-3</v>
      </c>
      <c r="S1292">
        <v>42.285442622950796</v>
      </c>
      <c r="T1292">
        <v>25794.12</v>
      </c>
      <c r="U1292">
        <v>8.8435758813256993E-3</v>
      </c>
      <c r="V1292">
        <v>45</v>
      </c>
      <c r="W1292">
        <v>8.68390582786569E-2</v>
      </c>
    </row>
    <row r="1293" spans="1:23" hidden="1" x14ac:dyDescent="0.25">
      <c r="A1293" t="s">
        <v>182</v>
      </c>
      <c r="B1293">
        <v>3</v>
      </c>
      <c r="C1293">
        <v>2025</v>
      </c>
      <c r="D1293" t="s">
        <v>88</v>
      </c>
      <c r="E1293" t="s">
        <v>89</v>
      </c>
      <c r="F1293">
        <v>80700</v>
      </c>
      <c r="G1293">
        <v>3509410.1</v>
      </c>
      <c r="H1293">
        <v>370554</v>
      </c>
      <c r="I1293">
        <v>3.1156098651141702</v>
      </c>
      <c r="J1293">
        <v>16133050.060000001</v>
      </c>
      <c r="K1293">
        <v>3.1193008836864902</v>
      </c>
      <c r="L1293">
        <v>225627</v>
      </c>
      <c r="M1293">
        <v>3.7941336865132498</v>
      </c>
      <c r="N1293">
        <v>43.528611735297602</v>
      </c>
      <c r="O1293">
        <v>9821230.0800000001</v>
      </c>
      <c r="P1293">
        <v>3.7978400308288598</v>
      </c>
      <c r="Q1293">
        <v>144927</v>
      </c>
      <c r="R1293">
        <v>2.4370860437150998</v>
      </c>
      <c r="S1293">
        <v>43.551719003360297</v>
      </c>
      <c r="T1293">
        <v>6311819.9800000004</v>
      </c>
      <c r="U1293">
        <v>2.4407617365965901</v>
      </c>
      <c r="V1293">
        <v>1508</v>
      </c>
      <c r="W1293">
        <v>3.08258381030253</v>
      </c>
    </row>
    <row r="1294" spans="1:23" hidden="1" x14ac:dyDescent="0.25">
      <c r="A1294" t="s">
        <v>182</v>
      </c>
      <c r="B1294">
        <v>3</v>
      </c>
      <c r="C1294">
        <v>2025</v>
      </c>
      <c r="D1294" t="s">
        <v>90</v>
      </c>
      <c r="E1294" t="s">
        <v>91</v>
      </c>
      <c r="F1294">
        <v>125229</v>
      </c>
      <c r="G1294">
        <v>5483468.6200000001</v>
      </c>
      <c r="H1294">
        <v>469787</v>
      </c>
      <c r="I1294">
        <v>3.94995874205215</v>
      </c>
      <c r="J1294">
        <v>20475935.640000001</v>
      </c>
      <c r="K1294">
        <v>3.95899125699234</v>
      </c>
      <c r="L1294">
        <v>297508</v>
      </c>
      <c r="M1294">
        <v>5.0028814140470104</v>
      </c>
      <c r="N1294">
        <v>43.628077665138399</v>
      </c>
      <c r="O1294">
        <v>12979702.130000001</v>
      </c>
      <c r="P1294">
        <v>5.01921164009108</v>
      </c>
      <c r="Q1294">
        <v>172279</v>
      </c>
      <c r="R1294">
        <v>2.8970360700572901</v>
      </c>
      <c r="S1294">
        <v>43.512172174205801</v>
      </c>
      <c r="T1294">
        <v>7496233.5099999998</v>
      </c>
      <c r="U1294">
        <v>2.89877087397559</v>
      </c>
      <c r="V1294">
        <v>3133</v>
      </c>
      <c r="W1294">
        <v>6.4043336058871603</v>
      </c>
    </row>
    <row r="1295" spans="1:23" hidden="1" x14ac:dyDescent="0.25">
      <c r="A1295" t="s">
        <v>182</v>
      </c>
      <c r="B1295">
        <v>3</v>
      </c>
      <c r="C1295">
        <v>2025</v>
      </c>
      <c r="D1295" t="s">
        <v>92</v>
      </c>
      <c r="E1295" t="s">
        <v>93</v>
      </c>
      <c r="F1295">
        <v>33864</v>
      </c>
      <c r="G1295">
        <v>1503157.12</v>
      </c>
      <c r="H1295">
        <v>46216</v>
      </c>
      <c r="I1295">
        <v>0.38858310941486701</v>
      </c>
      <c r="J1295">
        <v>2040694.2</v>
      </c>
      <c r="K1295">
        <v>0.39456514408124799</v>
      </c>
      <c r="L1295">
        <v>40040</v>
      </c>
      <c r="M1295">
        <v>0.67331087506366905</v>
      </c>
      <c r="N1295">
        <v>44.253887612387601</v>
      </c>
      <c r="O1295">
        <v>1771925.66</v>
      </c>
      <c r="P1295">
        <v>0.685198304935837</v>
      </c>
      <c r="Q1295">
        <v>6176</v>
      </c>
      <c r="R1295">
        <v>0.10385534376606401</v>
      </c>
      <c r="S1295">
        <v>43.518222150259099</v>
      </c>
      <c r="T1295">
        <v>268768.53999999998</v>
      </c>
      <c r="U1295">
        <v>0.10393198324913699</v>
      </c>
      <c r="V1295">
        <v>80</v>
      </c>
      <c r="W1295">
        <v>0.16353229762878199</v>
      </c>
    </row>
    <row r="1296" spans="1:23" hidden="1" x14ac:dyDescent="0.25">
      <c r="A1296" t="s">
        <v>182</v>
      </c>
      <c r="B1296">
        <v>3</v>
      </c>
      <c r="C1296">
        <v>2025</v>
      </c>
      <c r="D1296" t="s">
        <v>94</v>
      </c>
      <c r="E1296" t="s">
        <v>95</v>
      </c>
      <c r="F1296">
        <v>-1013853</v>
      </c>
      <c r="G1296">
        <v>-44364984.829999998</v>
      </c>
      <c r="H1296">
        <v>1116451</v>
      </c>
      <c r="I1296">
        <v>9.3870954017945607</v>
      </c>
      <c r="J1296">
        <v>48809067.170000002</v>
      </c>
      <c r="K1296">
        <v>9.4371594824949199</v>
      </c>
      <c r="L1296">
        <v>51299</v>
      </c>
      <c r="M1296">
        <v>0.86264172277450502</v>
      </c>
      <c r="N1296">
        <v>43.315487046531103</v>
      </c>
      <c r="O1296">
        <v>2222041.17</v>
      </c>
      <c r="P1296">
        <v>0.85925661417513599</v>
      </c>
      <c r="Q1296">
        <v>1065152</v>
      </c>
      <c r="R1296">
        <v>17.911549080814599</v>
      </c>
      <c r="S1296">
        <v>43.737444045544699</v>
      </c>
      <c r="T1296">
        <v>46587026</v>
      </c>
      <c r="U1296">
        <v>18.0150623501513</v>
      </c>
      <c r="V1296">
        <v>2256</v>
      </c>
      <c r="W1296">
        <v>4.6116107931316401</v>
      </c>
    </row>
    <row r="1297" spans="1:23" hidden="1" x14ac:dyDescent="0.25">
      <c r="A1297" t="s">
        <v>182</v>
      </c>
      <c r="B1297">
        <v>3</v>
      </c>
      <c r="C1297">
        <v>2025</v>
      </c>
      <c r="D1297" t="s">
        <v>96</v>
      </c>
      <c r="E1297" t="s">
        <v>97</v>
      </c>
      <c r="F1297">
        <v>60530</v>
      </c>
      <c r="G1297">
        <v>2665248.88</v>
      </c>
      <c r="H1297">
        <v>183910</v>
      </c>
      <c r="I1297">
        <v>1.5463112266853101</v>
      </c>
      <c r="J1297">
        <v>8043019.7599999998</v>
      </c>
      <c r="K1297">
        <v>1.55510573335913</v>
      </c>
      <c r="L1297">
        <v>122220</v>
      </c>
      <c r="M1297">
        <v>2.0552461326244198</v>
      </c>
      <c r="N1297">
        <v>43.807350024545897</v>
      </c>
      <c r="O1297">
        <v>5354134.32</v>
      </c>
      <c r="P1297">
        <v>2.0704275824205798</v>
      </c>
      <c r="Q1297">
        <v>61690</v>
      </c>
      <c r="R1297">
        <v>1.0373763207461999</v>
      </c>
      <c r="S1297">
        <v>43.587055276381903</v>
      </c>
      <c r="T1297">
        <v>2688885.44</v>
      </c>
      <c r="U1297">
        <v>1.03978388433754</v>
      </c>
      <c r="V1297">
        <v>823</v>
      </c>
      <c r="W1297">
        <v>1.6823385118560901</v>
      </c>
    </row>
    <row r="1298" spans="1:23" hidden="1" x14ac:dyDescent="0.25">
      <c r="A1298" t="s">
        <v>182</v>
      </c>
      <c r="B1298">
        <v>3</v>
      </c>
      <c r="C1298">
        <v>2025</v>
      </c>
      <c r="D1298" t="s">
        <v>98</v>
      </c>
      <c r="E1298" t="s">
        <v>99</v>
      </c>
      <c r="F1298">
        <v>6500</v>
      </c>
      <c r="G1298">
        <v>290010.31</v>
      </c>
      <c r="H1298">
        <v>7300</v>
      </c>
      <c r="I1298">
        <v>6.1378239110449401E-2</v>
      </c>
      <c r="J1298">
        <v>326245.31</v>
      </c>
      <c r="K1298">
        <v>6.3079038371345195E-2</v>
      </c>
      <c r="L1298">
        <v>6900</v>
      </c>
      <c r="M1298">
        <v>0.11603009585262999</v>
      </c>
      <c r="N1298">
        <v>44.656204347826097</v>
      </c>
      <c r="O1298">
        <v>308127.81</v>
      </c>
      <c r="P1298">
        <v>0.11915209417735501</v>
      </c>
      <c r="Q1298">
        <v>400</v>
      </c>
      <c r="R1298">
        <v>6.72638236826843E-3</v>
      </c>
      <c r="S1298">
        <v>45.293750000000003</v>
      </c>
      <c r="T1298">
        <v>18117.5</v>
      </c>
      <c r="U1298">
        <v>7.0059825696722096E-3</v>
      </c>
      <c r="V1298">
        <v>79</v>
      </c>
      <c r="W1298">
        <v>0.161488143908422</v>
      </c>
    </row>
    <row r="1299" spans="1:23" hidden="1" x14ac:dyDescent="0.25">
      <c r="A1299" t="s">
        <v>182</v>
      </c>
      <c r="B1299">
        <v>3</v>
      </c>
      <c r="C1299">
        <v>2025</v>
      </c>
      <c r="D1299" t="s">
        <v>157</v>
      </c>
      <c r="E1299" t="s">
        <v>158</v>
      </c>
      <c r="F1299">
        <v>230</v>
      </c>
      <c r="G1299">
        <v>10117.700000000001</v>
      </c>
      <c r="H1299">
        <v>230</v>
      </c>
      <c r="I1299">
        <v>1.93383493087717E-3</v>
      </c>
      <c r="J1299">
        <v>10117.700000000001</v>
      </c>
      <c r="K1299">
        <v>1.9562420269880901E-3</v>
      </c>
      <c r="L1299">
        <v>230</v>
      </c>
      <c r="M1299">
        <v>3.86766986175434E-3</v>
      </c>
      <c r="N1299">
        <v>43.99</v>
      </c>
      <c r="O1299">
        <v>10117.700000000001</v>
      </c>
      <c r="P1299">
        <v>3.9124840541274802E-3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1</v>
      </c>
      <c r="W1299">
        <v>2.04415372035977E-3</v>
      </c>
    </row>
    <row r="1300" spans="1:23" hidden="1" x14ac:dyDescent="0.25">
      <c r="A1300" t="s">
        <v>182</v>
      </c>
      <c r="B1300">
        <v>3</v>
      </c>
      <c r="C1300">
        <v>2025</v>
      </c>
      <c r="D1300" t="s">
        <v>100</v>
      </c>
      <c r="E1300" t="s">
        <v>101</v>
      </c>
      <c r="F1300">
        <v>-865</v>
      </c>
      <c r="G1300">
        <v>-38471.68</v>
      </c>
      <c r="H1300">
        <v>16341</v>
      </c>
      <c r="I1300">
        <v>0.137394767849843</v>
      </c>
      <c r="J1300">
        <v>711973.76</v>
      </c>
      <c r="K1300">
        <v>0.13765905209926499</v>
      </c>
      <c r="L1300">
        <v>7738</v>
      </c>
      <c r="M1300">
        <v>0.13012186691415301</v>
      </c>
      <c r="N1300">
        <v>43.519131558542298</v>
      </c>
      <c r="O1300">
        <v>336751.04</v>
      </c>
      <c r="P1300">
        <v>0.130220610831597</v>
      </c>
      <c r="Q1300">
        <v>8603</v>
      </c>
      <c r="R1300">
        <v>0.144667668785533</v>
      </c>
      <c r="S1300">
        <v>43.615334185749198</v>
      </c>
      <c r="T1300">
        <v>375222.72</v>
      </c>
      <c r="U1300">
        <v>0.14509749336635799</v>
      </c>
      <c r="V1300">
        <v>65</v>
      </c>
      <c r="W1300">
        <v>0.13286999182338499</v>
      </c>
    </row>
    <row r="1301" spans="1:23" hidden="1" x14ac:dyDescent="0.25">
      <c r="A1301" t="s">
        <v>182</v>
      </c>
      <c r="B1301">
        <v>3</v>
      </c>
      <c r="C1301">
        <v>2025</v>
      </c>
      <c r="D1301" t="s">
        <v>102</v>
      </c>
      <c r="E1301" t="s">
        <v>103</v>
      </c>
      <c r="F1301">
        <v>336054</v>
      </c>
      <c r="G1301">
        <v>14775406.609999999</v>
      </c>
      <c r="H1301">
        <v>1202850</v>
      </c>
      <c r="I1301">
        <v>10.1135362895896</v>
      </c>
      <c r="J1301">
        <v>52294837.390000001</v>
      </c>
      <c r="K1301">
        <v>10.111127894366</v>
      </c>
      <c r="L1301">
        <v>769452</v>
      </c>
      <c r="M1301">
        <v>12.9390709150722</v>
      </c>
      <c r="N1301">
        <v>43.583124093510698</v>
      </c>
      <c r="O1301">
        <v>33535122</v>
      </c>
      <c r="P1301">
        <v>12.967930466234399</v>
      </c>
      <c r="Q1301">
        <v>433398</v>
      </c>
      <c r="R1301">
        <v>7.288001664107</v>
      </c>
      <c r="S1301">
        <v>43.2851914175885</v>
      </c>
      <c r="T1301">
        <v>18759715.390000001</v>
      </c>
      <c r="U1301">
        <v>7.2543253227184499</v>
      </c>
      <c r="V1301">
        <v>5425</v>
      </c>
      <c r="W1301">
        <v>11.089533932951801</v>
      </c>
    </row>
    <row r="1302" spans="1:23" hidden="1" x14ac:dyDescent="0.25">
      <c r="A1302" t="s">
        <v>182</v>
      </c>
      <c r="B1302">
        <v>3</v>
      </c>
      <c r="C1302">
        <v>2025</v>
      </c>
      <c r="D1302" t="s">
        <v>161</v>
      </c>
      <c r="E1302" t="s">
        <v>162</v>
      </c>
      <c r="F1302">
        <v>-30438</v>
      </c>
      <c r="G1302">
        <v>-1340334.25</v>
      </c>
      <c r="H1302">
        <v>55174</v>
      </c>
      <c r="I1302">
        <v>0.46390177598355298</v>
      </c>
      <c r="J1302">
        <v>2418596.5299999998</v>
      </c>
      <c r="K1302">
        <v>0.46763198931709499</v>
      </c>
      <c r="L1302">
        <v>12368</v>
      </c>
      <c r="M1302">
        <v>0.20797974282685999</v>
      </c>
      <c r="N1302">
        <v>43.590810155239303</v>
      </c>
      <c r="O1302">
        <v>539131.14</v>
      </c>
      <c r="P1302">
        <v>0.208480384705375</v>
      </c>
      <c r="Q1302">
        <v>42806</v>
      </c>
      <c r="R1302">
        <v>0.71982380914024602</v>
      </c>
      <c r="S1302">
        <v>43.906587627902603</v>
      </c>
      <c r="T1302">
        <v>1879465.39</v>
      </c>
      <c r="U1302">
        <v>0.72678359390877201</v>
      </c>
      <c r="V1302">
        <v>220</v>
      </c>
      <c r="W1302">
        <v>0.44971381847914998</v>
      </c>
    </row>
    <row r="1303" spans="1:23" hidden="1" x14ac:dyDescent="0.25">
      <c r="A1303" t="s">
        <v>182</v>
      </c>
      <c r="B1303">
        <v>3</v>
      </c>
      <c r="C1303">
        <v>2025</v>
      </c>
      <c r="D1303" t="s">
        <v>104</v>
      </c>
      <c r="E1303" t="s">
        <v>105</v>
      </c>
      <c r="F1303">
        <v>67815</v>
      </c>
      <c r="G1303">
        <v>2981034.85</v>
      </c>
      <c r="H1303">
        <v>303435</v>
      </c>
      <c r="I1303">
        <v>2.5512747923944099</v>
      </c>
      <c r="J1303">
        <v>13228549.390000001</v>
      </c>
      <c r="K1303">
        <v>2.5577200621490799</v>
      </c>
      <c r="L1303">
        <v>185625</v>
      </c>
      <c r="M1303">
        <v>3.1214618177745699</v>
      </c>
      <c r="N1303">
        <v>43.662179771043803</v>
      </c>
      <c r="O1303">
        <v>8104792.1200000001</v>
      </c>
      <c r="P1303">
        <v>3.1340986520175602</v>
      </c>
      <c r="Q1303">
        <v>117810</v>
      </c>
      <c r="R1303">
        <v>1.9810877670142599</v>
      </c>
      <c r="S1303">
        <v>43.4917007894067</v>
      </c>
      <c r="T1303">
        <v>5123757.2699999996</v>
      </c>
      <c r="U1303">
        <v>1.9813414723251701</v>
      </c>
      <c r="V1303">
        <v>3778</v>
      </c>
      <c r="W1303">
        <v>7.7228127555192101</v>
      </c>
    </row>
    <row r="1304" spans="1:23" hidden="1" x14ac:dyDescent="0.25">
      <c r="A1304" t="s">
        <v>182</v>
      </c>
      <c r="B1304">
        <v>3</v>
      </c>
      <c r="C1304">
        <v>2025</v>
      </c>
      <c r="D1304" t="s">
        <v>106</v>
      </c>
      <c r="E1304" t="s">
        <v>107</v>
      </c>
      <c r="F1304">
        <v>-41198</v>
      </c>
      <c r="G1304">
        <v>-1840578.18</v>
      </c>
      <c r="H1304">
        <v>340204</v>
      </c>
      <c r="I1304">
        <v>2.86042773401799</v>
      </c>
      <c r="J1304">
        <v>14752130.9</v>
      </c>
      <c r="K1304">
        <v>2.85230224796245</v>
      </c>
      <c r="L1304">
        <v>149503</v>
      </c>
      <c r="M1304">
        <v>2.5140358580080902</v>
      </c>
      <c r="N1304">
        <v>43.181584048480602</v>
      </c>
      <c r="O1304">
        <v>6455776.3600000003</v>
      </c>
      <c r="P1304">
        <v>2.4964292344616998</v>
      </c>
      <c r="Q1304">
        <v>190701</v>
      </c>
      <c r="R1304">
        <v>3.2068196100278898</v>
      </c>
      <c r="S1304">
        <v>43.504515131016603</v>
      </c>
      <c r="T1304">
        <v>8296354.54</v>
      </c>
      <c r="U1304">
        <v>3.20817526143568</v>
      </c>
      <c r="V1304">
        <v>947</v>
      </c>
      <c r="W1304">
        <v>1.9358135731807</v>
      </c>
    </row>
    <row r="1305" spans="1:23" hidden="1" x14ac:dyDescent="0.25">
      <c r="A1305" t="s">
        <v>182</v>
      </c>
      <c r="B1305">
        <v>3</v>
      </c>
      <c r="C1305">
        <v>2025</v>
      </c>
      <c r="D1305" t="s">
        <v>108</v>
      </c>
      <c r="E1305" t="s">
        <v>109</v>
      </c>
      <c r="F1305">
        <v>1600</v>
      </c>
      <c r="G1305">
        <v>70180.34</v>
      </c>
      <c r="H1305">
        <v>1758</v>
      </c>
      <c r="I1305">
        <v>1.4781225254269901E-2</v>
      </c>
      <c r="J1305">
        <v>76877.960000000006</v>
      </c>
      <c r="K1305">
        <v>1.4864237554099199E-2</v>
      </c>
      <c r="L1305">
        <v>1679</v>
      </c>
      <c r="M1305">
        <v>2.8233989990806702E-2</v>
      </c>
      <c r="N1305">
        <v>43.793418701608097</v>
      </c>
      <c r="O1305">
        <v>73529.149999999994</v>
      </c>
      <c r="P1305">
        <v>2.8433500389273E-2</v>
      </c>
      <c r="Q1305">
        <v>79</v>
      </c>
      <c r="R1305">
        <v>1.32846051773301E-3</v>
      </c>
      <c r="S1305">
        <v>42.39</v>
      </c>
      <c r="T1305">
        <v>3348.81</v>
      </c>
      <c r="U1305">
        <v>1.2949747199748299E-3</v>
      </c>
      <c r="V1305">
        <v>7</v>
      </c>
      <c r="W1305">
        <v>1.4309076042518401E-2</v>
      </c>
    </row>
    <row r="1306" spans="1:23" hidden="1" x14ac:dyDescent="0.25">
      <c r="A1306" t="s">
        <v>182</v>
      </c>
      <c r="B1306">
        <v>3</v>
      </c>
      <c r="C1306">
        <v>2025</v>
      </c>
      <c r="D1306" t="s">
        <v>110</v>
      </c>
      <c r="E1306" t="s">
        <v>111</v>
      </c>
      <c r="F1306">
        <v>37643</v>
      </c>
      <c r="G1306">
        <v>1619630.07</v>
      </c>
      <c r="H1306">
        <v>143043</v>
      </c>
      <c r="I1306">
        <v>1.2027023913802799</v>
      </c>
      <c r="J1306">
        <v>6218154.5300000003</v>
      </c>
      <c r="K1306">
        <v>1.2022707949328799</v>
      </c>
      <c r="L1306">
        <v>90343</v>
      </c>
      <c r="M1306">
        <v>1.5192039057411899</v>
      </c>
      <c r="N1306">
        <v>43.377929668042903</v>
      </c>
      <c r="O1306">
        <v>3918892.3</v>
      </c>
      <c r="P1306">
        <v>1.51542382493976</v>
      </c>
      <c r="Q1306">
        <v>52700</v>
      </c>
      <c r="R1306">
        <v>0.88620087701936501</v>
      </c>
      <c r="S1306">
        <v>43.629264326375697</v>
      </c>
      <c r="T1306">
        <v>2299262.23</v>
      </c>
      <c r="U1306">
        <v>0.88911776495022199</v>
      </c>
      <c r="V1306">
        <v>676</v>
      </c>
      <c r="W1306">
        <v>1.3818479149632099</v>
      </c>
    </row>
    <row r="1307" spans="1:23" hidden="1" x14ac:dyDescent="0.25">
      <c r="A1307" t="s">
        <v>182</v>
      </c>
      <c r="B1307">
        <v>3</v>
      </c>
      <c r="C1307">
        <v>2025</v>
      </c>
      <c r="D1307" t="s">
        <v>112</v>
      </c>
      <c r="E1307" t="s">
        <v>113</v>
      </c>
      <c r="F1307">
        <v>4821</v>
      </c>
      <c r="G1307">
        <v>213179.24</v>
      </c>
      <c r="H1307">
        <v>9281</v>
      </c>
      <c r="I1307">
        <v>7.8034443449874105E-2</v>
      </c>
      <c r="J1307">
        <v>404951.86</v>
      </c>
      <c r="K1307">
        <v>7.8296831042529297E-2</v>
      </c>
      <c r="L1307">
        <v>7051</v>
      </c>
      <c r="M1307">
        <v>0.118569305196652</v>
      </c>
      <c r="N1307">
        <v>43.832867678343497</v>
      </c>
      <c r="O1307">
        <v>309065.55</v>
      </c>
      <c r="P1307">
        <v>0.119514715405195</v>
      </c>
      <c r="Q1307">
        <v>2230</v>
      </c>
      <c r="R1307">
        <v>3.7499581703096502E-2</v>
      </c>
      <c r="S1307">
        <v>42.998345291479801</v>
      </c>
      <c r="T1307">
        <v>95886.31</v>
      </c>
      <c r="U1307">
        <v>3.7078946683051499E-2</v>
      </c>
      <c r="V1307">
        <v>73</v>
      </c>
      <c r="W1307">
        <v>0.149223221586263</v>
      </c>
    </row>
    <row r="1308" spans="1:23" hidden="1" x14ac:dyDescent="0.25">
      <c r="A1308" t="s">
        <v>182</v>
      </c>
      <c r="B1308">
        <v>3</v>
      </c>
      <c r="C1308">
        <v>2025</v>
      </c>
      <c r="D1308" t="s">
        <v>114</v>
      </c>
      <c r="E1308" t="s">
        <v>115</v>
      </c>
      <c r="F1308">
        <v>-5425</v>
      </c>
      <c r="G1308">
        <v>-234527.48</v>
      </c>
      <c r="H1308">
        <v>13721</v>
      </c>
      <c r="I1308">
        <v>0.11536586559376399</v>
      </c>
      <c r="J1308">
        <v>602339.86</v>
      </c>
      <c r="K1308">
        <v>0.116461502976183</v>
      </c>
      <c r="L1308">
        <v>4148</v>
      </c>
      <c r="M1308">
        <v>6.97525851589436E-2</v>
      </c>
      <c r="N1308">
        <v>44.336111378977797</v>
      </c>
      <c r="O1308">
        <v>183906.19</v>
      </c>
      <c r="P1308">
        <v>7.1115968632232504E-2</v>
      </c>
      <c r="Q1308">
        <v>9573</v>
      </c>
      <c r="R1308">
        <v>0.16097914602858401</v>
      </c>
      <c r="S1308">
        <v>43.709774365402701</v>
      </c>
      <c r="T1308">
        <v>418433.67</v>
      </c>
      <c r="U1308">
        <v>0.16180703731662599</v>
      </c>
      <c r="V1308">
        <v>23</v>
      </c>
      <c r="W1308">
        <v>4.7015535568274702E-2</v>
      </c>
    </row>
    <row r="1309" spans="1:23" hidden="1" x14ac:dyDescent="0.25">
      <c r="A1309" t="s">
        <v>182</v>
      </c>
      <c r="B1309">
        <v>3</v>
      </c>
      <c r="C1309">
        <v>2025</v>
      </c>
      <c r="D1309" t="s">
        <v>169</v>
      </c>
      <c r="E1309" t="s">
        <v>170</v>
      </c>
      <c r="F1309">
        <v>4524</v>
      </c>
      <c r="G1309">
        <v>199563.79</v>
      </c>
      <c r="H1309">
        <v>4524</v>
      </c>
      <c r="I1309">
        <v>3.8037692292557899E-2</v>
      </c>
      <c r="J1309">
        <v>199563.79</v>
      </c>
      <c r="K1309">
        <v>3.8585357646799802E-2</v>
      </c>
      <c r="L1309">
        <v>4524</v>
      </c>
      <c r="M1309">
        <v>7.6075384585115896E-2</v>
      </c>
      <c r="N1309">
        <v>44.112243589743599</v>
      </c>
      <c r="O1309">
        <v>199563.79</v>
      </c>
      <c r="P1309">
        <v>7.71707152965838E-2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48</v>
      </c>
      <c r="W1309">
        <v>9.8119378577269004E-2</v>
      </c>
    </row>
    <row r="1310" spans="1:23" hidden="1" x14ac:dyDescent="0.25">
      <c r="A1310" t="s">
        <v>182</v>
      </c>
      <c r="B1310">
        <v>3</v>
      </c>
      <c r="C1310">
        <v>2025</v>
      </c>
      <c r="D1310" t="s">
        <v>163</v>
      </c>
      <c r="E1310" t="s">
        <v>164</v>
      </c>
      <c r="F1310">
        <v>3356</v>
      </c>
      <c r="G1310">
        <v>142944.06</v>
      </c>
      <c r="H1310">
        <v>5176</v>
      </c>
      <c r="I1310">
        <v>4.3519693922696702E-2</v>
      </c>
      <c r="J1310">
        <v>225517.46</v>
      </c>
      <c r="K1310">
        <v>4.3603460576178997E-2</v>
      </c>
      <c r="L1310">
        <v>4266</v>
      </c>
      <c r="M1310">
        <v>7.1736867957582801E-2</v>
      </c>
      <c r="N1310">
        <v>43.185832161275201</v>
      </c>
      <c r="O1310">
        <v>184230.76</v>
      </c>
      <c r="P1310">
        <v>7.1241478871659297E-2</v>
      </c>
      <c r="Q1310">
        <v>910</v>
      </c>
      <c r="R1310">
        <v>1.53025198878107E-2</v>
      </c>
      <c r="S1310">
        <v>45.37</v>
      </c>
      <c r="T1310">
        <v>41286.699999999997</v>
      </c>
      <c r="U1310">
        <v>1.5965442282836199E-2</v>
      </c>
      <c r="V1310">
        <v>30</v>
      </c>
      <c r="W1310">
        <v>6.1324611610793098E-2</v>
      </c>
    </row>
    <row r="1311" spans="1:23" hidden="1" x14ac:dyDescent="0.25">
      <c r="A1311" t="s">
        <v>182</v>
      </c>
      <c r="B1311">
        <v>3</v>
      </c>
      <c r="C1311">
        <v>2025</v>
      </c>
      <c r="D1311" t="s">
        <v>116</v>
      </c>
      <c r="E1311" t="s">
        <v>117</v>
      </c>
      <c r="F1311">
        <v>171995</v>
      </c>
      <c r="G1311">
        <v>7229784.3499999996</v>
      </c>
      <c r="H1311">
        <v>816727</v>
      </c>
      <c r="I1311">
        <v>6.8670226156109599</v>
      </c>
      <c r="J1311">
        <v>35037092.590000004</v>
      </c>
      <c r="K1311">
        <v>6.7743689799095801</v>
      </c>
      <c r="L1311">
        <v>494361</v>
      </c>
      <c r="M1311">
        <v>8.31315278489887</v>
      </c>
      <c r="N1311">
        <v>42.749000163847903</v>
      </c>
      <c r="O1311">
        <v>21133438.469999999</v>
      </c>
      <c r="P1311">
        <v>8.1722368742658205</v>
      </c>
      <c r="Q1311">
        <v>322366</v>
      </c>
      <c r="R1311">
        <v>5.4208924463230499</v>
      </c>
      <c r="S1311">
        <v>43.130026491627497</v>
      </c>
      <c r="T1311">
        <v>13903654.119999999</v>
      </c>
      <c r="U1311">
        <v>5.3765010856614399</v>
      </c>
      <c r="V1311">
        <v>1502</v>
      </c>
      <c r="W1311">
        <v>3.0703188879803802</v>
      </c>
    </row>
    <row r="1312" spans="1:23" hidden="1" x14ac:dyDescent="0.25">
      <c r="A1312" t="s">
        <v>182</v>
      </c>
      <c r="B1312">
        <v>3</v>
      </c>
      <c r="C1312">
        <v>2025</v>
      </c>
      <c r="D1312" t="s">
        <v>118</v>
      </c>
      <c r="E1312" t="s">
        <v>119</v>
      </c>
      <c r="F1312">
        <v>44046</v>
      </c>
      <c r="G1312">
        <v>1907900.39</v>
      </c>
      <c r="H1312">
        <v>166740</v>
      </c>
      <c r="I1312">
        <v>1.40194624510635</v>
      </c>
      <c r="J1312">
        <v>7236367.6699999999</v>
      </c>
      <c r="K1312">
        <v>1.39914076902774</v>
      </c>
      <c r="L1312">
        <v>105393</v>
      </c>
      <c r="M1312">
        <v>1.7722840423472901</v>
      </c>
      <c r="N1312">
        <v>43.381761881718901</v>
      </c>
      <c r="O1312">
        <v>4572134.03</v>
      </c>
      <c r="P1312">
        <v>1.7680304304050001</v>
      </c>
      <c r="Q1312">
        <v>61347</v>
      </c>
      <c r="R1312">
        <v>1.0316084478654099</v>
      </c>
      <c r="S1312">
        <v>43.428914861362401</v>
      </c>
      <c r="T1312">
        <v>2664233.64</v>
      </c>
      <c r="U1312">
        <v>1.030251107679</v>
      </c>
      <c r="V1312">
        <v>814</v>
      </c>
      <c r="W1312">
        <v>1.66394112837285</v>
      </c>
    </row>
    <row r="1313" spans="1:23" hidden="1" x14ac:dyDescent="0.25">
      <c r="A1313" t="s">
        <v>182</v>
      </c>
      <c r="B1313">
        <v>3</v>
      </c>
      <c r="C1313">
        <v>2025</v>
      </c>
      <c r="D1313" t="s">
        <v>120</v>
      </c>
      <c r="E1313" t="s">
        <v>121</v>
      </c>
      <c r="F1313">
        <v>-14242</v>
      </c>
      <c r="G1313">
        <v>-615697.41</v>
      </c>
      <c r="H1313">
        <v>37520</v>
      </c>
      <c r="I1313">
        <v>0.31546733307178898</v>
      </c>
      <c r="J1313">
        <v>1627547.67</v>
      </c>
      <c r="K1313">
        <v>0.314683885960302</v>
      </c>
      <c r="L1313">
        <v>11639</v>
      </c>
      <c r="M1313">
        <v>0.195720910960691</v>
      </c>
      <c r="N1313">
        <v>43.468092619640899</v>
      </c>
      <c r="O1313">
        <v>505925.13</v>
      </c>
      <c r="P1313">
        <v>0.195639720856259</v>
      </c>
      <c r="Q1313">
        <v>25881</v>
      </c>
      <c r="R1313">
        <v>0.43521375518288802</v>
      </c>
      <c r="S1313">
        <v>43.337681696997798</v>
      </c>
      <c r="T1313">
        <v>1121622.54</v>
      </c>
      <c r="U1313">
        <v>0.43372805105513801</v>
      </c>
      <c r="V1313">
        <v>121</v>
      </c>
      <c r="W1313">
        <v>0.24734260016353199</v>
      </c>
    </row>
    <row r="1314" spans="1:23" hidden="1" x14ac:dyDescent="0.25">
      <c r="A1314" t="s">
        <v>182</v>
      </c>
      <c r="B1314">
        <v>3</v>
      </c>
      <c r="C1314">
        <v>2025</v>
      </c>
      <c r="D1314" t="s">
        <v>122</v>
      </c>
      <c r="E1314" t="s">
        <v>123</v>
      </c>
      <c r="F1314">
        <v>-20306</v>
      </c>
      <c r="G1314">
        <v>-872477.17000001296</v>
      </c>
      <c r="H1314">
        <v>1487570</v>
      </c>
      <c r="I1314">
        <v>12.5074557744563</v>
      </c>
      <c r="J1314">
        <v>64485285.149999999</v>
      </c>
      <c r="K1314">
        <v>12.4681325728912</v>
      </c>
      <c r="L1314">
        <v>733632</v>
      </c>
      <c r="M1314">
        <v>12.3367233739938</v>
      </c>
      <c r="N1314">
        <v>43.354711885523002</v>
      </c>
      <c r="O1314">
        <v>31806403.989999998</v>
      </c>
      <c r="P1314">
        <v>12.299440429150099</v>
      </c>
      <c r="Q1314">
        <v>753938</v>
      </c>
      <c r="R1314">
        <v>12.678188174918899</v>
      </c>
      <c r="S1314">
        <v>43.344255310118399</v>
      </c>
      <c r="T1314">
        <v>32678881.16</v>
      </c>
      <c r="U1314">
        <v>12.6368247166193</v>
      </c>
      <c r="V1314">
        <v>8477</v>
      </c>
      <c r="W1314">
        <v>17.328291087489799</v>
      </c>
    </row>
    <row r="1315" spans="1:23" hidden="1" x14ac:dyDescent="0.25">
      <c r="A1315" t="s">
        <v>182</v>
      </c>
      <c r="B1315">
        <v>3</v>
      </c>
      <c r="C1315">
        <v>2025</v>
      </c>
      <c r="D1315" t="s">
        <v>124</v>
      </c>
      <c r="E1315" t="s">
        <v>125</v>
      </c>
      <c r="F1315">
        <v>50455</v>
      </c>
      <c r="G1315">
        <v>2222047.2400000002</v>
      </c>
      <c r="H1315">
        <v>50955</v>
      </c>
      <c r="I1315">
        <v>0.428428516968897</v>
      </c>
      <c r="J1315">
        <v>2244162.2400000002</v>
      </c>
      <c r="K1315">
        <v>0.43390538257388001</v>
      </c>
      <c r="L1315">
        <v>50705</v>
      </c>
      <c r="M1315">
        <v>0.85265304495762595</v>
      </c>
      <c r="N1315">
        <v>44.041115077408499</v>
      </c>
      <c r="O1315">
        <v>2233104.7400000002</v>
      </c>
      <c r="P1315">
        <v>0.86353486330356699</v>
      </c>
      <c r="Q1315">
        <v>250</v>
      </c>
      <c r="R1315">
        <v>4.2039889801677704E-3</v>
      </c>
      <c r="S1315">
        <v>44.23</v>
      </c>
      <c r="T1315">
        <v>11057.5</v>
      </c>
      <c r="U1315">
        <v>4.2759018774196503E-3</v>
      </c>
      <c r="V1315">
        <v>128</v>
      </c>
      <c r="W1315">
        <v>0.26165167620605101</v>
      </c>
    </row>
    <row r="1316" spans="1:23" hidden="1" x14ac:dyDescent="0.25">
      <c r="A1316" t="s">
        <v>182</v>
      </c>
      <c r="B1316">
        <v>3</v>
      </c>
      <c r="C1316">
        <v>2025</v>
      </c>
      <c r="D1316" t="s">
        <v>126</v>
      </c>
      <c r="E1316" t="s">
        <v>127</v>
      </c>
      <c r="F1316">
        <v>47568</v>
      </c>
      <c r="G1316">
        <v>2064199.19</v>
      </c>
      <c r="H1316">
        <v>71958</v>
      </c>
      <c r="I1316">
        <v>0.60502127806982398</v>
      </c>
      <c r="J1316">
        <v>3111070.67</v>
      </c>
      <c r="K1316">
        <v>0.60152081931506296</v>
      </c>
      <c r="L1316">
        <v>59763</v>
      </c>
      <c r="M1316">
        <v>1.0049719736870599</v>
      </c>
      <c r="N1316">
        <v>43.298277027592299</v>
      </c>
      <c r="O1316">
        <v>2587634.9300000002</v>
      </c>
      <c r="P1316">
        <v>1.0006306177815401</v>
      </c>
      <c r="Q1316">
        <v>12195</v>
      </c>
      <c r="R1316">
        <v>0.205070582452584</v>
      </c>
      <c r="S1316">
        <v>42.922159901599002</v>
      </c>
      <c r="T1316">
        <v>523435.74</v>
      </c>
      <c r="U1316">
        <v>0.20241102087945201</v>
      </c>
      <c r="V1316">
        <v>677</v>
      </c>
      <c r="W1316">
        <v>1.3838920686835601</v>
      </c>
    </row>
    <row r="1317" spans="1:23" hidden="1" x14ac:dyDescent="0.25">
      <c r="A1317" t="s">
        <v>182</v>
      </c>
      <c r="B1317">
        <v>3</v>
      </c>
      <c r="C1317">
        <v>2025</v>
      </c>
      <c r="D1317" t="s">
        <v>128</v>
      </c>
      <c r="E1317" t="s">
        <v>129</v>
      </c>
      <c r="F1317">
        <v>-6647</v>
      </c>
      <c r="G1317">
        <v>-289286.63</v>
      </c>
      <c r="H1317">
        <v>8391</v>
      </c>
      <c r="I1317">
        <v>7.0551343065175506E-2</v>
      </c>
      <c r="J1317">
        <v>368379.23</v>
      </c>
      <c r="K1317">
        <v>7.1225568221583296E-2</v>
      </c>
      <c r="L1317">
        <v>872</v>
      </c>
      <c r="M1317">
        <v>1.4663513562825199E-2</v>
      </c>
      <c r="N1317">
        <v>45.351261467889898</v>
      </c>
      <c r="O1317">
        <v>39546.300000000003</v>
      </c>
      <c r="P1317">
        <v>1.5292434856710699E-2</v>
      </c>
      <c r="Q1317">
        <v>7519</v>
      </c>
      <c r="R1317">
        <v>0.12643917256752599</v>
      </c>
      <c r="S1317">
        <v>43.733598882830201</v>
      </c>
      <c r="T1317">
        <v>328832.93</v>
      </c>
      <c r="U1317">
        <v>0.12715870158213</v>
      </c>
      <c r="V1317">
        <v>45</v>
      </c>
      <c r="W1317">
        <v>9.1986917416189695E-2</v>
      </c>
    </row>
    <row r="1318" spans="1:23" hidden="1" x14ac:dyDescent="0.25">
      <c r="A1318" t="s">
        <v>182</v>
      </c>
      <c r="B1318">
        <v>3</v>
      </c>
      <c r="C1318">
        <v>2025</v>
      </c>
      <c r="D1318" t="s">
        <v>175</v>
      </c>
      <c r="E1318" t="s">
        <v>176</v>
      </c>
      <c r="F1318">
        <v>-15092</v>
      </c>
      <c r="G1318">
        <v>-643507.21</v>
      </c>
      <c r="H1318">
        <v>21202</v>
      </c>
      <c r="I1318">
        <v>0.17826594871503401</v>
      </c>
      <c r="J1318">
        <v>911489.37</v>
      </c>
      <c r="K1318">
        <v>0.17623509421576999</v>
      </c>
      <c r="L1318">
        <v>3055</v>
      </c>
      <c r="M1318">
        <v>5.13727453376501E-2</v>
      </c>
      <c r="N1318">
        <v>43.859600654664497</v>
      </c>
      <c r="O1318">
        <v>133991.07999999999</v>
      </c>
      <c r="P1318">
        <v>5.18139462422606E-2</v>
      </c>
      <c r="Q1318">
        <v>18147</v>
      </c>
      <c r="R1318">
        <v>0.30515915209241801</v>
      </c>
      <c r="S1318">
        <v>42.844453077643699</v>
      </c>
      <c r="T1318">
        <v>777498.29</v>
      </c>
      <c r="U1318">
        <v>0.30065624217965797</v>
      </c>
      <c r="V1318">
        <v>83</v>
      </c>
      <c r="W1318">
        <v>0.16966475878986101</v>
      </c>
    </row>
    <row r="1319" spans="1:23" hidden="1" x14ac:dyDescent="0.25">
      <c r="A1319" t="s">
        <v>182</v>
      </c>
      <c r="B1319">
        <v>3</v>
      </c>
      <c r="C1319">
        <v>2025</v>
      </c>
      <c r="D1319" t="s">
        <v>130</v>
      </c>
      <c r="E1319" t="s">
        <v>131</v>
      </c>
      <c r="F1319">
        <v>-112670</v>
      </c>
      <c r="G1319">
        <v>-4864370.37</v>
      </c>
      <c r="H1319">
        <v>418374</v>
      </c>
      <c r="I1319">
        <v>3.5176793711774201</v>
      </c>
      <c r="J1319">
        <v>18195190.989999998</v>
      </c>
      <c r="K1319">
        <v>3.5180127206492702</v>
      </c>
      <c r="L1319">
        <v>152852</v>
      </c>
      <c r="M1319">
        <v>2.5703524943864098</v>
      </c>
      <c r="N1319">
        <v>43.606955159239</v>
      </c>
      <c r="O1319">
        <v>6665410.3099999996</v>
      </c>
      <c r="P1319">
        <v>2.57749405023789</v>
      </c>
      <c r="Q1319">
        <v>265522</v>
      </c>
      <c r="R1319">
        <v>4.4650062479684198</v>
      </c>
      <c r="S1319">
        <v>43.423071082622101</v>
      </c>
      <c r="T1319">
        <v>11529780.68</v>
      </c>
      <c r="U1319">
        <v>4.4585313909878996</v>
      </c>
      <c r="V1319">
        <v>1498</v>
      </c>
      <c r="W1319">
        <v>3.06214227309894</v>
      </c>
    </row>
    <row r="1320" spans="1:23" hidden="1" x14ac:dyDescent="0.25">
      <c r="A1320" t="s">
        <v>182</v>
      </c>
      <c r="B1320">
        <v>3</v>
      </c>
      <c r="C1320">
        <v>2025</v>
      </c>
      <c r="D1320" t="s">
        <v>132</v>
      </c>
      <c r="E1320" t="s">
        <v>133</v>
      </c>
      <c r="F1320">
        <v>2010</v>
      </c>
      <c r="G1320">
        <v>94892.349999999904</v>
      </c>
      <c r="H1320">
        <v>35812</v>
      </c>
      <c r="I1320">
        <v>0.30110650671553602</v>
      </c>
      <c r="J1320">
        <v>1544902.21</v>
      </c>
      <c r="K1320">
        <v>0.29870451098459</v>
      </c>
      <c r="L1320">
        <v>18911</v>
      </c>
      <c r="M1320">
        <v>0.318006542415811</v>
      </c>
      <c r="N1320">
        <v>43.355575062133099</v>
      </c>
      <c r="O1320">
        <v>819897.28</v>
      </c>
      <c r="P1320">
        <v>0.317051803673018</v>
      </c>
      <c r="Q1320">
        <v>16901</v>
      </c>
      <c r="R1320">
        <v>0.28420647101526197</v>
      </c>
      <c r="S1320">
        <v>42.8971617064079</v>
      </c>
      <c r="T1320">
        <v>725004.93</v>
      </c>
      <c r="U1320">
        <v>0.28035721829758098</v>
      </c>
      <c r="V1320">
        <v>363</v>
      </c>
      <c r="W1320">
        <v>0.74202780049059702</v>
      </c>
    </row>
    <row r="1321" spans="1:23" hidden="1" x14ac:dyDescent="0.25">
      <c r="A1321" t="s">
        <v>182</v>
      </c>
      <c r="B1321">
        <v>3</v>
      </c>
      <c r="C1321">
        <v>2025</v>
      </c>
      <c r="D1321" t="s">
        <v>134</v>
      </c>
      <c r="E1321" t="s">
        <v>135</v>
      </c>
      <c r="F1321">
        <v>9176</v>
      </c>
      <c r="G1321">
        <v>389273.28</v>
      </c>
      <c r="H1321">
        <v>49298</v>
      </c>
      <c r="I1321">
        <v>0.414496497488621</v>
      </c>
      <c r="J1321">
        <v>2148370.16</v>
      </c>
      <c r="K1321">
        <v>0.41538412845993999</v>
      </c>
      <c r="L1321">
        <v>29237</v>
      </c>
      <c r="M1321">
        <v>0.49164810325266001</v>
      </c>
      <c r="N1321">
        <v>43.397808256661101</v>
      </c>
      <c r="O1321">
        <v>1268821.72</v>
      </c>
      <c r="P1321">
        <v>0.49064952973804399</v>
      </c>
      <c r="Q1321">
        <v>20061</v>
      </c>
      <c r="R1321">
        <v>0.33734489172458199</v>
      </c>
      <c r="S1321">
        <v>43.843698718907298</v>
      </c>
      <c r="T1321">
        <v>879548.44</v>
      </c>
      <c r="U1321">
        <v>0.34011872718765701</v>
      </c>
      <c r="V1321">
        <v>185</v>
      </c>
      <c r="W1321">
        <v>0.37816843826655799</v>
      </c>
    </row>
    <row r="1322" spans="1:23" hidden="1" x14ac:dyDescent="0.25">
      <c r="A1322" t="s">
        <v>182</v>
      </c>
      <c r="B1322">
        <v>3</v>
      </c>
      <c r="C1322">
        <v>2025</v>
      </c>
      <c r="D1322" t="s">
        <v>136</v>
      </c>
      <c r="E1322" t="s">
        <v>137</v>
      </c>
      <c r="F1322">
        <v>13864</v>
      </c>
      <c r="G1322">
        <v>602706.23</v>
      </c>
      <c r="H1322">
        <v>55054</v>
      </c>
      <c r="I1322">
        <v>0.462892818628312</v>
      </c>
      <c r="J1322">
        <v>2411808.79</v>
      </c>
      <c r="K1322">
        <v>0.46631959003106499</v>
      </c>
      <c r="L1322">
        <v>34459</v>
      </c>
      <c r="M1322">
        <v>0.57946102507040398</v>
      </c>
      <c r="N1322">
        <v>43.740605066891099</v>
      </c>
      <c r="O1322">
        <v>1507257.51</v>
      </c>
      <c r="P1322">
        <v>0.582851930116419</v>
      </c>
      <c r="Q1322">
        <v>20595</v>
      </c>
      <c r="R1322">
        <v>0.34632461218622101</v>
      </c>
      <c r="S1322">
        <v>43.920916727361003</v>
      </c>
      <c r="T1322">
        <v>904551.28</v>
      </c>
      <c r="U1322">
        <v>0.34978724995472199</v>
      </c>
      <c r="V1322">
        <v>170</v>
      </c>
      <c r="W1322">
        <v>0.34750613246116102</v>
      </c>
    </row>
    <row r="1323" spans="1:23" hidden="1" x14ac:dyDescent="0.25">
      <c r="A1323" t="s">
        <v>182</v>
      </c>
      <c r="B1323">
        <v>3</v>
      </c>
      <c r="C1323">
        <v>2025</v>
      </c>
      <c r="D1323" t="s">
        <v>138</v>
      </c>
      <c r="E1323" t="s">
        <v>139</v>
      </c>
      <c r="F1323">
        <v>75867</v>
      </c>
      <c r="G1323">
        <v>3299713.78</v>
      </c>
      <c r="H1323">
        <v>106893</v>
      </c>
      <c r="I1323">
        <v>0.89875398811414597</v>
      </c>
      <c r="J1323">
        <v>4642709.34</v>
      </c>
      <c r="K1323">
        <v>0.89766084485586195</v>
      </c>
      <c r="L1323">
        <v>91380</v>
      </c>
      <c r="M1323">
        <v>1.5366420520309201</v>
      </c>
      <c r="N1323">
        <v>43.458213613482201</v>
      </c>
      <c r="O1323">
        <v>3971211.56</v>
      </c>
      <c r="P1323">
        <v>1.5356555248788499</v>
      </c>
      <c r="Q1323">
        <v>15513</v>
      </c>
      <c r="R1323">
        <v>0.26086592419736998</v>
      </c>
      <c r="S1323">
        <v>43.286132920776097</v>
      </c>
      <c r="T1323">
        <v>671497.78</v>
      </c>
      <c r="U1323">
        <v>0.259666164882218</v>
      </c>
      <c r="V1323">
        <v>191</v>
      </c>
      <c r="W1323">
        <v>0.39043336058871603</v>
      </c>
    </row>
    <row r="1324" spans="1:23" hidden="1" x14ac:dyDescent="0.25">
      <c r="A1324" t="s">
        <v>182</v>
      </c>
      <c r="B1324">
        <v>3</v>
      </c>
      <c r="C1324">
        <v>2025</v>
      </c>
      <c r="D1324" t="s">
        <v>140</v>
      </c>
      <c r="E1324" t="s">
        <v>141</v>
      </c>
      <c r="F1324">
        <v>7385</v>
      </c>
      <c r="G1324">
        <v>314505.7</v>
      </c>
      <c r="H1324">
        <v>7679</v>
      </c>
      <c r="I1324">
        <v>6.4564862757416602E-2</v>
      </c>
      <c r="J1324">
        <v>327000.7</v>
      </c>
      <c r="K1324">
        <v>6.32250918879316E-2</v>
      </c>
      <c r="L1324">
        <v>7532</v>
      </c>
      <c r="M1324">
        <v>0.12665777999449401</v>
      </c>
      <c r="N1324">
        <v>42.585395645246898</v>
      </c>
      <c r="O1324">
        <v>320753.2</v>
      </c>
      <c r="P1324">
        <v>0.12403429438611201</v>
      </c>
      <c r="Q1324">
        <v>147</v>
      </c>
      <c r="R1324">
        <v>2.4719455203386499E-3</v>
      </c>
      <c r="S1324">
        <v>42.5</v>
      </c>
      <c r="T1324">
        <v>6247.5</v>
      </c>
      <c r="U1324">
        <v>2.4158893944543698E-3</v>
      </c>
      <c r="V1324">
        <v>4</v>
      </c>
      <c r="W1324">
        <v>8.1766148814390802E-3</v>
      </c>
    </row>
    <row r="1325" spans="1:23" hidden="1" x14ac:dyDescent="0.25">
      <c r="A1325" t="s">
        <v>182</v>
      </c>
      <c r="B1325">
        <v>3</v>
      </c>
      <c r="C1325">
        <v>2025</v>
      </c>
      <c r="D1325" t="s">
        <v>142</v>
      </c>
      <c r="E1325" t="s">
        <v>143</v>
      </c>
      <c r="F1325">
        <v>285765</v>
      </c>
      <c r="G1325">
        <v>12480271.82</v>
      </c>
      <c r="H1325">
        <v>610369</v>
      </c>
      <c r="I1325">
        <v>5.1319690996720402</v>
      </c>
      <c r="J1325">
        <v>26663051.440000001</v>
      </c>
      <c r="K1325">
        <v>5.1552607603183898</v>
      </c>
      <c r="L1325">
        <v>448067</v>
      </c>
      <c r="M1325">
        <v>7.5346749215073201</v>
      </c>
      <c r="N1325">
        <v>43.680212178089398</v>
      </c>
      <c r="O1325">
        <v>19571661.629999999</v>
      </c>
      <c r="P1325">
        <v>7.5683024837812596</v>
      </c>
      <c r="Q1325">
        <v>162302</v>
      </c>
      <c r="R1325">
        <v>2.7292632778367598</v>
      </c>
      <c r="S1325">
        <v>43.692559611095398</v>
      </c>
      <c r="T1325">
        <v>7091389.8099999996</v>
      </c>
      <c r="U1325">
        <v>2.7422190370421502</v>
      </c>
      <c r="V1325">
        <v>3968</v>
      </c>
      <c r="W1325">
        <v>8.11120196238757</v>
      </c>
    </row>
    <row r="1326" spans="1:23" hidden="1" x14ac:dyDescent="0.25">
      <c r="A1326" t="s">
        <v>182</v>
      </c>
      <c r="B1326">
        <v>3</v>
      </c>
      <c r="C1326">
        <v>2025</v>
      </c>
      <c r="D1326" t="s">
        <v>144</v>
      </c>
      <c r="E1326" t="s">
        <v>145</v>
      </c>
      <c r="F1326">
        <v>-296645</v>
      </c>
      <c r="G1326">
        <v>-12913556.08</v>
      </c>
      <c r="H1326">
        <v>1100153</v>
      </c>
      <c r="I1326">
        <v>9.2500621769970195</v>
      </c>
      <c r="J1326">
        <v>48132525.340000004</v>
      </c>
      <c r="K1326">
        <v>9.3063511405929606</v>
      </c>
      <c r="L1326">
        <v>401754</v>
      </c>
      <c r="M1326">
        <v>6.7558775549532797</v>
      </c>
      <c r="N1326">
        <v>43.831510401887698</v>
      </c>
      <c r="O1326">
        <v>17609484.629999999</v>
      </c>
      <c r="P1326">
        <v>6.8095345598582702</v>
      </c>
      <c r="Q1326">
        <v>698399</v>
      </c>
      <c r="R1326">
        <v>11.7442467990408</v>
      </c>
      <c r="S1326">
        <v>43.704301853238597</v>
      </c>
      <c r="T1326">
        <v>30523040.710000001</v>
      </c>
      <c r="U1326">
        <v>11.803167721134599</v>
      </c>
      <c r="V1326">
        <v>2307</v>
      </c>
      <c r="W1326">
        <v>4.7158626328699897</v>
      </c>
    </row>
    <row r="1327" spans="1:23" hidden="1" x14ac:dyDescent="0.25">
      <c r="A1327" t="s">
        <v>182</v>
      </c>
      <c r="B1327">
        <v>3</v>
      </c>
      <c r="C1327">
        <v>2025</v>
      </c>
      <c r="D1327" t="s">
        <v>146</v>
      </c>
      <c r="E1327" t="s">
        <v>147</v>
      </c>
      <c r="F1327">
        <v>37433</v>
      </c>
      <c r="G1327">
        <v>1655583.75</v>
      </c>
      <c r="H1327">
        <v>154897</v>
      </c>
      <c r="I1327">
        <v>1.30237056212209</v>
      </c>
      <c r="J1327">
        <v>6756149.0700000003</v>
      </c>
      <c r="K1327">
        <v>1.30629122738671</v>
      </c>
      <c r="L1327">
        <v>96165</v>
      </c>
      <c r="M1327">
        <v>1.6171064011113301</v>
      </c>
      <c r="N1327">
        <v>43.7359372952737</v>
      </c>
      <c r="O1327">
        <v>4205866.41</v>
      </c>
      <c r="P1327">
        <v>1.6263958471703499</v>
      </c>
      <c r="Q1327">
        <v>58732</v>
      </c>
      <c r="R1327">
        <v>0.98763472313285305</v>
      </c>
      <c r="S1327">
        <v>43.4223704283866</v>
      </c>
      <c r="T1327">
        <v>2550282.66</v>
      </c>
      <c r="U1327">
        <v>0.98618660762783295</v>
      </c>
      <c r="V1327">
        <v>566</v>
      </c>
      <c r="W1327">
        <v>1.1569910057236299</v>
      </c>
    </row>
    <row r="1328" spans="1:23" x14ac:dyDescent="0.25">
      <c r="A1328" t="s">
        <v>182</v>
      </c>
      <c r="B1328">
        <v>3</v>
      </c>
      <c r="C1328">
        <v>2025</v>
      </c>
      <c r="D1328" t="s">
        <v>148</v>
      </c>
      <c r="E1328" t="s">
        <v>148</v>
      </c>
      <c r="F1328">
        <v>0</v>
      </c>
      <c r="G1328">
        <v>-2.0000045489723599E-2</v>
      </c>
      <c r="H1328">
        <v>11893466</v>
      </c>
      <c r="I1328">
        <v>0</v>
      </c>
      <c r="J1328">
        <v>517200829.98000002</v>
      </c>
      <c r="K1328">
        <v>0</v>
      </c>
      <c r="L1328">
        <v>5946733</v>
      </c>
      <c r="M1328">
        <v>100</v>
      </c>
      <c r="N1328">
        <v>43.598882657239201</v>
      </c>
      <c r="O1328">
        <v>258600414.97999999</v>
      </c>
      <c r="P1328">
        <v>100</v>
      </c>
      <c r="Q1328">
        <v>5946733</v>
      </c>
      <c r="R1328">
        <v>100</v>
      </c>
      <c r="S1328">
        <v>43.498107960211598</v>
      </c>
      <c r="T1328">
        <v>258600415</v>
      </c>
      <c r="U1328">
        <v>100</v>
      </c>
      <c r="V1328">
        <v>48920</v>
      </c>
      <c r="W1328">
        <v>100</v>
      </c>
    </row>
    <row r="1329" spans="1:23" hidden="1" x14ac:dyDescent="0.25">
      <c r="A1329" t="s">
        <v>182</v>
      </c>
      <c r="B1329">
        <v>3</v>
      </c>
      <c r="C1329">
        <v>2025</v>
      </c>
      <c r="D1329" t="s">
        <v>149</v>
      </c>
      <c r="E1329" t="s">
        <v>150</v>
      </c>
      <c r="F1329">
        <v>176705</v>
      </c>
      <c r="G1329">
        <v>7766778.7699999902</v>
      </c>
      <c r="H1329">
        <v>1079845</v>
      </c>
      <c r="I1329">
        <v>9.0793129605785197</v>
      </c>
      <c r="J1329">
        <v>46941580.729999997</v>
      </c>
      <c r="K1329">
        <v>9.0760837974322701</v>
      </c>
      <c r="L1329">
        <v>628275</v>
      </c>
      <c r="M1329">
        <v>10.5650447060596</v>
      </c>
      <c r="N1329">
        <v>43.538545620946202</v>
      </c>
      <c r="O1329">
        <v>27354179.75</v>
      </c>
      <c r="P1329">
        <v>10.577778752642599</v>
      </c>
      <c r="Q1329">
        <v>451570</v>
      </c>
      <c r="R1329">
        <v>7.59358121509743</v>
      </c>
      <c r="S1329">
        <v>43.376222911176598</v>
      </c>
      <c r="T1329">
        <v>19587400.98</v>
      </c>
      <c r="U1329">
        <v>7.5743888423380898</v>
      </c>
      <c r="V1329">
        <v>5177</v>
      </c>
      <c r="W1329">
        <v>10.5825838103025</v>
      </c>
    </row>
    <row r="1330" spans="1:23" hidden="1" x14ac:dyDescent="0.25">
      <c r="A1330" t="s">
        <v>182</v>
      </c>
      <c r="B1330">
        <v>3</v>
      </c>
      <c r="C1330">
        <v>2025</v>
      </c>
      <c r="D1330" t="s">
        <v>183</v>
      </c>
      <c r="E1330" t="s">
        <v>184</v>
      </c>
      <c r="F1330">
        <v>-18300</v>
      </c>
      <c r="G1330">
        <v>-786926.07</v>
      </c>
      <c r="H1330">
        <v>23700</v>
      </c>
      <c r="I1330">
        <v>0.199269077659952</v>
      </c>
      <c r="J1330">
        <v>1030951.55</v>
      </c>
      <c r="K1330">
        <v>0.19933292644558701</v>
      </c>
      <c r="L1330">
        <v>2700</v>
      </c>
      <c r="M1330">
        <v>4.5403080985811903E-2</v>
      </c>
      <c r="N1330">
        <v>45.189903703703699</v>
      </c>
      <c r="O1330">
        <v>122012.74</v>
      </c>
      <c r="P1330">
        <v>4.71819583156649E-2</v>
      </c>
      <c r="Q1330">
        <v>21000</v>
      </c>
      <c r="R1330">
        <v>0.35313507433409203</v>
      </c>
      <c r="S1330">
        <v>43.282800476190502</v>
      </c>
      <c r="T1330">
        <v>908938.81</v>
      </c>
      <c r="U1330">
        <v>0.35148389456374202</v>
      </c>
      <c r="V1330">
        <v>26</v>
      </c>
      <c r="W1330">
        <v>5.3147996729353997E-2</v>
      </c>
    </row>
    <row r="1331" spans="1:23" hidden="1" x14ac:dyDescent="0.25">
      <c r="A1331" t="s">
        <v>182</v>
      </c>
      <c r="B1331">
        <v>3</v>
      </c>
      <c r="C1331">
        <v>2025</v>
      </c>
      <c r="D1331" t="s">
        <v>151</v>
      </c>
      <c r="E1331" t="s">
        <v>152</v>
      </c>
      <c r="F1331">
        <v>-124547</v>
      </c>
      <c r="G1331">
        <v>-5341570.97000001</v>
      </c>
      <c r="H1331">
        <v>1279073</v>
      </c>
      <c r="I1331">
        <v>10.7544175936602</v>
      </c>
      <c r="J1331">
        <v>55485363.530000001</v>
      </c>
      <c r="K1331">
        <v>10.728011308904</v>
      </c>
      <c r="L1331">
        <v>577263</v>
      </c>
      <c r="M1331">
        <v>9.7072291626343397</v>
      </c>
      <c r="N1331">
        <v>43.432363203600403</v>
      </c>
      <c r="O1331">
        <v>25071896.280000001</v>
      </c>
      <c r="P1331">
        <v>9.6952266228725996</v>
      </c>
      <c r="Q1331">
        <v>701810</v>
      </c>
      <c r="R1331">
        <v>11.801606024686199</v>
      </c>
      <c r="S1331">
        <v>43.335756472549598</v>
      </c>
      <c r="T1331">
        <v>30413467.25</v>
      </c>
      <c r="U1331">
        <v>11.7607959948556</v>
      </c>
      <c r="V1331">
        <v>3201</v>
      </c>
      <c r="W1331">
        <v>6.5433360588716303</v>
      </c>
    </row>
    <row r="1332" spans="1:23" hidden="1" x14ac:dyDescent="0.25">
      <c r="A1332" t="s">
        <v>182</v>
      </c>
      <c r="B1332">
        <v>3</v>
      </c>
      <c r="C1332">
        <v>2025</v>
      </c>
      <c r="D1332" t="s">
        <v>153</v>
      </c>
      <c r="E1332" t="s">
        <v>154</v>
      </c>
      <c r="F1332">
        <v>3994</v>
      </c>
      <c r="G1332">
        <v>175223.93</v>
      </c>
      <c r="H1332">
        <v>7158</v>
      </c>
      <c r="I1332">
        <v>6.0184306240081697E-2</v>
      </c>
      <c r="J1332">
        <v>314617.01</v>
      </c>
      <c r="K1332">
        <v>6.0830724113912597E-2</v>
      </c>
      <c r="L1332">
        <v>5576</v>
      </c>
      <c r="M1332">
        <v>9.3765770213661906E-2</v>
      </c>
      <c r="N1332">
        <v>43.924044117647099</v>
      </c>
      <c r="O1332">
        <v>244920.47</v>
      </c>
      <c r="P1332">
        <v>9.4710006563192103E-2</v>
      </c>
      <c r="Q1332">
        <v>1582</v>
      </c>
      <c r="R1332">
        <v>2.66028422665016E-2</v>
      </c>
      <c r="S1332">
        <v>44.055967130214903</v>
      </c>
      <c r="T1332">
        <v>69696.539999999994</v>
      </c>
      <c r="U1332">
        <v>2.6951441667253301E-2</v>
      </c>
      <c r="V1332">
        <v>215</v>
      </c>
      <c r="W1332">
        <v>0.43949304987735099</v>
      </c>
    </row>
    <row r="1333" spans="1:23" hidden="1" x14ac:dyDescent="0.25">
      <c r="A1333" t="s">
        <v>182</v>
      </c>
      <c r="B1333">
        <v>3</v>
      </c>
      <c r="C1333">
        <v>2025</v>
      </c>
      <c r="D1333" t="s">
        <v>155</v>
      </c>
      <c r="E1333" t="s">
        <v>156</v>
      </c>
      <c r="F1333">
        <v>11099</v>
      </c>
      <c r="G1333">
        <v>480055.84</v>
      </c>
      <c r="H1333">
        <v>14143</v>
      </c>
      <c r="I1333">
        <v>0.118914032293025</v>
      </c>
      <c r="J1333">
        <v>613591.26</v>
      </c>
      <c r="K1333">
        <v>0.118636944187373</v>
      </c>
      <c r="L1333">
        <v>12621</v>
      </c>
      <c r="M1333">
        <v>0.212234179674789</v>
      </c>
      <c r="N1333">
        <v>43.326483638380502</v>
      </c>
      <c r="O1333">
        <v>546823.55000000005</v>
      </c>
      <c r="P1333">
        <v>0.211455016436184</v>
      </c>
      <c r="Q1333">
        <v>1522</v>
      </c>
      <c r="R1333">
        <v>2.55938849112614E-2</v>
      </c>
      <c r="S1333">
        <v>43.8684034165572</v>
      </c>
      <c r="T1333">
        <v>66767.710000000006</v>
      </c>
      <c r="U1333">
        <v>2.5818871945739098E-2</v>
      </c>
      <c r="V1333">
        <v>30</v>
      </c>
      <c r="W1333">
        <v>6.1324611610793098E-2</v>
      </c>
    </row>
    <row r="1334" spans="1:23" hidden="1" x14ac:dyDescent="0.25">
      <c r="A1334" t="s">
        <v>182</v>
      </c>
      <c r="B1334">
        <v>4</v>
      </c>
      <c r="C1334">
        <v>2025</v>
      </c>
      <c r="D1334" t="s">
        <v>88</v>
      </c>
      <c r="E1334" t="s">
        <v>89</v>
      </c>
      <c r="F1334">
        <v>153680</v>
      </c>
      <c r="G1334">
        <v>7254994.2000000002</v>
      </c>
      <c r="H1334">
        <v>642466</v>
      </c>
      <c r="I1334">
        <v>1.60275345912458</v>
      </c>
      <c r="J1334">
        <v>30327128.879999999</v>
      </c>
      <c r="K1334">
        <v>1.6050182959110599</v>
      </c>
      <c r="L1334">
        <v>398073</v>
      </c>
      <c r="M1334">
        <v>1.9861374072218601</v>
      </c>
      <c r="N1334">
        <v>47.20506424701</v>
      </c>
      <c r="O1334">
        <v>18791061.539999999</v>
      </c>
      <c r="P1334">
        <v>1.9889780988361301</v>
      </c>
      <c r="Q1334">
        <v>244393</v>
      </c>
      <c r="R1334">
        <v>1.2193695110273</v>
      </c>
      <c r="S1334">
        <v>47.202936827159498</v>
      </c>
      <c r="T1334">
        <v>11536067.34</v>
      </c>
      <c r="U1334">
        <v>1.2210584929900601</v>
      </c>
      <c r="V1334">
        <v>2909</v>
      </c>
      <c r="W1334">
        <v>2.0730003990650498</v>
      </c>
    </row>
    <row r="1335" spans="1:23" hidden="1" x14ac:dyDescent="0.25">
      <c r="A1335" t="s">
        <v>182</v>
      </c>
      <c r="B1335">
        <v>4</v>
      </c>
      <c r="C1335">
        <v>2025</v>
      </c>
      <c r="D1335" t="s">
        <v>90</v>
      </c>
      <c r="E1335" t="s">
        <v>91</v>
      </c>
      <c r="F1335">
        <v>283344</v>
      </c>
      <c r="G1335">
        <v>13253040.609999999</v>
      </c>
      <c r="H1335">
        <v>1337476</v>
      </c>
      <c r="I1335">
        <v>3.3365879058130798</v>
      </c>
      <c r="J1335">
        <v>63026654.810000002</v>
      </c>
      <c r="K1335">
        <v>3.3355921854782902</v>
      </c>
      <c r="L1335">
        <v>810410</v>
      </c>
      <c r="M1335">
        <v>4.0434433287026899</v>
      </c>
      <c r="N1335">
        <v>47.062410027023397</v>
      </c>
      <c r="O1335">
        <v>38139847.710000001</v>
      </c>
      <c r="P1335">
        <v>4.0369896946298498</v>
      </c>
      <c r="Q1335">
        <v>527066</v>
      </c>
      <c r="R1335">
        <v>2.6297324829234698</v>
      </c>
      <c r="S1335">
        <v>47.217629480937902</v>
      </c>
      <c r="T1335">
        <v>24886807.100000001</v>
      </c>
      <c r="U1335">
        <v>2.6341946763341602</v>
      </c>
      <c r="V1335">
        <v>8756</v>
      </c>
      <c r="W1335">
        <v>6.2396670657317097</v>
      </c>
    </row>
    <row r="1336" spans="1:23" hidden="1" x14ac:dyDescent="0.25">
      <c r="A1336" t="s">
        <v>182</v>
      </c>
      <c r="B1336">
        <v>4</v>
      </c>
      <c r="C1336">
        <v>2025</v>
      </c>
      <c r="D1336" t="s">
        <v>92</v>
      </c>
      <c r="E1336" t="s">
        <v>93</v>
      </c>
      <c r="F1336">
        <v>-22423</v>
      </c>
      <c r="G1336">
        <v>-1034820.33</v>
      </c>
      <c r="H1336">
        <v>141917</v>
      </c>
      <c r="I1336">
        <v>0.35403891047710401</v>
      </c>
      <c r="J1336">
        <v>6609776.0300000003</v>
      </c>
      <c r="K1336">
        <v>0.34981258865624498</v>
      </c>
      <c r="L1336">
        <v>59747</v>
      </c>
      <c r="M1336">
        <v>0.29810047822706998</v>
      </c>
      <c r="N1336">
        <v>46.654691448942998</v>
      </c>
      <c r="O1336">
        <v>2787477.85</v>
      </c>
      <c r="P1336">
        <v>0.29504625818179397</v>
      </c>
      <c r="Q1336">
        <v>82170</v>
      </c>
      <c r="R1336">
        <v>0.40997734272713798</v>
      </c>
      <c r="S1336">
        <v>46.516954849701797</v>
      </c>
      <c r="T1336">
        <v>3822298.18</v>
      </c>
      <c r="U1336">
        <v>0.40457891913011701</v>
      </c>
      <c r="V1336">
        <v>450</v>
      </c>
      <c r="W1336">
        <v>0.32067727039507399</v>
      </c>
    </row>
    <row r="1337" spans="1:23" hidden="1" x14ac:dyDescent="0.25">
      <c r="A1337" t="s">
        <v>182</v>
      </c>
      <c r="B1337">
        <v>4</v>
      </c>
      <c r="C1337">
        <v>2025</v>
      </c>
      <c r="D1337" t="s">
        <v>94</v>
      </c>
      <c r="E1337" t="s">
        <v>95</v>
      </c>
      <c r="F1337">
        <v>-1158987</v>
      </c>
      <c r="G1337">
        <v>-54083990.409999996</v>
      </c>
      <c r="H1337">
        <v>3710333</v>
      </c>
      <c r="I1337">
        <v>9.2561303637143197</v>
      </c>
      <c r="J1337">
        <v>174585894.31</v>
      </c>
      <c r="K1337">
        <v>9.2396994019548906</v>
      </c>
      <c r="L1337">
        <v>1275673</v>
      </c>
      <c r="M1337">
        <v>6.3648171684161703</v>
      </c>
      <c r="N1337">
        <v>47.230718177777497</v>
      </c>
      <c r="O1337">
        <v>60250951.950000003</v>
      </c>
      <c r="P1337">
        <v>6.3773844605576198</v>
      </c>
      <c r="Q1337">
        <v>2434660</v>
      </c>
      <c r="R1337">
        <v>12.147443559012499</v>
      </c>
      <c r="S1337">
        <v>46.961359023436501</v>
      </c>
      <c r="T1337">
        <v>114334942.36</v>
      </c>
      <c r="U1337">
        <v>12.102014343321899</v>
      </c>
      <c r="V1337">
        <v>8672</v>
      </c>
      <c r="W1337">
        <v>6.1798073085913003</v>
      </c>
    </row>
    <row r="1338" spans="1:23" hidden="1" x14ac:dyDescent="0.25">
      <c r="A1338" t="s">
        <v>182</v>
      </c>
      <c r="B1338">
        <v>4</v>
      </c>
      <c r="C1338">
        <v>2025</v>
      </c>
      <c r="D1338" t="s">
        <v>96</v>
      </c>
      <c r="E1338" t="s">
        <v>97</v>
      </c>
      <c r="F1338">
        <v>74687</v>
      </c>
      <c r="G1338">
        <v>3544187.78</v>
      </c>
      <c r="H1338">
        <v>311301</v>
      </c>
      <c r="I1338">
        <v>0.77659946919983502</v>
      </c>
      <c r="J1338">
        <v>14731119.220000001</v>
      </c>
      <c r="K1338">
        <v>0.77962262635878898</v>
      </c>
      <c r="L1338">
        <v>192994</v>
      </c>
      <c r="M1338">
        <v>0.96292037583401902</v>
      </c>
      <c r="N1338">
        <v>47.346826844357899</v>
      </c>
      <c r="O1338">
        <v>9137653.5</v>
      </c>
      <c r="P1338">
        <v>0.96719350567638496</v>
      </c>
      <c r="Q1338">
        <v>118307</v>
      </c>
      <c r="R1338">
        <v>0.59027856256565103</v>
      </c>
      <c r="S1338">
        <v>47.279245691294697</v>
      </c>
      <c r="T1338">
        <v>5593465.7199999997</v>
      </c>
      <c r="U1338">
        <v>0.59205174704317898</v>
      </c>
      <c r="V1338">
        <v>1712</v>
      </c>
      <c r="W1338">
        <v>1.21999885981415</v>
      </c>
    </row>
    <row r="1339" spans="1:23" hidden="1" x14ac:dyDescent="0.25">
      <c r="A1339" t="s">
        <v>182</v>
      </c>
      <c r="B1339">
        <v>4</v>
      </c>
      <c r="C1339">
        <v>2025</v>
      </c>
      <c r="D1339" t="s">
        <v>98</v>
      </c>
      <c r="E1339" t="s">
        <v>99</v>
      </c>
      <c r="F1339">
        <v>4418</v>
      </c>
      <c r="G1339">
        <v>204044.42</v>
      </c>
      <c r="H1339">
        <v>5418</v>
      </c>
      <c r="I1339">
        <v>1.35162300285727E-2</v>
      </c>
      <c r="J1339">
        <v>250044.42</v>
      </c>
      <c r="K1339">
        <v>1.32332299070729E-2</v>
      </c>
      <c r="L1339">
        <v>4918</v>
      </c>
      <c r="M1339">
        <v>2.4537770129391099E-2</v>
      </c>
      <c r="N1339">
        <v>46.166006506709998</v>
      </c>
      <c r="O1339">
        <v>227044.42</v>
      </c>
      <c r="P1339">
        <v>2.40319780700879E-2</v>
      </c>
      <c r="Q1339">
        <v>500</v>
      </c>
      <c r="R1339">
        <v>2.4946899277542801E-3</v>
      </c>
      <c r="S1339">
        <v>46</v>
      </c>
      <c r="T1339">
        <v>23000</v>
      </c>
      <c r="U1339">
        <v>2.43448174417222E-3</v>
      </c>
      <c r="V1339">
        <v>41</v>
      </c>
      <c r="W1339">
        <v>2.9217262413773398E-2</v>
      </c>
    </row>
    <row r="1340" spans="1:23" hidden="1" x14ac:dyDescent="0.25">
      <c r="A1340" t="s">
        <v>182</v>
      </c>
      <c r="B1340">
        <v>4</v>
      </c>
      <c r="C1340">
        <v>2025</v>
      </c>
      <c r="D1340" t="s">
        <v>100</v>
      </c>
      <c r="E1340" t="s">
        <v>101</v>
      </c>
      <c r="F1340">
        <v>13548</v>
      </c>
      <c r="G1340">
        <v>641229.72</v>
      </c>
      <c r="H1340">
        <v>35568</v>
      </c>
      <c r="I1340">
        <v>8.8731131350364201E-2</v>
      </c>
      <c r="J1340">
        <v>1684649.28</v>
      </c>
      <c r="K1340">
        <v>8.9157563424229994E-2</v>
      </c>
      <c r="L1340">
        <v>24558</v>
      </c>
      <c r="M1340">
        <v>0.122529190491579</v>
      </c>
      <c r="N1340">
        <v>47.354813095529003</v>
      </c>
      <c r="O1340">
        <v>1162939.5</v>
      </c>
      <c r="P1340">
        <v>0.123093694885076</v>
      </c>
      <c r="Q1340">
        <v>11010</v>
      </c>
      <c r="R1340">
        <v>5.4933072209149197E-2</v>
      </c>
      <c r="S1340">
        <v>47.3850844686649</v>
      </c>
      <c r="T1340">
        <v>521709.78</v>
      </c>
      <c r="U1340">
        <v>5.5221431963743697E-2</v>
      </c>
      <c r="V1340">
        <v>91</v>
      </c>
      <c r="W1340">
        <v>6.4848070235448405E-2</v>
      </c>
    </row>
    <row r="1341" spans="1:23" hidden="1" x14ac:dyDescent="0.25">
      <c r="A1341" t="s">
        <v>182</v>
      </c>
      <c r="B1341">
        <v>4</v>
      </c>
      <c r="C1341">
        <v>2025</v>
      </c>
      <c r="D1341" t="s">
        <v>159</v>
      </c>
      <c r="E1341" t="s">
        <v>160</v>
      </c>
      <c r="F1341">
        <v>7972</v>
      </c>
      <c r="G1341">
        <v>378008.76</v>
      </c>
      <c r="H1341">
        <v>11172</v>
      </c>
      <c r="I1341">
        <v>2.7870675872870801E-2</v>
      </c>
      <c r="J1341">
        <v>528440.76</v>
      </c>
      <c r="K1341">
        <v>2.7966943110941299E-2</v>
      </c>
      <c r="L1341">
        <v>9572</v>
      </c>
      <c r="M1341">
        <v>4.7758343976927901E-2</v>
      </c>
      <c r="N1341">
        <v>47.349013790221498</v>
      </c>
      <c r="O1341">
        <v>453224.76</v>
      </c>
      <c r="P1341">
        <v>4.7972495836457199E-2</v>
      </c>
      <c r="Q1341">
        <v>1600</v>
      </c>
      <c r="R1341">
        <v>7.9830077688136901E-3</v>
      </c>
      <c r="S1341">
        <v>47.01</v>
      </c>
      <c r="T1341">
        <v>75216</v>
      </c>
      <c r="U1341">
        <v>7.9613903856372899E-3</v>
      </c>
      <c r="V1341">
        <v>57</v>
      </c>
      <c r="W1341">
        <v>4.0619120916709398E-2</v>
      </c>
    </row>
    <row r="1342" spans="1:23" hidden="1" x14ac:dyDescent="0.25">
      <c r="A1342" t="s">
        <v>182</v>
      </c>
      <c r="B1342">
        <v>4</v>
      </c>
      <c r="C1342">
        <v>2025</v>
      </c>
      <c r="D1342" t="s">
        <v>102</v>
      </c>
      <c r="E1342" t="s">
        <v>103</v>
      </c>
      <c r="F1342">
        <v>626343</v>
      </c>
      <c r="G1342">
        <v>29887918.859999999</v>
      </c>
      <c r="H1342">
        <v>3394083</v>
      </c>
      <c r="I1342">
        <v>8.4671846740620307</v>
      </c>
      <c r="J1342">
        <v>160390908.41999999</v>
      </c>
      <c r="K1342">
        <v>8.4884508365598901</v>
      </c>
      <c r="L1342">
        <v>2010213</v>
      </c>
      <c r="M1342">
        <v>10.029716247481399</v>
      </c>
      <c r="N1342">
        <v>47.328026253934297</v>
      </c>
      <c r="O1342">
        <v>95139413.640000001</v>
      </c>
      <c r="P1342">
        <v>10.0702245939253</v>
      </c>
      <c r="Q1342">
        <v>1383870</v>
      </c>
      <c r="R1342">
        <v>6.9046531006426299</v>
      </c>
      <c r="S1342">
        <v>47.151462767456501</v>
      </c>
      <c r="T1342">
        <v>65251494.780000001</v>
      </c>
      <c r="U1342">
        <v>6.90667707921126</v>
      </c>
      <c r="V1342">
        <v>16380</v>
      </c>
      <c r="W1342">
        <v>11.672652642380701</v>
      </c>
    </row>
    <row r="1343" spans="1:23" hidden="1" x14ac:dyDescent="0.25">
      <c r="A1343" t="s">
        <v>182</v>
      </c>
      <c r="B1343">
        <v>4</v>
      </c>
      <c r="C1343">
        <v>2025</v>
      </c>
      <c r="D1343" t="s">
        <v>161</v>
      </c>
      <c r="E1343" t="s">
        <v>162</v>
      </c>
      <c r="F1343">
        <v>-444</v>
      </c>
      <c r="G1343">
        <v>-41681.75</v>
      </c>
      <c r="H1343">
        <v>44806</v>
      </c>
      <c r="I1343">
        <v>0.111777076902958</v>
      </c>
      <c r="J1343">
        <v>2110468.23</v>
      </c>
      <c r="K1343">
        <v>0.11169339951342699</v>
      </c>
      <c r="L1343">
        <v>22181</v>
      </c>
      <c r="M1343">
        <v>0.110669434575035</v>
      </c>
      <c r="N1343">
        <v>46.634202245164801</v>
      </c>
      <c r="O1343">
        <v>1034393.24</v>
      </c>
      <c r="P1343">
        <v>0.10948745474355701</v>
      </c>
      <c r="Q1343">
        <v>22625</v>
      </c>
      <c r="R1343">
        <v>0.112884719230881</v>
      </c>
      <c r="S1343">
        <v>47.5613255248619</v>
      </c>
      <c r="T1343">
        <v>1076074.99</v>
      </c>
      <c r="U1343">
        <v>0.113899344283274</v>
      </c>
      <c r="V1343">
        <v>125</v>
      </c>
      <c r="W1343">
        <v>8.9077019554187301E-2</v>
      </c>
    </row>
    <row r="1344" spans="1:23" hidden="1" x14ac:dyDescent="0.25">
      <c r="A1344" t="s">
        <v>182</v>
      </c>
      <c r="B1344">
        <v>4</v>
      </c>
      <c r="C1344">
        <v>2025</v>
      </c>
      <c r="D1344" t="s">
        <v>104</v>
      </c>
      <c r="E1344" t="s">
        <v>105</v>
      </c>
      <c r="F1344">
        <v>27745</v>
      </c>
      <c r="G1344">
        <v>1159522.47000002</v>
      </c>
      <c r="H1344">
        <v>1289973</v>
      </c>
      <c r="I1344">
        <v>3.2180826501749702</v>
      </c>
      <c r="J1344">
        <v>61053348.390000001</v>
      </c>
      <c r="K1344">
        <v>3.2311578712353901</v>
      </c>
      <c r="L1344">
        <v>658859</v>
      </c>
      <c r="M1344">
        <v>3.28729782222051</v>
      </c>
      <c r="N1344">
        <v>47.212583314487603</v>
      </c>
      <c r="O1344">
        <v>31106435.43</v>
      </c>
      <c r="P1344">
        <v>3.29252387745254</v>
      </c>
      <c r="Q1344">
        <v>631114</v>
      </c>
      <c r="R1344">
        <v>3.1488674781294299</v>
      </c>
      <c r="S1344">
        <v>47.450877274153299</v>
      </c>
      <c r="T1344">
        <v>29946912.960000001</v>
      </c>
      <c r="U1344">
        <v>3.1697918650188899</v>
      </c>
      <c r="V1344">
        <v>12953</v>
      </c>
      <c r="W1344">
        <v>9.2305170742831102</v>
      </c>
    </row>
    <row r="1345" spans="1:23" hidden="1" x14ac:dyDescent="0.25">
      <c r="A1345" t="s">
        <v>182</v>
      </c>
      <c r="B1345">
        <v>4</v>
      </c>
      <c r="C1345">
        <v>2025</v>
      </c>
      <c r="D1345" t="s">
        <v>106</v>
      </c>
      <c r="E1345" t="s">
        <v>107</v>
      </c>
      <c r="F1345">
        <v>-410493</v>
      </c>
      <c r="G1345">
        <v>-19398443.329999998</v>
      </c>
      <c r="H1345">
        <v>1425395</v>
      </c>
      <c r="I1345">
        <v>3.5559185495713099</v>
      </c>
      <c r="J1345">
        <v>67434734.629999995</v>
      </c>
      <c r="K1345">
        <v>3.5688832691457</v>
      </c>
      <c r="L1345">
        <v>507451</v>
      </c>
      <c r="M1345">
        <v>2.5318657970576699</v>
      </c>
      <c r="N1345">
        <v>47.330965255758699</v>
      </c>
      <c r="O1345">
        <v>24018145.649999999</v>
      </c>
      <c r="P1345">
        <v>2.5422494397571</v>
      </c>
      <c r="Q1345">
        <v>917944</v>
      </c>
      <c r="R1345">
        <v>4.5799713020849504</v>
      </c>
      <c r="S1345">
        <v>47.297644496832</v>
      </c>
      <c r="T1345">
        <v>43416588.979999997</v>
      </c>
      <c r="U1345">
        <v>4.5955170985234197</v>
      </c>
      <c r="V1345">
        <v>3224</v>
      </c>
      <c r="W1345">
        <v>2.2974744883415998</v>
      </c>
    </row>
    <row r="1346" spans="1:23" hidden="1" x14ac:dyDescent="0.25">
      <c r="A1346" t="s">
        <v>182</v>
      </c>
      <c r="B1346">
        <v>4</v>
      </c>
      <c r="C1346">
        <v>2025</v>
      </c>
      <c r="D1346" t="s">
        <v>173</v>
      </c>
      <c r="E1346" t="s">
        <v>174</v>
      </c>
      <c r="F1346">
        <v>60</v>
      </c>
      <c r="G1346">
        <v>2845.8</v>
      </c>
      <c r="H1346">
        <v>60</v>
      </c>
      <c r="I1346">
        <v>1.4968139566525699E-4</v>
      </c>
      <c r="J1346">
        <v>2845.8</v>
      </c>
      <c r="K1346">
        <v>1.50609742339173E-4</v>
      </c>
      <c r="L1346">
        <v>60</v>
      </c>
      <c r="M1346">
        <v>2.9936279133051301E-4</v>
      </c>
      <c r="N1346">
        <v>47.43</v>
      </c>
      <c r="O1346">
        <v>2845.8</v>
      </c>
      <c r="P1346">
        <v>3.0121948467994102E-4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2</v>
      </c>
      <c r="W1346">
        <v>1.4252323128669999E-3</v>
      </c>
    </row>
    <row r="1347" spans="1:23" hidden="1" x14ac:dyDescent="0.25">
      <c r="A1347" t="s">
        <v>182</v>
      </c>
      <c r="B1347">
        <v>4</v>
      </c>
      <c r="C1347">
        <v>2025</v>
      </c>
      <c r="D1347" t="s">
        <v>108</v>
      </c>
      <c r="E1347" t="s">
        <v>109</v>
      </c>
      <c r="F1347">
        <v>-4695</v>
      </c>
      <c r="G1347">
        <v>-223291.53</v>
      </c>
      <c r="H1347">
        <v>9005</v>
      </c>
      <c r="I1347">
        <v>2.2464682799427298E-2</v>
      </c>
      <c r="J1347">
        <v>422801.43</v>
      </c>
      <c r="K1347">
        <v>2.2376138320659902E-2</v>
      </c>
      <c r="L1347">
        <v>2155</v>
      </c>
      <c r="M1347">
        <v>1.0752113588620899E-2</v>
      </c>
      <c r="N1347">
        <v>46.29</v>
      </c>
      <c r="O1347">
        <v>99754.95</v>
      </c>
      <c r="P1347">
        <v>1.05587654203645E-2</v>
      </c>
      <c r="Q1347">
        <v>6850</v>
      </c>
      <c r="R1347">
        <v>3.4177252010233597E-2</v>
      </c>
      <c r="S1347">
        <v>47.160070072992703</v>
      </c>
      <c r="T1347">
        <v>323046.48</v>
      </c>
      <c r="U1347">
        <v>3.4193511220830301E-2</v>
      </c>
      <c r="V1347">
        <v>22</v>
      </c>
      <c r="W1347">
        <v>1.5677555441537001E-2</v>
      </c>
    </row>
    <row r="1348" spans="1:23" hidden="1" x14ac:dyDescent="0.25">
      <c r="A1348" t="s">
        <v>182</v>
      </c>
      <c r="B1348">
        <v>4</v>
      </c>
      <c r="C1348">
        <v>2025</v>
      </c>
      <c r="D1348" t="s">
        <v>110</v>
      </c>
      <c r="E1348" t="s">
        <v>111</v>
      </c>
      <c r="F1348">
        <v>45953</v>
      </c>
      <c r="G1348">
        <v>2208438.79</v>
      </c>
      <c r="H1348">
        <v>481715</v>
      </c>
      <c r="I1348">
        <v>1.20172955854815</v>
      </c>
      <c r="J1348">
        <v>22750027.890000001</v>
      </c>
      <c r="K1348">
        <v>1.20401146908493</v>
      </c>
      <c r="L1348">
        <v>263834</v>
      </c>
      <c r="M1348">
        <v>1.31636804479824</v>
      </c>
      <c r="N1348">
        <v>47.299564650499903</v>
      </c>
      <c r="O1348">
        <v>12479233.34</v>
      </c>
      <c r="P1348">
        <v>1.3208898151224699</v>
      </c>
      <c r="Q1348">
        <v>217881</v>
      </c>
      <c r="R1348">
        <v>1.08709107229806</v>
      </c>
      <c r="S1348">
        <v>47.139468563114697</v>
      </c>
      <c r="T1348">
        <v>10270794.550000001</v>
      </c>
      <c r="U1348">
        <v>1.0871331230486301</v>
      </c>
      <c r="V1348">
        <v>2388</v>
      </c>
      <c r="W1348">
        <v>1.7017273815631899</v>
      </c>
    </row>
    <row r="1349" spans="1:23" hidden="1" x14ac:dyDescent="0.25">
      <c r="A1349" t="s">
        <v>182</v>
      </c>
      <c r="B1349">
        <v>4</v>
      </c>
      <c r="C1349">
        <v>2025</v>
      </c>
      <c r="D1349" t="s">
        <v>112</v>
      </c>
      <c r="E1349" t="s">
        <v>113</v>
      </c>
      <c r="F1349">
        <v>20982</v>
      </c>
      <c r="G1349">
        <v>1003909.7</v>
      </c>
      <c r="H1349">
        <v>24006</v>
      </c>
      <c r="I1349">
        <v>5.9887526405669203E-2</v>
      </c>
      <c r="J1349">
        <v>1143762.6599999999</v>
      </c>
      <c r="K1349">
        <v>6.0531941640230298E-2</v>
      </c>
      <c r="L1349">
        <v>22494</v>
      </c>
      <c r="M1349">
        <v>0.11223111046980901</v>
      </c>
      <c r="N1349">
        <v>47.7387827865209</v>
      </c>
      <c r="O1349">
        <v>1073836.18</v>
      </c>
      <c r="P1349">
        <v>0.11366237288997</v>
      </c>
      <c r="Q1349">
        <v>1512</v>
      </c>
      <c r="R1349">
        <v>7.5439423415289402E-3</v>
      </c>
      <c r="S1349">
        <v>46.247671957671997</v>
      </c>
      <c r="T1349">
        <v>69926.48</v>
      </c>
      <c r="U1349">
        <v>7.4015103910532098E-3</v>
      </c>
      <c r="V1349">
        <v>190</v>
      </c>
      <c r="W1349">
        <v>0.13539706972236501</v>
      </c>
    </row>
    <row r="1350" spans="1:23" hidden="1" x14ac:dyDescent="0.25">
      <c r="A1350" t="s">
        <v>182</v>
      </c>
      <c r="B1350">
        <v>4</v>
      </c>
      <c r="C1350">
        <v>2025</v>
      </c>
      <c r="D1350" t="s">
        <v>114</v>
      </c>
      <c r="E1350" t="s">
        <v>115</v>
      </c>
      <c r="F1350">
        <v>-7365</v>
      </c>
      <c r="G1350">
        <v>-330337.91999999998</v>
      </c>
      <c r="H1350">
        <v>34659</v>
      </c>
      <c r="I1350">
        <v>8.6463458206035501E-2</v>
      </c>
      <c r="J1350">
        <v>1602341.94</v>
      </c>
      <c r="K1350">
        <v>8.4801569584177006E-2</v>
      </c>
      <c r="L1350">
        <v>13647</v>
      </c>
      <c r="M1350">
        <v>6.80900668881253E-2</v>
      </c>
      <c r="N1350">
        <v>46.6037964387777</v>
      </c>
      <c r="O1350">
        <v>636002.01</v>
      </c>
      <c r="P1350">
        <v>6.73189253312272E-2</v>
      </c>
      <c r="Q1350">
        <v>21012</v>
      </c>
      <c r="R1350">
        <v>0.10483684952394599</v>
      </c>
      <c r="S1350">
        <v>45.989907195888101</v>
      </c>
      <c r="T1350">
        <v>966339.93</v>
      </c>
      <c r="U1350">
        <v>0.102284213836942</v>
      </c>
      <c r="V1350">
        <v>76</v>
      </c>
      <c r="W1350">
        <v>5.4158827888945903E-2</v>
      </c>
    </row>
    <row r="1351" spans="1:23" hidden="1" x14ac:dyDescent="0.25">
      <c r="A1351" t="s">
        <v>182</v>
      </c>
      <c r="B1351">
        <v>4</v>
      </c>
      <c r="C1351">
        <v>2025</v>
      </c>
      <c r="D1351" t="s">
        <v>169</v>
      </c>
      <c r="E1351" t="s">
        <v>170</v>
      </c>
      <c r="F1351">
        <v>-17800</v>
      </c>
      <c r="G1351">
        <v>-847734.4</v>
      </c>
      <c r="H1351">
        <v>17800</v>
      </c>
      <c r="I1351">
        <v>4.4405480714026203E-2</v>
      </c>
      <c r="J1351">
        <v>847734.4</v>
      </c>
      <c r="K1351">
        <v>4.4865085232993797E-2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17800</v>
      </c>
      <c r="R1351">
        <v>8.8810961428052296E-2</v>
      </c>
      <c r="S1351">
        <v>47.625528089887602</v>
      </c>
      <c r="T1351">
        <v>847734.4</v>
      </c>
      <c r="U1351">
        <v>8.9730170465512599E-2</v>
      </c>
      <c r="V1351">
        <v>18</v>
      </c>
      <c r="W1351">
        <v>1.2827090815803001E-2</v>
      </c>
    </row>
    <row r="1352" spans="1:23" hidden="1" x14ac:dyDescent="0.25">
      <c r="A1352" t="s">
        <v>182</v>
      </c>
      <c r="B1352">
        <v>4</v>
      </c>
      <c r="C1352">
        <v>2025</v>
      </c>
      <c r="D1352" t="s">
        <v>163</v>
      </c>
      <c r="E1352" t="s">
        <v>164</v>
      </c>
      <c r="F1352">
        <v>14599</v>
      </c>
      <c r="G1352">
        <v>692733.71</v>
      </c>
      <c r="H1352">
        <v>16599</v>
      </c>
      <c r="I1352">
        <v>4.1409358110793298E-2</v>
      </c>
      <c r="J1352">
        <v>788433.71</v>
      </c>
      <c r="K1352">
        <v>4.1726684206415898E-2</v>
      </c>
      <c r="L1352">
        <v>15599</v>
      </c>
      <c r="M1352">
        <v>7.7829336366078E-2</v>
      </c>
      <c r="N1352">
        <v>47.476358099878198</v>
      </c>
      <c r="O1352">
        <v>740583.71</v>
      </c>
      <c r="P1352">
        <v>7.8388587915018196E-2</v>
      </c>
      <c r="Q1352">
        <v>1000</v>
      </c>
      <c r="R1352">
        <v>4.9893798555085602E-3</v>
      </c>
      <c r="S1352">
        <v>47.85</v>
      </c>
      <c r="T1352">
        <v>47850</v>
      </c>
      <c r="U1352">
        <v>5.0647804982017703E-3</v>
      </c>
      <c r="V1352">
        <v>86</v>
      </c>
      <c r="W1352">
        <v>6.1284989453280897E-2</v>
      </c>
    </row>
    <row r="1353" spans="1:23" hidden="1" x14ac:dyDescent="0.25">
      <c r="A1353" t="s">
        <v>182</v>
      </c>
      <c r="B1353">
        <v>4</v>
      </c>
      <c r="C1353">
        <v>2025</v>
      </c>
      <c r="D1353" t="s">
        <v>116</v>
      </c>
      <c r="E1353" t="s">
        <v>117</v>
      </c>
      <c r="F1353">
        <v>-728754</v>
      </c>
      <c r="G1353">
        <v>-34582029.270000003</v>
      </c>
      <c r="H1353">
        <v>7398012</v>
      </c>
      <c r="I1353">
        <v>18.4557460218053</v>
      </c>
      <c r="J1353">
        <v>348207268.87</v>
      </c>
      <c r="K1353">
        <v>18.4283530273167</v>
      </c>
      <c r="L1353">
        <v>3334629</v>
      </c>
      <c r="M1353">
        <v>16.6377307581946</v>
      </c>
      <c r="N1353">
        <v>47.0255071253804</v>
      </c>
      <c r="O1353">
        <v>156812619.80000001</v>
      </c>
      <c r="P1353">
        <v>16.598150441867801</v>
      </c>
      <c r="Q1353">
        <v>4063383</v>
      </c>
      <c r="R1353">
        <v>20.273761285415901</v>
      </c>
      <c r="S1353">
        <v>47.102291137704697</v>
      </c>
      <c r="T1353">
        <v>191394649.06999999</v>
      </c>
      <c r="U1353">
        <v>20.2585556127462</v>
      </c>
      <c r="V1353">
        <v>4048</v>
      </c>
      <c r="W1353">
        <v>2.8846702012428</v>
      </c>
    </row>
    <row r="1354" spans="1:23" hidden="1" x14ac:dyDescent="0.25">
      <c r="A1354" t="s">
        <v>182</v>
      </c>
      <c r="B1354">
        <v>4</v>
      </c>
      <c r="C1354">
        <v>2025</v>
      </c>
      <c r="D1354" t="s">
        <v>118</v>
      </c>
      <c r="E1354" t="s">
        <v>119</v>
      </c>
      <c r="F1354">
        <v>241290</v>
      </c>
      <c r="G1354">
        <v>11300940.76</v>
      </c>
      <c r="H1354">
        <v>541470</v>
      </c>
      <c r="I1354">
        <v>1.35079975518111</v>
      </c>
      <c r="J1354">
        <v>25407503</v>
      </c>
      <c r="K1354">
        <v>1.3446543960614801</v>
      </c>
      <c r="L1354">
        <v>391380</v>
      </c>
      <c r="M1354">
        <v>1.95274348784894</v>
      </c>
      <c r="N1354">
        <v>46.896167101027103</v>
      </c>
      <c r="O1354">
        <v>18354221.879999999</v>
      </c>
      <c r="P1354">
        <v>1.9427399172095301</v>
      </c>
      <c r="Q1354">
        <v>150090</v>
      </c>
      <c r="R1354">
        <v>0.74885602251327898</v>
      </c>
      <c r="S1354">
        <v>46.993677926577398</v>
      </c>
      <c r="T1354">
        <v>7053281.1200000001</v>
      </c>
      <c r="U1354">
        <v>0.74656887491976498</v>
      </c>
      <c r="V1354">
        <v>2355</v>
      </c>
      <c r="W1354">
        <v>1.6782110484008901</v>
      </c>
    </row>
    <row r="1355" spans="1:23" hidden="1" x14ac:dyDescent="0.25">
      <c r="A1355" t="s">
        <v>182</v>
      </c>
      <c r="B1355">
        <v>4</v>
      </c>
      <c r="C1355">
        <v>2025</v>
      </c>
      <c r="D1355" t="s">
        <v>120</v>
      </c>
      <c r="E1355" t="s">
        <v>121</v>
      </c>
      <c r="F1355">
        <v>-51612</v>
      </c>
      <c r="G1355">
        <v>-2413789.12</v>
      </c>
      <c r="H1355">
        <v>103660</v>
      </c>
      <c r="I1355">
        <v>0.25859955791100903</v>
      </c>
      <c r="J1355">
        <v>4881594.4000000004</v>
      </c>
      <c r="K1355">
        <v>0.25835114020252697</v>
      </c>
      <c r="L1355">
        <v>26024</v>
      </c>
      <c r="M1355">
        <v>0.129843621359755</v>
      </c>
      <c r="N1355">
        <v>47.414027051951997</v>
      </c>
      <c r="O1355">
        <v>1233902.6399999999</v>
      </c>
      <c r="P1355">
        <v>0.13060493266077</v>
      </c>
      <c r="Q1355">
        <v>77636</v>
      </c>
      <c r="R1355">
        <v>0.38735549446226197</v>
      </c>
      <c r="S1355">
        <v>46.9845401617806</v>
      </c>
      <c r="T1355">
        <v>3647691.76</v>
      </c>
      <c r="U1355">
        <v>0.38609734774293197</v>
      </c>
      <c r="V1355">
        <v>473</v>
      </c>
      <c r="W1355">
        <v>0.337067441993045</v>
      </c>
    </row>
    <row r="1356" spans="1:23" hidden="1" x14ac:dyDescent="0.25">
      <c r="A1356" t="s">
        <v>182</v>
      </c>
      <c r="B1356">
        <v>4</v>
      </c>
      <c r="C1356">
        <v>2025</v>
      </c>
      <c r="D1356" t="s">
        <v>122</v>
      </c>
      <c r="E1356" t="s">
        <v>123</v>
      </c>
      <c r="F1356">
        <v>95980</v>
      </c>
      <c r="G1356">
        <v>4494783.8900000202</v>
      </c>
      <c r="H1356">
        <v>4106878</v>
      </c>
      <c r="I1356">
        <v>10.2453871811156</v>
      </c>
      <c r="J1356">
        <v>194317168.43000001</v>
      </c>
      <c r="K1356">
        <v>10.283947807056</v>
      </c>
      <c r="L1356">
        <v>2101429</v>
      </c>
      <c r="M1356">
        <v>10.484827520381501</v>
      </c>
      <c r="N1356">
        <v>47.3039898849783</v>
      </c>
      <c r="O1356">
        <v>99405976.159999996</v>
      </c>
      <c r="P1356">
        <v>10.5218275750305</v>
      </c>
      <c r="Q1356">
        <v>2005449</v>
      </c>
      <c r="R1356">
        <v>10.0059468418498</v>
      </c>
      <c r="S1356">
        <v>47.326654664366899</v>
      </c>
      <c r="T1356">
        <v>94911192.269999996</v>
      </c>
      <c r="U1356">
        <v>10.0460680390841</v>
      </c>
      <c r="V1356">
        <v>23398</v>
      </c>
      <c r="W1356">
        <v>16.673792828231001</v>
      </c>
    </row>
    <row r="1357" spans="1:23" hidden="1" x14ac:dyDescent="0.25">
      <c r="A1357" t="s">
        <v>182</v>
      </c>
      <c r="B1357">
        <v>4</v>
      </c>
      <c r="C1357">
        <v>2025</v>
      </c>
      <c r="D1357" t="s">
        <v>185</v>
      </c>
      <c r="E1357" t="s">
        <v>186</v>
      </c>
      <c r="F1357">
        <v>4000</v>
      </c>
      <c r="G1357">
        <v>188000</v>
      </c>
      <c r="H1357">
        <v>4000</v>
      </c>
      <c r="I1357">
        <v>9.9787597110171204E-3</v>
      </c>
      <c r="J1357">
        <v>188000</v>
      </c>
      <c r="K1357">
        <v>9.9496210414521703E-3</v>
      </c>
      <c r="L1357">
        <v>4000</v>
      </c>
      <c r="M1357">
        <v>1.9957519422034199E-2</v>
      </c>
      <c r="N1357">
        <v>47</v>
      </c>
      <c r="O1357">
        <v>188000</v>
      </c>
      <c r="P1357">
        <v>1.98992420830096E-2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2</v>
      </c>
      <c r="W1357">
        <v>1.4252323128669999E-3</v>
      </c>
    </row>
    <row r="1358" spans="1:23" hidden="1" x14ac:dyDescent="0.25">
      <c r="A1358" t="s">
        <v>182</v>
      </c>
      <c r="B1358">
        <v>4</v>
      </c>
      <c r="C1358">
        <v>2025</v>
      </c>
      <c r="D1358" t="s">
        <v>124</v>
      </c>
      <c r="E1358" t="s">
        <v>125</v>
      </c>
      <c r="F1358">
        <v>-10509</v>
      </c>
      <c r="G1358">
        <v>-500306.82</v>
      </c>
      <c r="H1358">
        <v>28453</v>
      </c>
      <c r="I1358">
        <v>7.0981412514392495E-2</v>
      </c>
      <c r="J1358">
        <v>1353251.08</v>
      </c>
      <c r="K1358">
        <v>7.1618805425190807E-2</v>
      </c>
      <c r="L1358">
        <v>8972</v>
      </c>
      <c r="M1358">
        <v>4.4764716063622798E-2</v>
      </c>
      <c r="N1358">
        <v>47.5336747659385</v>
      </c>
      <c r="O1358">
        <v>426472.13</v>
      </c>
      <c r="P1358">
        <v>4.5140809343227499E-2</v>
      </c>
      <c r="Q1358">
        <v>19481</v>
      </c>
      <c r="R1358">
        <v>9.7198108965162205E-2</v>
      </c>
      <c r="S1358">
        <v>47.573479287510899</v>
      </c>
      <c r="T1358">
        <v>926778.95</v>
      </c>
      <c r="U1358">
        <v>9.8096801506873901E-2</v>
      </c>
      <c r="V1358">
        <v>153</v>
      </c>
      <c r="W1358">
        <v>0.109030271934325</v>
      </c>
    </row>
    <row r="1359" spans="1:23" hidden="1" x14ac:dyDescent="0.25">
      <c r="A1359" t="s">
        <v>182</v>
      </c>
      <c r="B1359">
        <v>4</v>
      </c>
      <c r="C1359">
        <v>2025</v>
      </c>
      <c r="D1359" t="s">
        <v>126</v>
      </c>
      <c r="E1359" t="s">
        <v>127</v>
      </c>
      <c r="F1359">
        <v>29756</v>
      </c>
      <c r="G1359">
        <v>1423770.45</v>
      </c>
      <c r="H1359">
        <v>52746</v>
      </c>
      <c r="I1359">
        <v>0.131584914929327</v>
      </c>
      <c r="J1359">
        <v>2500101.87</v>
      </c>
      <c r="K1359">
        <v>0.13231418176343601</v>
      </c>
      <c r="L1359">
        <v>41251</v>
      </c>
      <c r="M1359">
        <v>0.205816908419583</v>
      </c>
      <c r="N1359">
        <v>47.560935734891302</v>
      </c>
      <c r="O1359">
        <v>1961936.16</v>
      </c>
      <c r="P1359">
        <v>0.207665120208778</v>
      </c>
      <c r="Q1359">
        <v>11495</v>
      </c>
      <c r="R1359">
        <v>5.7352921439070899E-2</v>
      </c>
      <c r="S1359">
        <v>46.817373640713399</v>
      </c>
      <c r="T1359">
        <v>538165.71</v>
      </c>
      <c r="U1359">
        <v>5.6963243318890501E-2</v>
      </c>
      <c r="V1359">
        <v>1268</v>
      </c>
      <c r="W1359">
        <v>0.903597286357676</v>
      </c>
    </row>
    <row r="1360" spans="1:23" hidden="1" x14ac:dyDescent="0.25">
      <c r="A1360" t="s">
        <v>182</v>
      </c>
      <c r="B1360">
        <v>4</v>
      </c>
      <c r="C1360">
        <v>2025</v>
      </c>
      <c r="D1360" t="s">
        <v>128</v>
      </c>
      <c r="E1360" t="s">
        <v>129</v>
      </c>
      <c r="F1360">
        <v>-109426</v>
      </c>
      <c r="G1360">
        <v>-5202053.5</v>
      </c>
      <c r="H1360">
        <v>127314</v>
      </c>
      <c r="I1360">
        <v>0.31760895346210799</v>
      </c>
      <c r="J1360">
        <v>6043259.0999999996</v>
      </c>
      <c r="K1360">
        <v>0.31983052074631502</v>
      </c>
      <c r="L1360">
        <v>8944</v>
      </c>
      <c r="M1360">
        <v>4.4625013427668503E-2</v>
      </c>
      <c r="N1360">
        <v>47.026252236136003</v>
      </c>
      <c r="O1360">
        <v>420602.8</v>
      </c>
      <c r="P1360">
        <v>4.4519558180806898E-2</v>
      </c>
      <c r="Q1360">
        <v>118370</v>
      </c>
      <c r="R1360">
        <v>0.59059289349654798</v>
      </c>
      <c r="S1360">
        <v>47.5006868294331</v>
      </c>
      <c r="T1360">
        <v>5622656.2999999998</v>
      </c>
      <c r="U1360">
        <v>0.59514148330891004</v>
      </c>
      <c r="V1360">
        <v>182</v>
      </c>
      <c r="W1360">
        <v>0.129696140470897</v>
      </c>
    </row>
    <row r="1361" spans="1:23" hidden="1" x14ac:dyDescent="0.25">
      <c r="A1361" t="s">
        <v>182</v>
      </c>
      <c r="B1361">
        <v>4</v>
      </c>
      <c r="C1361">
        <v>2025</v>
      </c>
      <c r="D1361" t="s">
        <v>175</v>
      </c>
      <c r="E1361" t="s">
        <v>176</v>
      </c>
      <c r="F1361">
        <v>-8555</v>
      </c>
      <c r="G1361">
        <v>-423504.27</v>
      </c>
      <c r="H1361">
        <v>241381</v>
      </c>
      <c r="I1361">
        <v>0.60217074945125504</v>
      </c>
      <c r="J1361">
        <v>11313045.83</v>
      </c>
      <c r="K1361">
        <v>0.59872616400574796</v>
      </c>
      <c r="L1361">
        <v>116413</v>
      </c>
      <c r="M1361">
        <v>0.58082867711931796</v>
      </c>
      <c r="N1361">
        <v>46.771157688574299</v>
      </c>
      <c r="O1361">
        <v>5444770.7800000003</v>
      </c>
      <c r="P1361">
        <v>0.57631282892402802</v>
      </c>
      <c r="Q1361">
        <v>124968</v>
      </c>
      <c r="R1361">
        <v>0.62351282178319301</v>
      </c>
      <c r="S1361">
        <v>46.958221704756397</v>
      </c>
      <c r="T1361">
        <v>5868275.0499999998</v>
      </c>
      <c r="U1361">
        <v>0.62113949908723098</v>
      </c>
      <c r="V1361">
        <v>367</v>
      </c>
      <c r="W1361">
        <v>0.26153012941109399</v>
      </c>
    </row>
    <row r="1362" spans="1:23" hidden="1" x14ac:dyDescent="0.25">
      <c r="A1362" t="s">
        <v>182</v>
      </c>
      <c r="B1362">
        <v>4</v>
      </c>
      <c r="C1362">
        <v>2025</v>
      </c>
      <c r="D1362" t="s">
        <v>130</v>
      </c>
      <c r="E1362" t="s">
        <v>131</v>
      </c>
      <c r="F1362">
        <v>-242203</v>
      </c>
      <c r="G1362">
        <v>-11469599.59</v>
      </c>
      <c r="H1362">
        <v>1177205</v>
      </c>
      <c r="I1362">
        <v>2.9367614564019799</v>
      </c>
      <c r="J1362">
        <v>55612461.649999999</v>
      </c>
      <c r="K1362">
        <v>2.9432070138286801</v>
      </c>
      <c r="L1362">
        <v>467501</v>
      </c>
      <c r="M1362">
        <v>2.3325400718301101</v>
      </c>
      <c r="N1362">
        <v>47.211516189270199</v>
      </c>
      <c r="O1362">
        <v>22071431.030000001</v>
      </c>
      <c r="P1362">
        <v>2.33619547438522</v>
      </c>
      <c r="Q1362">
        <v>709704</v>
      </c>
      <c r="R1362">
        <v>3.54098284097384</v>
      </c>
      <c r="S1362">
        <v>47.260591204220297</v>
      </c>
      <c r="T1362">
        <v>33541030.620000001</v>
      </c>
      <c r="U1362">
        <v>3.5502185532657098</v>
      </c>
      <c r="V1362">
        <v>3539</v>
      </c>
      <c r="W1362">
        <v>2.5219485776181498</v>
      </c>
    </row>
    <row r="1363" spans="1:23" hidden="1" x14ac:dyDescent="0.25">
      <c r="A1363" t="s">
        <v>182</v>
      </c>
      <c r="B1363">
        <v>4</v>
      </c>
      <c r="C1363">
        <v>2025</v>
      </c>
      <c r="D1363" t="s">
        <v>132</v>
      </c>
      <c r="E1363" t="s">
        <v>133</v>
      </c>
      <c r="F1363">
        <v>14507</v>
      </c>
      <c r="G1363">
        <v>684872.27</v>
      </c>
      <c r="H1363">
        <v>76985</v>
      </c>
      <c r="I1363">
        <v>0.192053704088163</v>
      </c>
      <c r="J1363">
        <v>3632826.99</v>
      </c>
      <c r="K1363">
        <v>0.192261977976911</v>
      </c>
      <c r="L1363">
        <v>45746</v>
      </c>
      <c r="M1363">
        <v>0.22824417087009399</v>
      </c>
      <c r="N1363">
        <v>47.1920961395532</v>
      </c>
      <c r="O1363">
        <v>2158849.63</v>
      </c>
      <c r="P1363">
        <v>0.22850782663928601</v>
      </c>
      <c r="Q1363">
        <v>31239</v>
      </c>
      <c r="R1363">
        <v>0.155863237306232</v>
      </c>
      <c r="S1363">
        <v>47.183884247255001</v>
      </c>
      <c r="T1363">
        <v>1473977.36</v>
      </c>
      <c r="U1363">
        <v>0.15601612931492001</v>
      </c>
      <c r="V1363">
        <v>754</v>
      </c>
      <c r="W1363">
        <v>0.53731258195085796</v>
      </c>
    </row>
    <row r="1364" spans="1:23" hidden="1" x14ac:dyDescent="0.25">
      <c r="A1364" t="s">
        <v>182</v>
      </c>
      <c r="B1364">
        <v>4</v>
      </c>
      <c r="C1364">
        <v>2025</v>
      </c>
      <c r="D1364" t="s">
        <v>134</v>
      </c>
      <c r="E1364" t="s">
        <v>135</v>
      </c>
      <c r="F1364">
        <v>-23397</v>
      </c>
      <c r="G1364">
        <v>-1106658.48</v>
      </c>
      <c r="H1364">
        <v>102139</v>
      </c>
      <c r="I1364">
        <v>0.25480513453089398</v>
      </c>
      <c r="J1364">
        <v>4822419.0599999996</v>
      </c>
      <c r="K1364">
        <v>0.25521937313870202</v>
      </c>
      <c r="L1364">
        <v>39371</v>
      </c>
      <c r="M1364">
        <v>0.196436874291227</v>
      </c>
      <c r="N1364">
        <v>47.189055142109702</v>
      </c>
      <c r="O1364">
        <v>1857880.29</v>
      </c>
      <c r="P1364">
        <v>0.19665111517001199</v>
      </c>
      <c r="Q1364">
        <v>62768</v>
      </c>
      <c r="R1364">
        <v>0.313173394770561</v>
      </c>
      <c r="S1364">
        <v>47.230097661228697</v>
      </c>
      <c r="T1364">
        <v>2964538.77</v>
      </c>
      <c r="U1364">
        <v>0.31378763110677299</v>
      </c>
      <c r="V1364">
        <v>652</v>
      </c>
      <c r="W1364">
        <v>0.46462573399464102</v>
      </c>
    </row>
    <row r="1365" spans="1:23" hidden="1" x14ac:dyDescent="0.25">
      <c r="A1365" t="s">
        <v>182</v>
      </c>
      <c r="B1365">
        <v>4</v>
      </c>
      <c r="C1365">
        <v>2025</v>
      </c>
      <c r="D1365" t="s">
        <v>136</v>
      </c>
      <c r="E1365" t="s">
        <v>137</v>
      </c>
      <c r="F1365">
        <v>-2744</v>
      </c>
      <c r="G1365">
        <v>-106610.950000001</v>
      </c>
      <c r="H1365">
        <v>114144</v>
      </c>
      <c r="I1365">
        <v>0.28475388711358401</v>
      </c>
      <c r="J1365">
        <v>5373803.5499999998</v>
      </c>
      <c r="K1365">
        <v>0.284400579115481</v>
      </c>
      <c r="L1365">
        <v>55700</v>
      </c>
      <c r="M1365">
        <v>0.277908457951827</v>
      </c>
      <c r="N1365">
        <v>47.2818007181328</v>
      </c>
      <c r="O1365">
        <v>2633596.2999999998</v>
      </c>
      <c r="P1365">
        <v>0.27875835277988598</v>
      </c>
      <c r="Q1365">
        <v>58444</v>
      </c>
      <c r="R1365">
        <v>0.29159931627534202</v>
      </c>
      <c r="S1365">
        <v>46.886031927999497</v>
      </c>
      <c r="T1365">
        <v>2740207.25</v>
      </c>
      <c r="U1365">
        <v>0.29004280545101602</v>
      </c>
      <c r="V1365">
        <v>390</v>
      </c>
      <c r="W1365">
        <v>0.27792030100906501</v>
      </c>
    </row>
    <row r="1366" spans="1:23" hidden="1" x14ac:dyDescent="0.25">
      <c r="A1366" t="s">
        <v>182</v>
      </c>
      <c r="B1366">
        <v>4</v>
      </c>
      <c r="C1366">
        <v>2025</v>
      </c>
      <c r="D1366" t="s">
        <v>138</v>
      </c>
      <c r="E1366" t="s">
        <v>139</v>
      </c>
      <c r="F1366">
        <v>61001</v>
      </c>
      <c r="G1366">
        <v>2907709.7</v>
      </c>
      <c r="H1366">
        <v>231235</v>
      </c>
      <c r="I1366">
        <v>0.57685962544426095</v>
      </c>
      <c r="J1366">
        <v>10878012.66</v>
      </c>
      <c r="K1366">
        <v>0.57570267899531402</v>
      </c>
      <c r="L1366">
        <v>146118</v>
      </c>
      <c r="M1366">
        <v>0.72903820572719902</v>
      </c>
      <c r="N1366">
        <v>47.1732516185549</v>
      </c>
      <c r="O1366">
        <v>6892861.1799999997</v>
      </c>
      <c r="P1366">
        <v>0.72958890034787005</v>
      </c>
      <c r="Q1366">
        <v>85117</v>
      </c>
      <c r="R1366">
        <v>0.42468104516132199</v>
      </c>
      <c r="S1366">
        <v>46.819689133780599</v>
      </c>
      <c r="T1366">
        <v>3985151.48</v>
      </c>
      <c r="U1366">
        <v>0.42181645764438702</v>
      </c>
      <c r="V1366">
        <v>355</v>
      </c>
      <c r="W1366">
        <v>0.252978735533892</v>
      </c>
    </row>
    <row r="1367" spans="1:23" hidden="1" x14ac:dyDescent="0.25">
      <c r="A1367" t="s">
        <v>182</v>
      </c>
      <c r="B1367">
        <v>4</v>
      </c>
      <c r="C1367">
        <v>2025</v>
      </c>
      <c r="D1367" t="s">
        <v>140</v>
      </c>
      <c r="E1367" t="s">
        <v>141</v>
      </c>
      <c r="F1367">
        <v>-2930</v>
      </c>
      <c r="G1367">
        <v>-139055.5</v>
      </c>
      <c r="H1367">
        <v>2930</v>
      </c>
      <c r="I1367">
        <v>7.3094414883200396E-3</v>
      </c>
      <c r="J1367">
        <v>139055.5</v>
      </c>
      <c r="K1367">
        <v>7.3593060038811301E-3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2930</v>
      </c>
      <c r="R1367">
        <v>1.46188829766401E-2</v>
      </c>
      <c r="S1367">
        <v>47.4592150170648</v>
      </c>
      <c r="T1367">
        <v>139055.5</v>
      </c>
      <c r="U1367">
        <v>1.4718612007684401E-2</v>
      </c>
      <c r="V1367">
        <v>21</v>
      </c>
      <c r="W1367">
        <v>1.49649392851035E-2</v>
      </c>
    </row>
    <row r="1368" spans="1:23" hidden="1" x14ac:dyDescent="0.25">
      <c r="A1368" t="s">
        <v>182</v>
      </c>
      <c r="B1368">
        <v>4</v>
      </c>
      <c r="C1368">
        <v>2025</v>
      </c>
      <c r="D1368" t="s">
        <v>142</v>
      </c>
      <c r="E1368" t="s">
        <v>143</v>
      </c>
      <c r="F1368">
        <v>408485</v>
      </c>
      <c r="G1368">
        <v>19183618.73</v>
      </c>
      <c r="H1368">
        <v>1926809</v>
      </c>
      <c r="I1368">
        <v>4.8067910050062901</v>
      </c>
      <c r="J1368">
        <v>90190385.170000002</v>
      </c>
      <c r="K1368">
        <v>4.7731923086388699</v>
      </c>
      <c r="L1368">
        <v>1167647</v>
      </c>
      <c r="M1368">
        <v>5.8258344201450001</v>
      </c>
      <c r="N1368">
        <v>46.835218135275497</v>
      </c>
      <c r="O1368">
        <v>54687001.950000003</v>
      </c>
      <c r="P1368">
        <v>5.7884568648780403</v>
      </c>
      <c r="Q1368">
        <v>759162</v>
      </c>
      <c r="R1368">
        <v>3.7877475898675899</v>
      </c>
      <c r="S1368">
        <v>46.7665441895142</v>
      </c>
      <c r="T1368">
        <v>35503383.219999999</v>
      </c>
      <c r="U1368">
        <v>3.75792775241045</v>
      </c>
      <c r="V1368">
        <v>10844</v>
      </c>
      <c r="W1368">
        <v>7.7276096003648602</v>
      </c>
    </row>
    <row r="1369" spans="1:23" hidden="1" x14ac:dyDescent="0.25">
      <c r="A1369" t="s">
        <v>182</v>
      </c>
      <c r="B1369">
        <v>4</v>
      </c>
      <c r="C1369">
        <v>2025</v>
      </c>
      <c r="D1369" t="s">
        <v>144</v>
      </c>
      <c r="E1369" t="s">
        <v>145</v>
      </c>
      <c r="F1369">
        <v>20540</v>
      </c>
      <c r="G1369">
        <v>593311.34999999404</v>
      </c>
      <c r="H1369">
        <v>5868606</v>
      </c>
      <c r="I1369">
        <v>14.6403522781583</v>
      </c>
      <c r="J1369">
        <v>276883112.47000003</v>
      </c>
      <c r="K1369">
        <v>14.653627882203599</v>
      </c>
      <c r="L1369">
        <v>2944573</v>
      </c>
      <c r="M1369">
        <v>14.6915932092744</v>
      </c>
      <c r="N1369">
        <v>47.116580879468799</v>
      </c>
      <c r="O1369">
        <v>138738211.91</v>
      </c>
      <c r="P1369">
        <v>14.685028005111599</v>
      </c>
      <c r="Q1369">
        <v>2924033</v>
      </c>
      <c r="R1369">
        <v>14.5891113470423</v>
      </c>
      <c r="S1369">
        <v>47.244644831299802</v>
      </c>
      <c r="T1369">
        <v>138144900.56</v>
      </c>
      <c r="U1369">
        <v>14.6222277592959</v>
      </c>
      <c r="V1369">
        <v>10875</v>
      </c>
      <c r="W1369">
        <v>7.7497007012142998</v>
      </c>
    </row>
    <row r="1370" spans="1:23" hidden="1" x14ac:dyDescent="0.25">
      <c r="A1370" t="s">
        <v>182</v>
      </c>
      <c r="B1370">
        <v>4</v>
      </c>
      <c r="C1370">
        <v>2025</v>
      </c>
      <c r="D1370" t="s">
        <v>146</v>
      </c>
      <c r="E1370" t="s">
        <v>147</v>
      </c>
      <c r="F1370">
        <v>86621</v>
      </c>
      <c r="G1370">
        <v>4140089.17</v>
      </c>
      <c r="H1370">
        <v>359955</v>
      </c>
      <c r="I1370">
        <v>0.89797611294479096</v>
      </c>
      <c r="J1370">
        <v>17036990.989999998</v>
      </c>
      <c r="K1370">
        <v>0.90165746828263305</v>
      </c>
      <c r="L1370">
        <v>223288</v>
      </c>
      <c r="M1370">
        <v>1.1140686491767899</v>
      </c>
      <c r="N1370">
        <v>47.420999247608499</v>
      </c>
      <c r="O1370">
        <v>10588540.08</v>
      </c>
      <c r="P1370">
        <v>1.1207655444551601</v>
      </c>
      <c r="Q1370">
        <v>136667</v>
      </c>
      <c r="R1370">
        <v>0.68188357671278799</v>
      </c>
      <c r="S1370">
        <v>47.183672064214498</v>
      </c>
      <c r="T1370">
        <v>6448450.9100000001</v>
      </c>
      <c r="U1370">
        <v>0.68254939211242305</v>
      </c>
      <c r="V1370">
        <v>1296</v>
      </c>
      <c r="W1370">
        <v>0.92355053873781401</v>
      </c>
    </row>
    <row r="1371" spans="1:23" x14ac:dyDescent="0.25">
      <c r="A1371" t="s">
        <v>182</v>
      </c>
      <c r="B1371">
        <v>4</v>
      </c>
      <c r="C1371">
        <v>2025</v>
      </c>
      <c r="D1371" t="s">
        <v>148</v>
      </c>
      <c r="E1371" t="s">
        <v>148</v>
      </c>
      <c r="F1371">
        <v>0</v>
      </c>
      <c r="G1371">
        <v>-9.9998894611417199E-3</v>
      </c>
      <c r="H1371">
        <v>40085142</v>
      </c>
      <c r="I1371">
        <v>0</v>
      </c>
      <c r="J1371">
        <v>1889519200.95</v>
      </c>
      <c r="K1371">
        <v>0</v>
      </c>
      <c r="L1371">
        <v>20042571</v>
      </c>
      <c r="M1371">
        <v>100</v>
      </c>
      <c r="N1371">
        <v>47.190575640831398</v>
      </c>
      <c r="O1371">
        <v>944759600.47000003</v>
      </c>
      <c r="P1371">
        <v>100</v>
      </c>
      <c r="Q1371">
        <v>20042571</v>
      </c>
      <c r="R1371">
        <v>100</v>
      </c>
      <c r="S1371">
        <v>47.155766420224602</v>
      </c>
      <c r="T1371">
        <v>944759600.48000002</v>
      </c>
      <c r="U1371">
        <v>100</v>
      </c>
      <c r="V1371">
        <v>140328</v>
      </c>
      <c r="W1371">
        <v>100</v>
      </c>
    </row>
    <row r="1372" spans="1:23" hidden="1" x14ac:dyDescent="0.25">
      <c r="A1372" t="s">
        <v>182</v>
      </c>
      <c r="B1372">
        <v>4</v>
      </c>
      <c r="C1372">
        <v>2025</v>
      </c>
      <c r="D1372" t="s">
        <v>149</v>
      </c>
      <c r="E1372" t="s">
        <v>150</v>
      </c>
      <c r="F1372">
        <v>476660</v>
      </c>
      <c r="G1372">
        <v>22494026.559999999</v>
      </c>
      <c r="H1372">
        <v>3182530</v>
      </c>
      <c r="I1372">
        <v>7.9394255357758299</v>
      </c>
      <c r="J1372">
        <v>149619504.44</v>
      </c>
      <c r="K1372">
        <v>7.9183902637652697</v>
      </c>
      <c r="L1372">
        <v>1829595</v>
      </c>
      <c r="M1372">
        <v>9.1285444367391797</v>
      </c>
      <c r="N1372">
        <v>47.035964516737302</v>
      </c>
      <c r="O1372">
        <v>86056765.5</v>
      </c>
      <c r="P1372">
        <v>9.1088532423685802</v>
      </c>
      <c r="Q1372">
        <v>1352935</v>
      </c>
      <c r="R1372">
        <v>6.7503066348124703</v>
      </c>
      <c r="S1372">
        <v>46.981369348860099</v>
      </c>
      <c r="T1372">
        <v>63562738.939999998</v>
      </c>
      <c r="U1372">
        <v>6.72792728517455</v>
      </c>
      <c r="V1372">
        <v>13282</v>
      </c>
      <c r="W1372">
        <v>9.4649677897497302</v>
      </c>
    </row>
    <row r="1373" spans="1:23" hidden="1" x14ac:dyDescent="0.25">
      <c r="A1373" t="s">
        <v>182</v>
      </c>
      <c r="B1373">
        <v>4</v>
      </c>
      <c r="C1373">
        <v>2025</v>
      </c>
      <c r="D1373" t="s">
        <v>183</v>
      </c>
      <c r="E1373" t="s">
        <v>184</v>
      </c>
      <c r="F1373">
        <v>58139</v>
      </c>
      <c r="G1373">
        <v>2771670.82</v>
      </c>
      <c r="H1373">
        <v>102031</v>
      </c>
      <c r="I1373">
        <v>0.25453570801869702</v>
      </c>
      <c r="J1373">
        <v>4847099.24</v>
      </c>
      <c r="K1373">
        <v>0.256525535044206</v>
      </c>
      <c r="L1373">
        <v>80085</v>
      </c>
      <c r="M1373">
        <v>0.39957448572840298</v>
      </c>
      <c r="N1373">
        <v>47.566773178497797</v>
      </c>
      <c r="O1373">
        <v>3809385.03</v>
      </c>
      <c r="P1373">
        <v>0.40321210052852602</v>
      </c>
      <c r="Q1373">
        <v>21946</v>
      </c>
      <c r="R1373">
        <v>0.10949693030899101</v>
      </c>
      <c r="S1373">
        <v>47.284890640663399</v>
      </c>
      <c r="T1373">
        <v>1037714.21</v>
      </c>
      <c r="U1373">
        <v>0.109838969561439</v>
      </c>
      <c r="V1373">
        <v>198</v>
      </c>
      <c r="W1373">
        <v>0.14109799897383299</v>
      </c>
    </row>
    <row r="1374" spans="1:23" hidden="1" x14ac:dyDescent="0.25">
      <c r="A1374" t="s">
        <v>182</v>
      </c>
      <c r="B1374">
        <v>4</v>
      </c>
      <c r="C1374">
        <v>2025</v>
      </c>
      <c r="D1374" t="s">
        <v>151</v>
      </c>
      <c r="E1374" t="s">
        <v>152</v>
      </c>
      <c r="F1374">
        <v>20359</v>
      </c>
      <c r="G1374">
        <v>949584.76000000897</v>
      </c>
      <c r="H1374">
        <v>1340215</v>
      </c>
      <c r="I1374">
        <v>3.3434208615252001</v>
      </c>
      <c r="J1374">
        <v>63034106.140000001</v>
      </c>
      <c r="K1374">
        <v>3.3359865360620899</v>
      </c>
      <c r="L1374">
        <v>680287</v>
      </c>
      <c r="M1374">
        <v>3.3942102537643501</v>
      </c>
      <c r="N1374">
        <v>47.0269833908336</v>
      </c>
      <c r="O1374">
        <v>31991845.449999999</v>
      </c>
      <c r="P1374">
        <v>3.3862419004882001</v>
      </c>
      <c r="Q1374">
        <v>659928</v>
      </c>
      <c r="R1374">
        <v>3.2926314692860501</v>
      </c>
      <c r="S1374">
        <v>47.038859830163297</v>
      </c>
      <c r="T1374">
        <v>31042260.690000001</v>
      </c>
      <c r="U1374">
        <v>3.2857311716365198</v>
      </c>
      <c r="V1374">
        <v>6669</v>
      </c>
      <c r="W1374">
        <v>4.7524371472549998</v>
      </c>
    </row>
    <row r="1375" spans="1:23" hidden="1" x14ac:dyDescent="0.25">
      <c r="A1375" t="s">
        <v>182</v>
      </c>
      <c r="B1375">
        <v>4</v>
      </c>
      <c r="C1375">
        <v>2025</v>
      </c>
      <c r="D1375" t="s">
        <v>153</v>
      </c>
      <c r="E1375" t="s">
        <v>154</v>
      </c>
      <c r="F1375">
        <v>9113</v>
      </c>
      <c r="G1375">
        <v>427227.67</v>
      </c>
      <c r="H1375">
        <v>31763</v>
      </c>
      <c r="I1375">
        <v>7.9238836175259106E-2</v>
      </c>
      <c r="J1375">
        <v>1496026.61</v>
      </c>
      <c r="K1375">
        <v>7.9174988496959295E-2</v>
      </c>
      <c r="L1375">
        <v>20438</v>
      </c>
      <c r="M1375">
        <v>0.101972945486884</v>
      </c>
      <c r="N1375">
        <v>47.050941383697001</v>
      </c>
      <c r="O1375">
        <v>961627.14</v>
      </c>
      <c r="P1375">
        <v>0.101785379002405</v>
      </c>
      <c r="Q1375">
        <v>11325</v>
      </c>
      <c r="R1375">
        <v>5.6504726863634398E-2</v>
      </c>
      <c r="S1375">
        <v>47.1875911699779</v>
      </c>
      <c r="T1375">
        <v>534399.47</v>
      </c>
      <c r="U1375">
        <v>5.6564597991752598E-2</v>
      </c>
      <c r="V1375">
        <v>923</v>
      </c>
      <c r="W1375">
        <v>0.65774471238811905</v>
      </c>
    </row>
    <row r="1376" spans="1:23" hidden="1" x14ac:dyDescent="0.25">
      <c r="A1376" t="s">
        <v>182</v>
      </c>
      <c r="B1376">
        <v>4</v>
      </c>
      <c r="C1376">
        <v>2025</v>
      </c>
      <c r="D1376" t="s">
        <v>155</v>
      </c>
      <c r="E1376" t="s">
        <v>156</v>
      </c>
      <c r="F1376">
        <v>2555</v>
      </c>
      <c r="G1376">
        <v>113426.21</v>
      </c>
      <c r="H1376">
        <v>30929</v>
      </c>
      <c r="I1376">
        <v>7.7158264775512103E-2</v>
      </c>
      <c r="J1376">
        <v>1451088.69</v>
      </c>
      <c r="K1376">
        <v>7.6796715760836506E-2</v>
      </c>
      <c r="L1376">
        <v>16742</v>
      </c>
      <c r="M1376">
        <v>8.3532197540924294E-2</v>
      </c>
      <c r="N1376">
        <v>46.724253374746098</v>
      </c>
      <c r="O1376">
        <v>782257.45</v>
      </c>
      <c r="P1376">
        <v>8.2799629621211804E-2</v>
      </c>
      <c r="Q1376">
        <v>14187</v>
      </c>
      <c r="R1376">
        <v>7.0784332010099899E-2</v>
      </c>
      <c r="S1376">
        <v>47.143951504898901</v>
      </c>
      <c r="T1376">
        <v>668831.24</v>
      </c>
      <c r="U1376">
        <v>7.07938019005247E-2</v>
      </c>
      <c r="V1376">
        <v>132</v>
      </c>
      <c r="W1376">
        <v>9.4065332649221803E-2</v>
      </c>
    </row>
    <row r="1377" spans="1:23" hidden="1" x14ac:dyDescent="0.25">
      <c r="A1377" t="s">
        <v>182</v>
      </c>
      <c r="B1377">
        <v>5</v>
      </c>
      <c r="C1377">
        <v>2025</v>
      </c>
      <c r="D1377" t="s">
        <v>88</v>
      </c>
      <c r="E1377" t="s">
        <v>89</v>
      </c>
      <c r="F1377">
        <v>46245</v>
      </c>
      <c r="G1377">
        <v>2285451.4</v>
      </c>
      <c r="H1377">
        <v>765303</v>
      </c>
      <c r="I1377">
        <v>2.2380971598825101</v>
      </c>
      <c r="J1377">
        <v>35857188.539999999</v>
      </c>
      <c r="K1377">
        <v>2.23951177624375</v>
      </c>
      <c r="L1377">
        <v>405774</v>
      </c>
      <c r="M1377">
        <v>2.37333876112903</v>
      </c>
      <c r="N1377">
        <v>46.999856989358598</v>
      </c>
      <c r="O1377">
        <v>19071319.969999999</v>
      </c>
      <c r="P1377">
        <v>2.3822528982242401</v>
      </c>
      <c r="Q1377">
        <v>359529</v>
      </c>
      <c r="R1377">
        <v>2.1028555586359898</v>
      </c>
      <c r="S1377">
        <v>46.688496811105601</v>
      </c>
      <c r="T1377">
        <v>16785868.57</v>
      </c>
      <c r="U1377">
        <v>2.09677065425968</v>
      </c>
      <c r="V1377">
        <v>2921</v>
      </c>
      <c r="W1377">
        <v>2.2062600078552199</v>
      </c>
    </row>
    <row r="1378" spans="1:23" hidden="1" x14ac:dyDescent="0.25">
      <c r="A1378" t="s">
        <v>182</v>
      </c>
      <c r="B1378">
        <v>5</v>
      </c>
      <c r="C1378">
        <v>2025</v>
      </c>
      <c r="D1378" t="s">
        <v>90</v>
      </c>
      <c r="E1378" t="s">
        <v>91</v>
      </c>
      <c r="F1378">
        <v>-189262</v>
      </c>
      <c r="G1378">
        <v>-8534108.6600000095</v>
      </c>
      <c r="H1378">
        <v>1408824</v>
      </c>
      <c r="I1378">
        <v>4.1200478675430698</v>
      </c>
      <c r="J1378">
        <v>65837476.219999999</v>
      </c>
      <c r="K1378">
        <v>4.1119733396939004</v>
      </c>
      <c r="L1378">
        <v>609781</v>
      </c>
      <c r="M1378">
        <v>3.5665589296012601</v>
      </c>
      <c r="N1378">
        <v>46.986842456554101</v>
      </c>
      <c r="O1378">
        <v>28651683.780000001</v>
      </c>
      <c r="P1378">
        <v>3.57896342944685</v>
      </c>
      <c r="Q1378">
        <v>799043</v>
      </c>
      <c r="R1378">
        <v>4.67353680548488</v>
      </c>
      <c r="S1378">
        <v>46.537911526663798</v>
      </c>
      <c r="T1378">
        <v>37185792.439999998</v>
      </c>
      <c r="U1378">
        <v>4.6449832499542598</v>
      </c>
      <c r="V1378">
        <v>9823</v>
      </c>
      <c r="W1378">
        <v>7.4194084413426404</v>
      </c>
    </row>
    <row r="1379" spans="1:23" hidden="1" x14ac:dyDescent="0.25">
      <c r="A1379" t="s">
        <v>182</v>
      </c>
      <c r="B1379">
        <v>5</v>
      </c>
      <c r="C1379">
        <v>2025</v>
      </c>
      <c r="D1379" t="s">
        <v>92</v>
      </c>
      <c r="E1379" t="s">
        <v>93</v>
      </c>
      <c r="F1379">
        <v>1378</v>
      </c>
      <c r="G1379">
        <v>57017.3</v>
      </c>
      <c r="H1379">
        <v>53314</v>
      </c>
      <c r="I1379">
        <v>0.155914601121355</v>
      </c>
      <c r="J1379">
        <v>2470493.02</v>
      </c>
      <c r="K1379">
        <v>0.154298159914184</v>
      </c>
      <c r="L1379">
        <v>27346</v>
      </c>
      <c r="M1379">
        <v>0.159944505468153</v>
      </c>
      <c r="N1379">
        <v>46.213528852483002</v>
      </c>
      <c r="O1379">
        <v>1263755.1599999999</v>
      </c>
      <c r="P1379">
        <v>0.15785925658484101</v>
      </c>
      <c r="Q1379">
        <v>25968</v>
      </c>
      <c r="R1379">
        <v>0.15188469677455599</v>
      </c>
      <c r="S1379">
        <v>46.470188693776997</v>
      </c>
      <c r="T1379">
        <v>1206737.8600000001</v>
      </c>
      <c r="U1379">
        <v>0.150737063243438</v>
      </c>
      <c r="V1379">
        <v>109</v>
      </c>
      <c r="W1379">
        <v>8.2328771261971703E-2</v>
      </c>
    </row>
    <row r="1380" spans="1:23" hidden="1" x14ac:dyDescent="0.25">
      <c r="A1380" t="s">
        <v>182</v>
      </c>
      <c r="B1380">
        <v>5</v>
      </c>
      <c r="C1380">
        <v>2025</v>
      </c>
      <c r="D1380" t="s">
        <v>94</v>
      </c>
      <c r="E1380" t="s">
        <v>95</v>
      </c>
      <c r="F1380">
        <v>1215507</v>
      </c>
      <c r="G1380">
        <v>55129974.390000001</v>
      </c>
      <c r="H1380">
        <v>3992485</v>
      </c>
      <c r="I1380">
        <v>11.675858240949699</v>
      </c>
      <c r="J1380">
        <v>186828215.99000001</v>
      </c>
      <c r="K1380">
        <v>11.668622300866399</v>
      </c>
      <c r="L1380">
        <v>2603996</v>
      </c>
      <c r="M1380">
        <v>15.230558489762601</v>
      </c>
      <c r="N1380">
        <v>46.459017291117199</v>
      </c>
      <c r="O1380">
        <v>120979095.19</v>
      </c>
      <c r="P1380">
        <v>15.111843364501199</v>
      </c>
      <c r="Q1380">
        <v>1388489</v>
      </c>
      <c r="R1380">
        <v>8.1211579921367196</v>
      </c>
      <c r="S1380">
        <v>47.425021588215699</v>
      </c>
      <c r="T1380">
        <v>65849120.799999997</v>
      </c>
      <c r="U1380">
        <v>8.2254012371455705</v>
      </c>
      <c r="V1380">
        <v>7303</v>
      </c>
      <c r="W1380">
        <v>5.5160276745520997</v>
      </c>
    </row>
    <row r="1381" spans="1:23" hidden="1" x14ac:dyDescent="0.25">
      <c r="A1381" t="s">
        <v>182</v>
      </c>
      <c r="B1381">
        <v>5</v>
      </c>
      <c r="C1381">
        <v>2025</v>
      </c>
      <c r="D1381" t="s">
        <v>96</v>
      </c>
      <c r="E1381" t="s">
        <v>97</v>
      </c>
      <c r="F1381">
        <v>59466</v>
      </c>
      <c r="G1381">
        <v>2741570.3</v>
      </c>
      <c r="H1381">
        <v>430826</v>
      </c>
      <c r="I1381">
        <v>1.2599329246109601</v>
      </c>
      <c r="J1381">
        <v>20127388.539999999</v>
      </c>
      <c r="K1381">
        <v>1.25708471566531</v>
      </c>
      <c r="L1381">
        <v>245146</v>
      </c>
      <c r="M1381">
        <v>1.43383879680743</v>
      </c>
      <c r="N1381">
        <v>46.6435488239661</v>
      </c>
      <c r="O1381">
        <v>11434479.42</v>
      </c>
      <c r="P1381">
        <v>1.4283133931384799</v>
      </c>
      <c r="Q1381">
        <v>185680</v>
      </c>
      <c r="R1381">
        <v>1.0860270524144899</v>
      </c>
      <c r="S1381">
        <v>46.816615252046503</v>
      </c>
      <c r="T1381">
        <v>8692909.1199999992</v>
      </c>
      <c r="U1381">
        <v>1.0858560381878599</v>
      </c>
      <c r="V1381">
        <v>2118</v>
      </c>
      <c r="W1381">
        <v>1.59974621589776</v>
      </c>
    </row>
    <row r="1382" spans="1:23" hidden="1" x14ac:dyDescent="0.25">
      <c r="A1382" t="s">
        <v>182</v>
      </c>
      <c r="B1382">
        <v>5</v>
      </c>
      <c r="C1382">
        <v>2025</v>
      </c>
      <c r="D1382" t="s">
        <v>98</v>
      </c>
      <c r="E1382" t="s">
        <v>99</v>
      </c>
      <c r="F1382">
        <v>-2800</v>
      </c>
      <c r="G1382">
        <v>-132272</v>
      </c>
      <c r="H1382">
        <v>2800</v>
      </c>
      <c r="I1382">
        <v>8.1884848846417897E-3</v>
      </c>
      <c r="J1382">
        <v>132272</v>
      </c>
      <c r="K1382">
        <v>8.2612361350322596E-3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2800</v>
      </c>
      <c r="R1382">
        <v>1.63769697692836E-2</v>
      </c>
      <c r="S1382">
        <v>47.24</v>
      </c>
      <c r="T1382">
        <v>132272</v>
      </c>
      <c r="U1382">
        <v>1.6522472270270899E-2</v>
      </c>
      <c r="V1382">
        <v>2</v>
      </c>
      <c r="W1382">
        <v>1.5106196561829701E-3</v>
      </c>
    </row>
    <row r="1383" spans="1:23" hidden="1" x14ac:dyDescent="0.25">
      <c r="A1383" t="s">
        <v>182</v>
      </c>
      <c r="B1383">
        <v>5</v>
      </c>
      <c r="C1383">
        <v>2025</v>
      </c>
      <c r="D1383" t="s">
        <v>157</v>
      </c>
      <c r="E1383" t="s">
        <v>158</v>
      </c>
      <c r="F1383">
        <v>-80</v>
      </c>
      <c r="G1383">
        <v>-3765.6</v>
      </c>
      <c r="H1383">
        <v>80</v>
      </c>
      <c r="I1383">
        <v>2.3395671098976601E-4</v>
      </c>
      <c r="J1383">
        <v>3765.6</v>
      </c>
      <c r="K1383">
        <v>2.3518591077535301E-4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80</v>
      </c>
      <c r="R1383">
        <v>4.6791342197953099E-4</v>
      </c>
      <c r="S1383">
        <v>47.07</v>
      </c>
      <c r="T1383">
        <v>3765.6</v>
      </c>
      <c r="U1383">
        <v>4.7037182155658098E-4</v>
      </c>
      <c r="V1383">
        <v>2</v>
      </c>
      <c r="W1383">
        <v>1.5106196561829701E-3</v>
      </c>
    </row>
    <row r="1384" spans="1:23" hidden="1" x14ac:dyDescent="0.25">
      <c r="A1384" t="s">
        <v>182</v>
      </c>
      <c r="B1384">
        <v>5</v>
      </c>
      <c r="C1384">
        <v>2025</v>
      </c>
      <c r="D1384" t="s">
        <v>100</v>
      </c>
      <c r="E1384" t="s">
        <v>101</v>
      </c>
      <c r="F1384">
        <v>-37160</v>
      </c>
      <c r="G1384">
        <v>-1708507.59</v>
      </c>
      <c r="H1384">
        <v>81762</v>
      </c>
      <c r="I1384">
        <v>0.23910960754931501</v>
      </c>
      <c r="J1384">
        <v>3811958.43</v>
      </c>
      <c r="K1384">
        <v>0.238081292542313</v>
      </c>
      <c r="L1384">
        <v>22301</v>
      </c>
      <c r="M1384">
        <v>0.13043671529456899</v>
      </c>
      <c r="N1384">
        <v>47.160460069055198</v>
      </c>
      <c r="O1384">
        <v>1051725.42</v>
      </c>
      <c r="P1384">
        <v>0.13137401783790101</v>
      </c>
      <c r="Q1384">
        <v>59461</v>
      </c>
      <c r="R1384">
        <v>0.34778249980406101</v>
      </c>
      <c r="S1384">
        <v>46.420897899463498</v>
      </c>
      <c r="T1384">
        <v>2760233.01</v>
      </c>
      <c r="U1384">
        <v>0.344788567249391</v>
      </c>
      <c r="V1384">
        <v>494</v>
      </c>
      <c r="W1384">
        <v>0.37312305507719301</v>
      </c>
    </row>
    <row r="1385" spans="1:23" hidden="1" x14ac:dyDescent="0.25">
      <c r="A1385" t="s">
        <v>182</v>
      </c>
      <c r="B1385">
        <v>5</v>
      </c>
      <c r="C1385">
        <v>2025</v>
      </c>
      <c r="D1385" t="s">
        <v>159</v>
      </c>
      <c r="E1385" t="s">
        <v>160</v>
      </c>
      <c r="F1385">
        <v>-800</v>
      </c>
      <c r="G1385">
        <v>-37040</v>
      </c>
      <c r="H1385">
        <v>800</v>
      </c>
      <c r="I1385">
        <v>2.3395671098976598E-3</v>
      </c>
      <c r="J1385">
        <v>37040</v>
      </c>
      <c r="K1385">
        <v>2.3133859504777601E-3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800</v>
      </c>
      <c r="R1385">
        <v>4.6791342197953101E-3</v>
      </c>
      <c r="S1385">
        <v>46.3</v>
      </c>
      <c r="T1385">
        <v>37040</v>
      </c>
      <c r="U1385">
        <v>4.6267719010133204E-3</v>
      </c>
      <c r="V1385">
        <v>8</v>
      </c>
      <c r="W1385">
        <v>6.0424786247318604E-3</v>
      </c>
    </row>
    <row r="1386" spans="1:23" hidden="1" x14ac:dyDescent="0.25">
      <c r="A1386" t="s">
        <v>182</v>
      </c>
      <c r="B1386">
        <v>5</v>
      </c>
      <c r="C1386">
        <v>2025</v>
      </c>
      <c r="D1386" t="s">
        <v>102</v>
      </c>
      <c r="E1386" t="s">
        <v>103</v>
      </c>
      <c r="F1386">
        <v>-114456</v>
      </c>
      <c r="G1386">
        <v>-4598259.5400000401</v>
      </c>
      <c r="H1386">
        <v>2892080</v>
      </c>
      <c r="I1386">
        <v>8.4577690589910102</v>
      </c>
      <c r="J1386">
        <v>135182813.78</v>
      </c>
      <c r="K1386">
        <v>8.4430351550946003</v>
      </c>
      <c r="L1386">
        <v>1388812</v>
      </c>
      <c r="M1386">
        <v>8.1230471925779604</v>
      </c>
      <c r="N1386">
        <v>47.013042168414401</v>
      </c>
      <c r="O1386">
        <v>65292277.119999997</v>
      </c>
      <c r="P1386">
        <v>8.1558443068154496</v>
      </c>
      <c r="Q1386">
        <v>1503268</v>
      </c>
      <c r="R1386">
        <v>8.7924909254040706</v>
      </c>
      <c r="S1386">
        <v>46.492399665262603</v>
      </c>
      <c r="T1386">
        <v>69890536.659999996</v>
      </c>
      <c r="U1386">
        <v>8.7302260033809294</v>
      </c>
      <c r="V1386">
        <v>12598</v>
      </c>
      <c r="W1386">
        <v>9.5153932142965001</v>
      </c>
    </row>
    <row r="1387" spans="1:23" hidden="1" x14ac:dyDescent="0.25">
      <c r="A1387" t="s">
        <v>182</v>
      </c>
      <c r="B1387">
        <v>5</v>
      </c>
      <c r="C1387">
        <v>2025</v>
      </c>
      <c r="D1387" t="s">
        <v>161</v>
      </c>
      <c r="E1387" t="s">
        <v>162</v>
      </c>
      <c r="F1387">
        <v>-149240</v>
      </c>
      <c r="G1387">
        <v>-7117958.8099999996</v>
      </c>
      <c r="H1387">
        <v>164312</v>
      </c>
      <c r="I1387">
        <v>0.48052368870188</v>
      </c>
      <c r="J1387">
        <v>7824410.4900000002</v>
      </c>
      <c r="K1387">
        <v>0.48868470027907301</v>
      </c>
      <c r="L1387">
        <v>7536</v>
      </c>
      <c r="M1387">
        <v>4.4077444350471798E-2</v>
      </c>
      <c r="N1387">
        <v>46.871794055201697</v>
      </c>
      <c r="O1387">
        <v>353225.84</v>
      </c>
      <c r="P1387">
        <v>4.4122445766279703E-2</v>
      </c>
      <c r="Q1387">
        <v>156776</v>
      </c>
      <c r="R1387">
        <v>0.916969933053287</v>
      </c>
      <c r="S1387">
        <v>47.6551554447109</v>
      </c>
      <c r="T1387">
        <v>7471184.6500000004</v>
      </c>
      <c r="U1387">
        <v>0.93324695480297104</v>
      </c>
      <c r="V1387">
        <v>202</v>
      </c>
      <c r="W1387">
        <v>0.15257258527448</v>
      </c>
    </row>
    <row r="1388" spans="1:23" hidden="1" x14ac:dyDescent="0.25">
      <c r="A1388" t="s">
        <v>182</v>
      </c>
      <c r="B1388">
        <v>5</v>
      </c>
      <c r="C1388">
        <v>2025</v>
      </c>
      <c r="D1388" t="s">
        <v>104</v>
      </c>
      <c r="E1388" t="s">
        <v>105</v>
      </c>
      <c r="F1388">
        <v>-101235</v>
      </c>
      <c r="G1388">
        <v>-4666151.38</v>
      </c>
      <c r="H1388">
        <v>952205</v>
      </c>
      <c r="I1388">
        <v>2.7846843748501202</v>
      </c>
      <c r="J1388">
        <v>44579437.68</v>
      </c>
      <c r="K1388">
        <v>2.7842722680645502</v>
      </c>
      <c r="L1388">
        <v>425485</v>
      </c>
      <c r="M1388">
        <v>2.48862677938701</v>
      </c>
      <c r="N1388">
        <v>46.9032824893944</v>
      </c>
      <c r="O1388">
        <v>19956643.149999999</v>
      </c>
      <c r="P1388">
        <v>2.49284113830084</v>
      </c>
      <c r="Q1388">
        <v>526720</v>
      </c>
      <c r="R1388">
        <v>3.0807419703132299</v>
      </c>
      <c r="S1388">
        <v>46.747407597964802</v>
      </c>
      <c r="T1388">
        <v>24622794.530000001</v>
      </c>
      <c r="U1388">
        <v>3.0757033978355399</v>
      </c>
      <c r="V1388">
        <v>7967</v>
      </c>
      <c r="W1388">
        <v>6.0175534004048501</v>
      </c>
    </row>
    <row r="1389" spans="1:23" hidden="1" x14ac:dyDescent="0.25">
      <c r="A1389" t="s">
        <v>182</v>
      </c>
      <c r="B1389">
        <v>5</v>
      </c>
      <c r="C1389">
        <v>2025</v>
      </c>
      <c r="D1389" t="s">
        <v>106</v>
      </c>
      <c r="E1389" t="s">
        <v>107</v>
      </c>
      <c r="F1389">
        <v>48892</v>
      </c>
      <c r="G1389">
        <v>2402309.1500000102</v>
      </c>
      <c r="H1389">
        <v>970186</v>
      </c>
      <c r="I1389">
        <v>2.83726907010396</v>
      </c>
      <c r="J1389">
        <v>45415109.590000004</v>
      </c>
      <c r="K1389">
        <v>2.8364653473248902</v>
      </c>
      <c r="L1389">
        <v>509539</v>
      </c>
      <c r="M1389">
        <v>2.9802517140253499</v>
      </c>
      <c r="N1389">
        <v>46.922236315571503</v>
      </c>
      <c r="O1389">
        <v>23908709.370000001</v>
      </c>
      <c r="P1389">
        <v>2.98650498649693</v>
      </c>
      <c r="Q1389">
        <v>460647</v>
      </c>
      <c r="R1389">
        <v>2.6942864261825599</v>
      </c>
      <c r="S1389">
        <v>46.687377145623401</v>
      </c>
      <c r="T1389">
        <v>21506400.219999999</v>
      </c>
      <c r="U1389">
        <v>2.6864257081491001</v>
      </c>
      <c r="V1389">
        <v>2728</v>
      </c>
      <c r="W1389">
        <v>2.0604852110335701</v>
      </c>
    </row>
    <row r="1390" spans="1:23" hidden="1" x14ac:dyDescent="0.25">
      <c r="A1390" t="s">
        <v>182</v>
      </c>
      <c r="B1390">
        <v>5</v>
      </c>
      <c r="C1390">
        <v>2025</v>
      </c>
      <c r="D1390" t="s">
        <v>173</v>
      </c>
      <c r="E1390" t="s">
        <v>174</v>
      </c>
      <c r="F1390">
        <v>-42</v>
      </c>
      <c r="G1390">
        <v>-1964.46</v>
      </c>
      <c r="H1390">
        <v>78</v>
      </c>
      <c r="I1390">
        <v>2.28107793215021E-4</v>
      </c>
      <c r="J1390">
        <v>3643.14</v>
      </c>
      <c r="K1390">
        <v>2.2753749707406999E-4</v>
      </c>
      <c r="L1390">
        <v>18</v>
      </c>
      <c r="M1390">
        <v>1.05280519945395E-4</v>
      </c>
      <c r="N1390">
        <v>46.63</v>
      </c>
      <c r="O1390">
        <v>839.34</v>
      </c>
      <c r="P1390">
        <v>1.0484435008908E-4</v>
      </c>
      <c r="Q1390">
        <v>60</v>
      </c>
      <c r="R1390">
        <v>3.50935066484648E-4</v>
      </c>
      <c r="S1390">
        <v>46.73</v>
      </c>
      <c r="T1390">
        <v>2803.8</v>
      </c>
      <c r="U1390">
        <v>3.5023064406212599E-4</v>
      </c>
      <c r="V1390">
        <v>4</v>
      </c>
      <c r="W1390">
        <v>3.0212393123659302E-3</v>
      </c>
    </row>
    <row r="1391" spans="1:23" hidden="1" x14ac:dyDescent="0.25">
      <c r="A1391" t="s">
        <v>182</v>
      </c>
      <c r="B1391">
        <v>5</v>
      </c>
      <c r="C1391">
        <v>2025</v>
      </c>
      <c r="D1391" t="s">
        <v>108</v>
      </c>
      <c r="E1391" t="s">
        <v>109</v>
      </c>
      <c r="F1391">
        <v>10711</v>
      </c>
      <c r="G1391">
        <v>502620.39</v>
      </c>
      <c r="H1391">
        <v>19511</v>
      </c>
      <c r="I1391">
        <v>5.7059117351516503E-2</v>
      </c>
      <c r="J1391">
        <v>910148.39</v>
      </c>
      <c r="K1391">
        <v>5.6844613884340103E-2</v>
      </c>
      <c r="L1391">
        <v>15111</v>
      </c>
      <c r="M1391">
        <v>8.8382996494158705E-2</v>
      </c>
      <c r="N1391">
        <v>46.746369532128902</v>
      </c>
      <c r="O1391">
        <v>706384.39</v>
      </c>
      <c r="P1391">
        <v>8.82364861469975E-2</v>
      </c>
      <c r="Q1391">
        <v>4400</v>
      </c>
      <c r="R1391">
        <v>2.57352382088742E-2</v>
      </c>
      <c r="S1391">
        <v>46.31</v>
      </c>
      <c r="T1391">
        <v>203764</v>
      </c>
      <c r="U1391">
        <v>2.54527416208985E-2</v>
      </c>
      <c r="V1391">
        <v>36</v>
      </c>
      <c r="W1391">
        <v>2.71911538112934E-2</v>
      </c>
    </row>
    <row r="1392" spans="1:23" hidden="1" x14ac:dyDescent="0.25">
      <c r="A1392" t="s">
        <v>182</v>
      </c>
      <c r="B1392">
        <v>5</v>
      </c>
      <c r="C1392">
        <v>2025</v>
      </c>
      <c r="D1392" t="s">
        <v>110</v>
      </c>
      <c r="E1392" t="s">
        <v>111</v>
      </c>
      <c r="F1392">
        <v>-207444</v>
      </c>
      <c r="G1392">
        <v>-9870327.4700000007</v>
      </c>
      <c r="H1392">
        <v>529462</v>
      </c>
      <c r="I1392">
        <v>1.5483898514257901</v>
      </c>
      <c r="J1392">
        <v>24988481.670000002</v>
      </c>
      <c r="K1392">
        <v>1.5606912100202299</v>
      </c>
      <c r="L1392">
        <v>161009</v>
      </c>
      <c r="M1392">
        <v>0.94172840199377905</v>
      </c>
      <c r="N1392">
        <v>46.948165009409401</v>
      </c>
      <c r="O1392">
        <v>7559077.0999999996</v>
      </c>
      <c r="P1392">
        <v>0.94422585105290402</v>
      </c>
      <c r="Q1392">
        <v>368453</v>
      </c>
      <c r="R1392">
        <v>2.1550513008577998</v>
      </c>
      <c r="S1392">
        <v>47.304281875843003</v>
      </c>
      <c r="T1392">
        <v>17429404.57</v>
      </c>
      <c r="U1392">
        <v>2.1771565690029502</v>
      </c>
      <c r="V1392">
        <v>2140</v>
      </c>
      <c r="W1392">
        <v>1.61636303211577</v>
      </c>
    </row>
    <row r="1393" spans="1:23" hidden="1" x14ac:dyDescent="0.25">
      <c r="A1393" t="s">
        <v>182</v>
      </c>
      <c r="B1393">
        <v>5</v>
      </c>
      <c r="C1393">
        <v>2025</v>
      </c>
      <c r="D1393" t="s">
        <v>112</v>
      </c>
      <c r="E1393" t="s">
        <v>113</v>
      </c>
      <c r="F1393">
        <v>7986</v>
      </c>
      <c r="G1393">
        <v>406986.68</v>
      </c>
      <c r="H1393">
        <v>51662</v>
      </c>
      <c r="I1393">
        <v>0.15108339503941601</v>
      </c>
      <c r="J1393">
        <v>2392570.2400000002</v>
      </c>
      <c r="K1393">
        <v>0.149431381715638</v>
      </c>
      <c r="L1393">
        <v>29824</v>
      </c>
      <c r="M1393">
        <v>0.174438123713969</v>
      </c>
      <c r="N1393">
        <v>46.934631840128802</v>
      </c>
      <c r="O1393">
        <v>1399778.46</v>
      </c>
      <c r="P1393">
        <v>0.174850314422514</v>
      </c>
      <c r="Q1393">
        <v>21838</v>
      </c>
      <c r="R1393">
        <v>0.12772866636486299</v>
      </c>
      <c r="S1393">
        <v>45.461662240131901</v>
      </c>
      <c r="T1393">
        <v>992791.78</v>
      </c>
      <c r="U1393">
        <v>0.124012449008126</v>
      </c>
      <c r="V1393">
        <v>180</v>
      </c>
      <c r="W1393">
        <v>0.135955769056467</v>
      </c>
    </row>
    <row r="1394" spans="1:23" hidden="1" x14ac:dyDescent="0.25">
      <c r="A1394" t="s">
        <v>182</v>
      </c>
      <c r="B1394">
        <v>5</v>
      </c>
      <c r="C1394">
        <v>2025</v>
      </c>
      <c r="D1394" t="s">
        <v>114</v>
      </c>
      <c r="E1394" t="s">
        <v>115</v>
      </c>
      <c r="F1394">
        <v>199561</v>
      </c>
      <c r="G1394">
        <v>9514614.75</v>
      </c>
      <c r="H1394">
        <v>200169</v>
      </c>
      <c r="I1394">
        <v>0.58538601102637999</v>
      </c>
      <c r="J1394">
        <v>9543132.6699999999</v>
      </c>
      <c r="K1394">
        <v>0.59602994174739099</v>
      </c>
      <c r="L1394">
        <v>199865</v>
      </c>
      <c r="M1394">
        <v>1.16899395104924</v>
      </c>
      <c r="N1394">
        <v>47.676550221399502</v>
      </c>
      <c r="O1394">
        <v>9528873.7100000009</v>
      </c>
      <c r="P1394">
        <v>1.1902787561725501</v>
      </c>
      <c r="Q1394">
        <v>304</v>
      </c>
      <c r="R1394">
        <v>1.7780710035222201E-3</v>
      </c>
      <c r="S1394">
        <v>46.904473684210501</v>
      </c>
      <c r="T1394">
        <v>14258.96</v>
      </c>
      <c r="U1394">
        <v>1.7811273073885801E-3</v>
      </c>
      <c r="V1394">
        <v>156</v>
      </c>
      <c r="W1394">
        <v>0.117828333182271</v>
      </c>
    </row>
    <row r="1395" spans="1:23" hidden="1" x14ac:dyDescent="0.25">
      <c r="A1395" t="s">
        <v>182</v>
      </c>
      <c r="B1395">
        <v>5</v>
      </c>
      <c r="C1395">
        <v>2025</v>
      </c>
      <c r="D1395" t="s">
        <v>169</v>
      </c>
      <c r="E1395" t="s">
        <v>170</v>
      </c>
      <c r="F1395">
        <v>850</v>
      </c>
      <c r="G1395">
        <v>39788.5</v>
      </c>
      <c r="H1395">
        <v>850</v>
      </c>
      <c r="I1395">
        <v>2.4857900542662602E-3</v>
      </c>
      <c r="J1395">
        <v>39788.5</v>
      </c>
      <c r="K1395">
        <v>2.4850474322511999E-3</v>
      </c>
      <c r="L1395">
        <v>850</v>
      </c>
      <c r="M1395">
        <v>4.9715801085325204E-3</v>
      </c>
      <c r="N1395">
        <v>46.81</v>
      </c>
      <c r="O1395">
        <v>39788.5</v>
      </c>
      <c r="P1395">
        <v>4.9700948644403201E-3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4</v>
      </c>
      <c r="W1395">
        <v>3.0212393123659302E-3</v>
      </c>
    </row>
    <row r="1396" spans="1:23" hidden="1" x14ac:dyDescent="0.25">
      <c r="A1396" t="s">
        <v>182</v>
      </c>
      <c r="B1396">
        <v>5</v>
      </c>
      <c r="C1396">
        <v>2025</v>
      </c>
      <c r="D1396" t="s">
        <v>163</v>
      </c>
      <c r="E1396" t="s">
        <v>164</v>
      </c>
      <c r="F1396">
        <v>-10608</v>
      </c>
      <c r="G1396">
        <v>-492461.92</v>
      </c>
      <c r="H1396">
        <v>21800</v>
      </c>
      <c r="I1396">
        <v>6.3753203744711107E-2</v>
      </c>
      <c r="J1396">
        <v>1026252.16</v>
      </c>
      <c r="K1396">
        <v>6.4096040188754297E-2</v>
      </c>
      <c r="L1396">
        <v>5596</v>
      </c>
      <c r="M1396">
        <v>3.2730543867468202E-2</v>
      </c>
      <c r="N1396">
        <v>47.693909935668302</v>
      </c>
      <c r="O1396">
        <v>266895.12</v>
      </c>
      <c r="P1396">
        <v>3.3338629635602801E-2</v>
      </c>
      <c r="Q1396">
        <v>16204</v>
      </c>
      <c r="R1396">
        <v>9.4775863621954004E-2</v>
      </c>
      <c r="S1396">
        <v>46.8623204147124</v>
      </c>
      <c r="T1396">
        <v>759357.04</v>
      </c>
      <c r="U1396">
        <v>9.4853450742674206E-2</v>
      </c>
      <c r="V1396">
        <v>97</v>
      </c>
      <c r="W1396">
        <v>7.3265053324873902E-2</v>
      </c>
    </row>
    <row r="1397" spans="1:23" hidden="1" x14ac:dyDescent="0.25">
      <c r="A1397" t="s">
        <v>182</v>
      </c>
      <c r="B1397">
        <v>5</v>
      </c>
      <c r="C1397">
        <v>2025</v>
      </c>
      <c r="D1397" t="s">
        <v>116</v>
      </c>
      <c r="E1397" t="s">
        <v>117</v>
      </c>
      <c r="F1397">
        <v>-418507</v>
      </c>
      <c r="G1397">
        <v>-19187715.789999999</v>
      </c>
      <c r="H1397">
        <v>2020419</v>
      </c>
      <c r="I1397">
        <v>5.9086323007653903</v>
      </c>
      <c r="J1397">
        <v>94591667.390000001</v>
      </c>
      <c r="K1397">
        <v>5.9078572994679197</v>
      </c>
      <c r="L1397">
        <v>800956</v>
      </c>
      <c r="M1397">
        <v>4.68472578518797</v>
      </c>
      <c r="N1397">
        <v>47.071219642527197</v>
      </c>
      <c r="O1397">
        <v>37701975.799999997</v>
      </c>
      <c r="P1397">
        <v>4.7094611835790099</v>
      </c>
      <c r="Q1397">
        <v>1219463</v>
      </c>
      <c r="R1397">
        <v>7.1325388163428096</v>
      </c>
      <c r="S1397">
        <v>46.651429022446699</v>
      </c>
      <c r="T1397">
        <v>56889691.590000004</v>
      </c>
      <c r="U1397">
        <v>7.10625341538677</v>
      </c>
      <c r="V1397">
        <v>5146</v>
      </c>
      <c r="W1397">
        <v>3.8868243753587701</v>
      </c>
    </row>
    <row r="1398" spans="1:23" hidden="1" x14ac:dyDescent="0.25">
      <c r="A1398" t="s">
        <v>182</v>
      </c>
      <c r="B1398">
        <v>5</v>
      </c>
      <c r="C1398">
        <v>2025</v>
      </c>
      <c r="D1398" t="s">
        <v>118</v>
      </c>
      <c r="E1398" t="s">
        <v>119</v>
      </c>
      <c r="F1398">
        <v>195964</v>
      </c>
      <c r="G1398">
        <v>9208248.0600000005</v>
      </c>
      <c r="H1398">
        <v>682492</v>
      </c>
      <c r="I1398">
        <v>1.99591979496034</v>
      </c>
      <c r="J1398">
        <v>31875329.620000001</v>
      </c>
      <c r="K1398">
        <v>1.9908191066348699</v>
      </c>
      <c r="L1398">
        <v>439228</v>
      </c>
      <c r="M1398">
        <v>2.5690084563653199</v>
      </c>
      <c r="N1398">
        <v>46.767940204176398</v>
      </c>
      <c r="O1398">
        <v>20541788.84</v>
      </c>
      <c r="P1398">
        <v>2.56593335310709</v>
      </c>
      <c r="Q1398">
        <v>243264</v>
      </c>
      <c r="R1398">
        <v>1.4228311335553601</v>
      </c>
      <c r="S1398">
        <v>46.589469794133102</v>
      </c>
      <c r="T1398">
        <v>11333540.779999999</v>
      </c>
      <c r="U1398">
        <v>1.41570486014829</v>
      </c>
      <c r="V1398">
        <v>2758</v>
      </c>
      <c r="W1398">
        <v>2.0831445058763101</v>
      </c>
    </row>
    <row r="1399" spans="1:23" hidden="1" x14ac:dyDescent="0.25">
      <c r="A1399" t="s">
        <v>182</v>
      </c>
      <c r="B1399">
        <v>5</v>
      </c>
      <c r="C1399">
        <v>2025</v>
      </c>
      <c r="D1399" t="s">
        <v>120</v>
      </c>
      <c r="E1399" t="s">
        <v>121</v>
      </c>
      <c r="F1399">
        <v>48583</v>
      </c>
      <c r="G1399">
        <v>2276907.4</v>
      </c>
      <c r="H1399">
        <v>65425</v>
      </c>
      <c r="I1399">
        <v>0.19133272270631799</v>
      </c>
      <c r="J1399">
        <v>3073198.34</v>
      </c>
      <c r="K1399">
        <v>0.19194097901694401</v>
      </c>
      <c r="L1399">
        <v>57004</v>
      </c>
      <c r="M1399">
        <v>0.333411708831515</v>
      </c>
      <c r="N1399">
        <v>46.927458950249097</v>
      </c>
      <c r="O1399">
        <v>2675052.87</v>
      </c>
      <c r="P1399">
        <v>0.33414847333509301</v>
      </c>
      <c r="Q1399">
        <v>8421</v>
      </c>
      <c r="R1399">
        <v>4.9253736581120401E-2</v>
      </c>
      <c r="S1399">
        <v>47.280070062937902</v>
      </c>
      <c r="T1399">
        <v>398145.47</v>
      </c>
      <c r="U1399">
        <v>4.9733484695241401E-2</v>
      </c>
      <c r="V1399">
        <v>153</v>
      </c>
      <c r="W1399">
        <v>0.115562403697997</v>
      </c>
    </row>
    <row r="1400" spans="1:23" hidden="1" x14ac:dyDescent="0.25">
      <c r="A1400" t="s">
        <v>182</v>
      </c>
      <c r="B1400">
        <v>5</v>
      </c>
      <c r="C1400">
        <v>2025</v>
      </c>
      <c r="D1400" t="s">
        <v>122</v>
      </c>
      <c r="E1400" t="s">
        <v>123</v>
      </c>
      <c r="F1400">
        <v>-88766</v>
      </c>
      <c r="G1400">
        <v>-4240913.1399999596</v>
      </c>
      <c r="H1400">
        <v>4083110</v>
      </c>
      <c r="I1400">
        <v>11.9408873276178</v>
      </c>
      <c r="J1400">
        <v>191155388.56</v>
      </c>
      <c r="K1400">
        <v>11.9388820262641</v>
      </c>
      <c r="L1400">
        <v>1997172</v>
      </c>
      <c r="M1400">
        <v>11.681294810021299</v>
      </c>
      <c r="N1400">
        <v>46.794786683370297</v>
      </c>
      <c r="O1400">
        <v>93457237.709999993</v>
      </c>
      <c r="P1400">
        <v>11.6740097562675</v>
      </c>
      <c r="Q1400">
        <v>2085938</v>
      </c>
      <c r="R1400">
        <v>12.2004798452142</v>
      </c>
      <c r="S1400">
        <v>46.8365554728856</v>
      </c>
      <c r="T1400">
        <v>97698150.849999994</v>
      </c>
      <c r="U1400">
        <v>12.2037542962673</v>
      </c>
      <c r="V1400">
        <v>23121</v>
      </c>
      <c r="W1400">
        <v>17.463518535303201</v>
      </c>
    </row>
    <row r="1401" spans="1:23" hidden="1" x14ac:dyDescent="0.25">
      <c r="A1401" t="s">
        <v>182</v>
      </c>
      <c r="B1401">
        <v>5</v>
      </c>
      <c r="C1401">
        <v>2025</v>
      </c>
      <c r="D1401" t="s">
        <v>124</v>
      </c>
      <c r="E1401" t="s">
        <v>125</v>
      </c>
      <c r="F1401">
        <v>-42867</v>
      </c>
      <c r="G1401">
        <v>-1969751.64</v>
      </c>
      <c r="H1401">
        <v>47983</v>
      </c>
      <c r="I1401">
        <v>0.14032431079277399</v>
      </c>
      <c r="J1401">
        <v>2213026.56</v>
      </c>
      <c r="K1401">
        <v>0.13821772548429101</v>
      </c>
      <c r="L1401">
        <v>2558</v>
      </c>
      <c r="M1401">
        <v>1.49615316677955E-2</v>
      </c>
      <c r="N1401">
        <v>47.551782642689602</v>
      </c>
      <c r="O1401">
        <v>121637.46</v>
      </c>
      <c r="P1401">
        <v>1.5194081588136401E-2</v>
      </c>
      <c r="Q1401">
        <v>45425</v>
      </c>
      <c r="R1401">
        <v>0.26568708991775303</v>
      </c>
      <c r="S1401">
        <v>46.040486516235603</v>
      </c>
      <c r="T1401">
        <v>2091389.1</v>
      </c>
      <c r="U1401">
        <v>0.261241369383519</v>
      </c>
      <c r="V1401">
        <v>150</v>
      </c>
      <c r="W1401">
        <v>0.11329647421372201</v>
      </c>
    </row>
    <row r="1402" spans="1:23" hidden="1" x14ac:dyDescent="0.25">
      <c r="A1402" t="s">
        <v>182</v>
      </c>
      <c r="B1402">
        <v>5</v>
      </c>
      <c r="C1402">
        <v>2025</v>
      </c>
      <c r="D1402" t="s">
        <v>126</v>
      </c>
      <c r="E1402" t="s">
        <v>127</v>
      </c>
      <c r="F1402">
        <v>9487</v>
      </c>
      <c r="G1402">
        <v>459305.260000001</v>
      </c>
      <c r="H1402">
        <v>120179</v>
      </c>
      <c r="I1402">
        <v>0.35145854462548798</v>
      </c>
      <c r="J1402">
        <v>5651096.9199999999</v>
      </c>
      <c r="K1402">
        <v>0.35294730614244502</v>
      </c>
      <c r="L1402">
        <v>64833</v>
      </c>
      <c r="M1402">
        <v>0.37920288608998698</v>
      </c>
      <c r="N1402">
        <v>47.124166550984803</v>
      </c>
      <c r="O1402">
        <v>3055201.09</v>
      </c>
      <c r="P1402">
        <v>0.38163387027008999</v>
      </c>
      <c r="Q1402">
        <v>55346</v>
      </c>
      <c r="R1402">
        <v>0.32371420316098898</v>
      </c>
      <c r="S1402">
        <v>46.903043219022102</v>
      </c>
      <c r="T1402">
        <v>2595895.83</v>
      </c>
      <c r="U1402">
        <v>0.324260742014084</v>
      </c>
      <c r="V1402">
        <v>2598</v>
      </c>
      <c r="W1402">
        <v>1.9622949333816699</v>
      </c>
    </row>
    <row r="1403" spans="1:23" hidden="1" x14ac:dyDescent="0.25">
      <c r="A1403" t="s">
        <v>182</v>
      </c>
      <c r="B1403">
        <v>5</v>
      </c>
      <c r="C1403">
        <v>2025</v>
      </c>
      <c r="D1403" t="s">
        <v>128</v>
      </c>
      <c r="E1403" t="s">
        <v>129</v>
      </c>
      <c r="F1403">
        <v>9888</v>
      </c>
      <c r="G1403">
        <v>463946.92</v>
      </c>
      <c r="H1403">
        <v>16288</v>
      </c>
      <c r="I1403">
        <v>4.76335863575163E-2</v>
      </c>
      <c r="J1403">
        <v>762650.92</v>
      </c>
      <c r="K1403">
        <v>4.7632449337120499E-2</v>
      </c>
      <c r="L1403">
        <v>13088</v>
      </c>
      <c r="M1403">
        <v>7.6550635835851297E-2</v>
      </c>
      <c r="N1403">
        <v>46.859636308068502</v>
      </c>
      <c r="O1403">
        <v>613298.92000000004</v>
      </c>
      <c r="P1403">
        <v>7.6608914954290702E-2</v>
      </c>
      <c r="Q1403">
        <v>3200</v>
      </c>
      <c r="R1403">
        <v>1.8716536879181199E-2</v>
      </c>
      <c r="S1403">
        <v>46.672499999999999</v>
      </c>
      <c r="T1403">
        <v>149352</v>
      </c>
      <c r="U1403">
        <v>1.8655983719226301E-2</v>
      </c>
      <c r="V1403">
        <v>32</v>
      </c>
      <c r="W1403">
        <v>2.4169914498927501E-2</v>
      </c>
    </row>
    <row r="1404" spans="1:23" hidden="1" x14ac:dyDescent="0.25">
      <c r="A1404" t="s">
        <v>182</v>
      </c>
      <c r="B1404">
        <v>5</v>
      </c>
      <c r="C1404">
        <v>2025</v>
      </c>
      <c r="D1404" t="s">
        <v>175</v>
      </c>
      <c r="E1404" t="s">
        <v>176</v>
      </c>
      <c r="F1404">
        <v>-12624</v>
      </c>
      <c r="G1404">
        <v>-582683.17000000004</v>
      </c>
      <c r="H1404">
        <v>172562</v>
      </c>
      <c r="I1404">
        <v>0.50465047452269896</v>
      </c>
      <c r="J1404">
        <v>8051563.4699999997</v>
      </c>
      <c r="K1404">
        <v>0.50287186314465504</v>
      </c>
      <c r="L1404">
        <v>79969</v>
      </c>
      <c r="M1404">
        <v>0.46773210552851402</v>
      </c>
      <c r="N1404">
        <v>46.6985975815629</v>
      </c>
      <c r="O1404">
        <v>3734440.15</v>
      </c>
      <c r="P1404">
        <v>0.46647955592884299</v>
      </c>
      <c r="Q1404">
        <v>92593</v>
      </c>
      <c r="R1404">
        <v>0.54156884351688395</v>
      </c>
      <c r="S1404">
        <v>46.624726707202498</v>
      </c>
      <c r="T1404">
        <v>4317123.32</v>
      </c>
      <c r="U1404">
        <v>0.53926417036137597</v>
      </c>
      <c r="V1404">
        <v>313</v>
      </c>
      <c r="W1404">
        <v>0.23641197619263399</v>
      </c>
    </row>
    <row r="1405" spans="1:23" hidden="1" x14ac:dyDescent="0.25">
      <c r="A1405" t="s">
        <v>182</v>
      </c>
      <c r="B1405">
        <v>5</v>
      </c>
      <c r="C1405">
        <v>2025</v>
      </c>
      <c r="D1405" t="s">
        <v>130</v>
      </c>
      <c r="E1405" t="s">
        <v>131</v>
      </c>
      <c r="F1405">
        <v>-875829</v>
      </c>
      <c r="G1405">
        <v>-40976145.840000004</v>
      </c>
      <c r="H1405">
        <v>1681521</v>
      </c>
      <c r="I1405">
        <v>4.9175390327527699</v>
      </c>
      <c r="J1405">
        <v>78805314.640000001</v>
      </c>
      <c r="K1405">
        <v>4.9218981563486999</v>
      </c>
      <c r="L1405">
        <v>402846</v>
      </c>
      <c r="M1405">
        <v>2.3562131298845799</v>
      </c>
      <c r="N1405">
        <v>46.952394711626802</v>
      </c>
      <c r="O1405">
        <v>18914584.399999999</v>
      </c>
      <c r="P1405">
        <v>2.3626746117461801</v>
      </c>
      <c r="Q1405">
        <v>1278675</v>
      </c>
      <c r="R1405">
        <v>7.47886493562096</v>
      </c>
      <c r="S1405">
        <v>46.838117770348198</v>
      </c>
      <c r="T1405">
        <v>59890730.240000002</v>
      </c>
      <c r="U1405">
        <v>7.4811217010151401</v>
      </c>
      <c r="V1405">
        <v>5512</v>
      </c>
      <c r="W1405">
        <v>4.1632677724402596</v>
      </c>
    </row>
    <row r="1406" spans="1:23" hidden="1" x14ac:dyDescent="0.25">
      <c r="A1406" t="s">
        <v>182</v>
      </c>
      <c r="B1406">
        <v>5</v>
      </c>
      <c r="C1406">
        <v>2025</v>
      </c>
      <c r="D1406" t="s">
        <v>132</v>
      </c>
      <c r="E1406" t="s">
        <v>133</v>
      </c>
      <c r="F1406">
        <v>12886</v>
      </c>
      <c r="G1406">
        <v>612239.69999999902</v>
      </c>
      <c r="H1406">
        <v>100048</v>
      </c>
      <c r="I1406">
        <v>0.29258626276380101</v>
      </c>
      <c r="J1406">
        <v>4701587</v>
      </c>
      <c r="K1406">
        <v>0.29364431184527301</v>
      </c>
      <c r="L1406">
        <v>56467</v>
      </c>
      <c r="M1406">
        <v>0.33027083998647699</v>
      </c>
      <c r="N1406">
        <v>47.052497033665702</v>
      </c>
      <c r="O1406">
        <v>2656913.35</v>
      </c>
      <c r="P1406">
        <v>0.33188261422516402</v>
      </c>
      <c r="Q1406">
        <v>43581</v>
      </c>
      <c r="R1406">
        <v>0.25490168554112402</v>
      </c>
      <c r="S1406">
        <v>46.916629953420099</v>
      </c>
      <c r="T1406">
        <v>2044673.65</v>
      </c>
      <c r="U1406">
        <v>0.25540600946442599</v>
      </c>
      <c r="V1406">
        <v>823</v>
      </c>
      <c r="W1406">
        <v>0.62161998851929101</v>
      </c>
    </row>
    <row r="1407" spans="1:23" hidden="1" x14ac:dyDescent="0.25">
      <c r="A1407" t="s">
        <v>182</v>
      </c>
      <c r="B1407">
        <v>5</v>
      </c>
      <c r="C1407">
        <v>2025</v>
      </c>
      <c r="D1407" t="s">
        <v>134</v>
      </c>
      <c r="E1407" t="s">
        <v>135</v>
      </c>
      <c r="F1407">
        <v>4689</v>
      </c>
      <c r="G1407">
        <v>269106.78999999998</v>
      </c>
      <c r="H1407">
        <v>176021</v>
      </c>
      <c r="I1407">
        <v>0.51476617781411904</v>
      </c>
      <c r="J1407">
        <v>8255857.9299999997</v>
      </c>
      <c r="K1407">
        <v>0.51563136458969905</v>
      </c>
      <c r="L1407">
        <v>90355</v>
      </c>
      <c r="M1407">
        <v>0.52847896553700702</v>
      </c>
      <c r="N1407">
        <v>47.174836589009999</v>
      </c>
      <c r="O1407">
        <v>4262482.3600000003</v>
      </c>
      <c r="P1407">
        <v>0.53243881240065505</v>
      </c>
      <c r="Q1407">
        <v>85666</v>
      </c>
      <c r="R1407">
        <v>0.50105339009123195</v>
      </c>
      <c r="S1407">
        <v>46.615641794877803</v>
      </c>
      <c r="T1407">
        <v>3993375.57</v>
      </c>
      <c r="U1407">
        <v>0.498823916778322</v>
      </c>
      <c r="V1407">
        <v>535</v>
      </c>
      <c r="W1407">
        <v>0.40409075802894301</v>
      </c>
    </row>
    <row r="1408" spans="1:23" hidden="1" x14ac:dyDescent="0.25">
      <c r="A1408" t="s">
        <v>182</v>
      </c>
      <c r="B1408">
        <v>5</v>
      </c>
      <c r="C1408">
        <v>2025</v>
      </c>
      <c r="D1408" t="s">
        <v>136</v>
      </c>
      <c r="E1408" t="s">
        <v>137</v>
      </c>
      <c r="F1408">
        <v>41180</v>
      </c>
      <c r="G1408">
        <v>1928504.05</v>
      </c>
      <c r="H1408">
        <v>104974</v>
      </c>
      <c r="I1408">
        <v>0.30699214724299601</v>
      </c>
      <c r="J1408">
        <v>4902185.1900000004</v>
      </c>
      <c r="K1408">
        <v>0.30617295748342799</v>
      </c>
      <c r="L1408">
        <v>73077</v>
      </c>
      <c r="M1408">
        <v>0.42742136422497801</v>
      </c>
      <c r="N1408">
        <v>46.736245603952</v>
      </c>
      <c r="O1408">
        <v>3415344.62</v>
      </c>
      <c r="P1408">
        <v>0.42662042439790099</v>
      </c>
      <c r="Q1408">
        <v>31897</v>
      </c>
      <c r="R1408">
        <v>0.186562930261014</v>
      </c>
      <c r="S1408">
        <v>46.613806000564303</v>
      </c>
      <c r="T1408">
        <v>1486840.57</v>
      </c>
      <c r="U1408">
        <v>0.18572549056594601</v>
      </c>
      <c r="V1408">
        <v>438</v>
      </c>
      <c r="W1408">
        <v>0.33082570470407002</v>
      </c>
    </row>
    <row r="1409" spans="1:23" hidden="1" x14ac:dyDescent="0.25">
      <c r="A1409" t="s">
        <v>182</v>
      </c>
      <c r="B1409">
        <v>5</v>
      </c>
      <c r="C1409">
        <v>2025</v>
      </c>
      <c r="D1409" t="s">
        <v>138</v>
      </c>
      <c r="E1409" t="s">
        <v>139</v>
      </c>
      <c r="F1409">
        <v>2448</v>
      </c>
      <c r="G1409">
        <v>124207.8</v>
      </c>
      <c r="H1409">
        <v>101424</v>
      </c>
      <c r="I1409">
        <v>0.29661031819282502</v>
      </c>
      <c r="J1409">
        <v>4727511.58</v>
      </c>
      <c r="K1409">
        <v>0.29526346840963702</v>
      </c>
      <c r="L1409">
        <v>51936</v>
      </c>
      <c r="M1409">
        <v>0.30376939354911198</v>
      </c>
      <c r="N1409">
        <v>46.708635435921103</v>
      </c>
      <c r="O1409">
        <v>2425859.69</v>
      </c>
      <c r="P1409">
        <v>0.30302104344526198</v>
      </c>
      <c r="Q1409">
        <v>49488</v>
      </c>
      <c r="R1409">
        <v>0.289451242836538</v>
      </c>
      <c r="S1409">
        <v>46.509292959909502</v>
      </c>
      <c r="T1409">
        <v>2301651.89</v>
      </c>
      <c r="U1409">
        <v>0.28750589337381799</v>
      </c>
      <c r="V1409">
        <v>294</v>
      </c>
      <c r="W1409">
        <v>0.22206108945889599</v>
      </c>
    </row>
    <row r="1410" spans="1:23" hidden="1" x14ac:dyDescent="0.25">
      <c r="A1410" t="s">
        <v>182</v>
      </c>
      <c r="B1410">
        <v>5</v>
      </c>
      <c r="C1410">
        <v>2025</v>
      </c>
      <c r="D1410" t="s">
        <v>140</v>
      </c>
      <c r="E1410" t="s">
        <v>141</v>
      </c>
      <c r="F1410">
        <v>261</v>
      </c>
      <c r="G1410">
        <v>23791.66</v>
      </c>
      <c r="H1410">
        <v>19807</v>
      </c>
      <c r="I1410">
        <v>5.7924757182178599E-2</v>
      </c>
      <c r="J1410">
        <v>923795.06</v>
      </c>
      <c r="K1410">
        <v>5.7696936094081101E-2</v>
      </c>
      <c r="L1410">
        <v>10034</v>
      </c>
      <c r="M1410">
        <v>5.8688040951782698E-2</v>
      </c>
      <c r="N1410">
        <v>47.218792106836801</v>
      </c>
      <c r="O1410">
        <v>473793.36</v>
      </c>
      <c r="P1410">
        <v>5.9182878101509899E-2</v>
      </c>
      <c r="Q1410">
        <v>9773</v>
      </c>
      <c r="R1410">
        <v>5.71614734125745E-2</v>
      </c>
      <c r="S1410">
        <v>46.045400593471797</v>
      </c>
      <c r="T1410">
        <v>450001.7</v>
      </c>
      <c r="U1410">
        <v>5.6210994086615201E-2</v>
      </c>
      <c r="V1410">
        <v>57</v>
      </c>
      <c r="W1410">
        <v>4.3052660201214503E-2</v>
      </c>
    </row>
    <row r="1411" spans="1:23" hidden="1" x14ac:dyDescent="0.25">
      <c r="A1411" t="s">
        <v>182</v>
      </c>
      <c r="B1411">
        <v>5</v>
      </c>
      <c r="C1411">
        <v>2025</v>
      </c>
      <c r="D1411" t="s">
        <v>142</v>
      </c>
      <c r="E1411" t="s">
        <v>143</v>
      </c>
      <c r="F1411">
        <v>339694</v>
      </c>
      <c r="G1411">
        <v>16089318.66</v>
      </c>
      <c r="H1411">
        <v>1749974</v>
      </c>
      <c r="I1411">
        <v>5.1177270169700497</v>
      </c>
      <c r="J1411">
        <v>81908676.5</v>
      </c>
      <c r="K1411">
        <v>5.11572304096459</v>
      </c>
      <c r="L1411">
        <v>1044834</v>
      </c>
      <c r="M1411">
        <v>6.1111481542570196</v>
      </c>
      <c r="N1411">
        <v>46.8964424779439</v>
      </c>
      <c r="O1411">
        <v>48998997.579999998</v>
      </c>
      <c r="P1411">
        <v>6.1206043513849897</v>
      </c>
      <c r="Q1411">
        <v>705140</v>
      </c>
      <c r="R1411">
        <v>4.1243058796830798</v>
      </c>
      <c r="S1411">
        <v>46.6711276058655</v>
      </c>
      <c r="T1411">
        <v>32909678.920000002</v>
      </c>
      <c r="U1411">
        <v>4.1108417305190699</v>
      </c>
      <c r="V1411">
        <v>10646</v>
      </c>
      <c r="W1411">
        <v>8.0410284298619299</v>
      </c>
    </row>
    <row r="1412" spans="1:23" hidden="1" x14ac:dyDescent="0.25">
      <c r="A1412" t="s">
        <v>182</v>
      </c>
      <c r="B1412">
        <v>5</v>
      </c>
      <c r="C1412">
        <v>2025</v>
      </c>
      <c r="D1412" t="s">
        <v>144</v>
      </c>
      <c r="E1412" t="s">
        <v>145</v>
      </c>
      <c r="F1412">
        <v>211225</v>
      </c>
      <c r="G1412">
        <v>9562529.5900000297</v>
      </c>
      <c r="H1412">
        <v>4733593</v>
      </c>
      <c r="I1412">
        <v>13.8431981180522</v>
      </c>
      <c r="J1412">
        <v>221575971.28999999</v>
      </c>
      <c r="K1412">
        <v>13.838842844107701</v>
      </c>
      <c r="L1412">
        <v>2472409</v>
      </c>
      <c r="M1412">
        <v>14.460916946537401</v>
      </c>
      <c r="N1412">
        <v>46.743581033720602</v>
      </c>
      <c r="O1412">
        <v>115569250.44</v>
      </c>
      <c r="P1412">
        <v>14.436084247937499</v>
      </c>
      <c r="Q1412">
        <v>2261184</v>
      </c>
      <c r="R1412">
        <v>13.225479289567099</v>
      </c>
      <c r="S1412">
        <v>46.8810679935821</v>
      </c>
      <c r="T1412">
        <v>106006720.84999999</v>
      </c>
      <c r="U1412">
        <v>13.241601440263</v>
      </c>
      <c r="V1412">
        <v>7503</v>
      </c>
      <c r="W1412">
        <v>5.6670896401704001</v>
      </c>
    </row>
    <row r="1413" spans="1:23" hidden="1" x14ac:dyDescent="0.25">
      <c r="A1413" t="s">
        <v>182</v>
      </c>
      <c r="B1413">
        <v>5</v>
      </c>
      <c r="C1413">
        <v>2025</v>
      </c>
      <c r="D1413" t="s">
        <v>165</v>
      </c>
      <c r="E1413" t="s">
        <v>166</v>
      </c>
      <c r="F1413">
        <v>-870</v>
      </c>
      <c r="G1413">
        <v>-41133.599999999999</v>
      </c>
      <c r="H1413">
        <v>870</v>
      </c>
      <c r="I1413">
        <v>2.5442792320136999E-3</v>
      </c>
      <c r="J1413">
        <v>41133.599999999999</v>
      </c>
      <c r="K1413">
        <v>2.5690575683739799E-3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870</v>
      </c>
      <c r="R1413">
        <v>5.0885584640273998E-3</v>
      </c>
      <c r="S1413">
        <v>47.28</v>
      </c>
      <c r="T1413">
        <v>41133.599999999999</v>
      </c>
      <c r="U1413">
        <v>5.1381151368121401E-3</v>
      </c>
      <c r="V1413">
        <v>4</v>
      </c>
      <c r="W1413">
        <v>3.0212393123659302E-3</v>
      </c>
    </row>
    <row r="1414" spans="1:23" hidden="1" x14ac:dyDescent="0.25">
      <c r="A1414" t="s">
        <v>182</v>
      </c>
      <c r="B1414">
        <v>5</v>
      </c>
      <c r="C1414">
        <v>2025</v>
      </c>
      <c r="D1414" t="s">
        <v>146</v>
      </c>
      <c r="E1414" t="s">
        <v>147</v>
      </c>
      <c r="F1414">
        <v>-115590</v>
      </c>
      <c r="G1414">
        <v>-5378603.1699999999</v>
      </c>
      <c r="H1414">
        <v>494936</v>
      </c>
      <c r="I1414">
        <v>1.4474199838803801</v>
      </c>
      <c r="J1414">
        <v>23192302.77</v>
      </c>
      <c r="K1414">
        <v>1.4485082987944</v>
      </c>
      <c r="L1414">
        <v>189673</v>
      </c>
      <c r="M1414">
        <v>1.1093817810890501</v>
      </c>
      <c r="N1414">
        <v>46.958975710828597</v>
      </c>
      <c r="O1414">
        <v>8906849.8000000007</v>
      </c>
      <c r="P1414">
        <v>1.1125799778659999</v>
      </c>
      <c r="Q1414">
        <v>305263</v>
      </c>
      <c r="R1414">
        <v>1.7854581866717201</v>
      </c>
      <c r="S1414">
        <v>46.797197727860897</v>
      </c>
      <c r="T1414">
        <v>14285452.970000001</v>
      </c>
      <c r="U1414">
        <v>1.7844366197311901</v>
      </c>
      <c r="V1414">
        <v>1641</v>
      </c>
      <c r="W1414">
        <v>1.23946342789812</v>
      </c>
    </row>
    <row r="1415" spans="1:23" x14ac:dyDescent="0.25">
      <c r="A1415" t="s">
        <v>182</v>
      </c>
      <c r="B1415">
        <v>5</v>
      </c>
      <c r="C1415">
        <v>2025</v>
      </c>
      <c r="D1415" t="s">
        <v>148</v>
      </c>
      <c r="E1415" t="s">
        <v>148</v>
      </c>
      <c r="F1415">
        <v>0</v>
      </c>
      <c r="G1415">
        <v>2.0000029098355299E-2</v>
      </c>
      <c r="H1415">
        <v>34194360</v>
      </c>
      <c r="I1415">
        <v>0</v>
      </c>
      <c r="J1415">
        <v>1601116320.0999999</v>
      </c>
      <c r="K1415">
        <v>0</v>
      </c>
      <c r="L1415">
        <v>17097180</v>
      </c>
      <c r="M1415">
        <v>100</v>
      </c>
      <c r="N1415">
        <v>46.8964424779439</v>
      </c>
      <c r="O1415">
        <v>800558160.05999994</v>
      </c>
      <c r="P1415">
        <v>100</v>
      </c>
      <c r="Q1415">
        <v>17097180</v>
      </c>
      <c r="R1415">
        <v>100</v>
      </c>
      <c r="S1415">
        <v>46.73</v>
      </c>
      <c r="T1415">
        <v>800558160.03999996</v>
      </c>
      <c r="U1415">
        <v>100</v>
      </c>
      <c r="V1415">
        <v>132396</v>
      </c>
      <c r="W1415">
        <v>100</v>
      </c>
    </row>
    <row r="1416" spans="1:23" hidden="1" x14ac:dyDescent="0.25">
      <c r="A1416" t="s">
        <v>182</v>
      </c>
      <c r="B1416">
        <v>5</v>
      </c>
      <c r="C1416">
        <v>2025</v>
      </c>
      <c r="D1416" t="s">
        <v>149</v>
      </c>
      <c r="E1416" t="s">
        <v>150</v>
      </c>
      <c r="F1416">
        <v>-238206</v>
      </c>
      <c r="G1416">
        <v>-11132972.689999999</v>
      </c>
      <c r="H1416">
        <v>2707554</v>
      </c>
      <c r="I1416">
        <v>7.9181303583398002</v>
      </c>
      <c r="J1416">
        <v>127050363.09</v>
      </c>
      <c r="K1416">
        <v>7.9351113654293997</v>
      </c>
      <c r="L1416">
        <v>1234674</v>
      </c>
      <c r="M1416">
        <v>7.2215067046144501</v>
      </c>
      <c r="N1416">
        <v>46.942508872787499</v>
      </c>
      <c r="O1416">
        <v>57958695.200000003</v>
      </c>
      <c r="P1416">
        <v>7.2397857009734503</v>
      </c>
      <c r="Q1416">
        <v>1472880</v>
      </c>
      <c r="R1416">
        <v>8.6147540120651502</v>
      </c>
      <c r="S1416">
        <v>46.909230819890297</v>
      </c>
      <c r="T1416">
        <v>69091667.890000001</v>
      </c>
      <c r="U1416">
        <v>8.6304370299027102</v>
      </c>
      <c r="V1416">
        <v>12945</v>
      </c>
      <c r="W1416">
        <v>9.7774857246442508</v>
      </c>
    </row>
    <row r="1417" spans="1:23" hidden="1" x14ac:dyDescent="0.25">
      <c r="A1417" t="s">
        <v>182</v>
      </c>
      <c r="B1417">
        <v>5</v>
      </c>
      <c r="C1417">
        <v>2025</v>
      </c>
      <c r="D1417" t="s">
        <v>183</v>
      </c>
      <c r="E1417" t="s">
        <v>184</v>
      </c>
      <c r="F1417">
        <v>52800</v>
      </c>
      <c r="G1417">
        <v>2474867.64</v>
      </c>
      <c r="H1417">
        <v>68800</v>
      </c>
      <c r="I1417">
        <v>0.201202771451198</v>
      </c>
      <c r="J1417">
        <v>3222867.64</v>
      </c>
      <c r="K1417">
        <v>0.201288788299823</v>
      </c>
      <c r="L1417">
        <v>60800</v>
      </c>
      <c r="M1417">
        <v>0.35561420070444399</v>
      </c>
      <c r="N1417">
        <v>46.856375657894702</v>
      </c>
      <c r="O1417">
        <v>2848867.64</v>
      </c>
      <c r="P1417">
        <v>0.355860171331772</v>
      </c>
      <c r="Q1417">
        <v>8000</v>
      </c>
      <c r="R1417">
        <v>4.6791342197953098E-2</v>
      </c>
      <c r="S1417">
        <v>46.75</v>
      </c>
      <c r="T1417">
        <v>374000</v>
      </c>
      <c r="U1417">
        <v>4.67174052640114E-2</v>
      </c>
      <c r="V1417">
        <v>72</v>
      </c>
      <c r="W1417">
        <v>5.4382307622586799E-2</v>
      </c>
    </row>
    <row r="1418" spans="1:23" hidden="1" x14ac:dyDescent="0.25">
      <c r="A1418" t="s">
        <v>182</v>
      </c>
      <c r="B1418">
        <v>5</v>
      </c>
      <c r="C1418">
        <v>2025</v>
      </c>
      <c r="D1418" t="s">
        <v>151</v>
      </c>
      <c r="E1418" t="s">
        <v>152</v>
      </c>
      <c r="F1418">
        <v>4418</v>
      </c>
      <c r="G1418">
        <v>206060.19000000501</v>
      </c>
      <c r="H1418">
        <v>2355180</v>
      </c>
      <c r="I1418">
        <v>6.8876270823609502</v>
      </c>
      <c r="J1418">
        <v>110252060.41</v>
      </c>
      <c r="K1418">
        <v>6.8859494482645696</v>
      </c>
      <c r="L1418">
        <v>1179799</v>
      </c>
      <c r="M1418">
        <v>6.9005473417253604</v>
      </c>
      <c r="N1418">
        <v>46.812262342992298</v>
      </c>
      <c r="O1418">
        <v>55229060.299999997</v>
      </c>
      <c r="P1418">
        <v>6.8988192308052598</v>
      </c>
      <c r="Q1418">
        <v>1175381</v>
      </c>
      <c r="R1418">
        <v>6.87470682299654</v>
      </c>
      <c r="S1418">
        <v>46.812905866267997</v>
      </c>
      <c r="T1418">
        <v>55023000.109999999</v>
      </c>
      <c r="U1418">
        <v>6.8730796657235702</v>
      </c>
      <c r="V1418">
        <v>7678</v>
      </c>
      <c r="W1418">
        <v>5.7992688600864097</v>
      </c>
    </row>
    <row r="1419" spans="1:23" hidden="1" x14ac:dyDescent="0.25">
      <c r="A1419" t="s">
        <v>182</v>
      </c>
      <c r="B1419">
        <v>5</v>
      </c>
      <c r="C1419">
        <v>2025</v>
      </c>
      <c r="D1419" t="s">
        <v>153</v>
      </c>
      <c r="E1419" t="s">
        <v>154</v>
      </c>
      <c r="F1419">
        <v>5185</v>
      </c>
      <c r="G1419">
        <v>242826.2</v>
      </c>
      <c r="H1419">
        <v>26767</v>
      </c>
      <c r="I1419">
        <v>7.8278991038288198E-2</v>
      </c>
      <c r="J1419">
        <v>1255336.08</v>
      </c>
      <c r="K1419">
        <v>7.8403802661982505E-2</v>
      </c>
      <c r="L1419">
        <v>15976</v>
      </c>
      <c r="M1419">
        <v>9.3442310369312401E-2</v>
      </c>
      <c r="N1419">
        <v>46.887903104656999</v>
      </c>
      <c r="O1419">
        <v>749081.14</v>
      </c>
      <c r="P1419">
        <v>9.3569858802495798E-2</v>
      </c>
      <c r="Q1419">
        <v>10791</v>
      </c>
      <c r="R1419">
        <v>6.3115671707263996E-2</v>
      </c>
      <c r="S1419">
        <v>46.914552868130897</v>
      </c>
      <c r="T1419">
        <v>506254.94</v>
      </c>
      <c r="U1419">
        <v>6.3237746521090293E-2</v>
      </c>
      <c r="V1419">
        <v>723</v>
      </c>
      <c r="W1419">
        <v>0.54608900571014196</v>
      </c>
    </row>
    <row r="1420" spans="1:23" hidden="1" x14ac:dyDescent="0.25">
      <c r="A1420" t="s">
        <v>182</v>
      </c>
      <c r="B1420">
        <v>5</v>
      </c>
      <c r="C1420">
        <v>2025</v>
      </c>
      <c r="D1420" t="s">
        <v>155</v>
      </c>
      <c r="E1420" t="s">
        <v>156</v>
      </c>
      <c r="F1420">
        <v>77082</v>
      </c>
      <c r="G1420">
        <v>3650543.71</v>
      </c>
      <c r="H1420">
        <v>125924</v>
      </c>
      <c r="I1420">
        <v>0.36825956093343998</v>
      </c>
      <c r="J1420">
        <v>5915848.8899999997</v>
      </c>
      <c r="K1420">
        <v>0.36948276747504</v>
      </c>
      <c r="L1420">
        <v>101503</v>
      </c>
      <c r="M1420">
        <v>0.59368270088985398</v>
      </c>
      <c r="N1420">
        <v>47.123693880969</v>
      </c>
      <c r="O1420">
        <v>4783196.3</v>
      </c>
      <c r="P1420">
        <v>0.59748267379368303</v>
      </c>
      <c r="Q1420">
        <v>24421</v>
      </c>
      <c r="R1420">
        <v>0.14283642097702701</v>
      </c>
      <c r="S1420">
        <v>46.380270668686798</v>
      </c>
      <c r="T1420">
        <v>1132652.5900000001</v>
      </c>
      <c r="U1420">
        <v>0.14148286115070099</v>
      </c>
      <c r="V1420">
        <v>362</v>
      </c>
      <c r="W1420">
        <v>0.27342215776911699</v>
      </c>
    </row>
    <row r="1421" spans="1:23" hidden="1" x14ac:dyDescent="0.25">
      <c r="A1421" t="s">
        <v>182</v>
      </c>
      <c r="B1421">
        <v>6</v>
      </c>
      <c r="C1421">
        <v>2025</v>
      </c>
      <c r="D1421" t="s">
        <v>88</v>
      </c>
      <c r="E1421" t="s">
        <v>89</v>
      </c>
      <c r="F1421">
        <v>143293</v>
      </c>
      <c r="G1421">
        <v>6832238.96</v>
      </c>
      <c r="H1421">
        <v>456469</v>
      </c>
      <c r="I1421">
        <v>2.2172212217198899</v>
      </c>
      <c r="J1421">
        <v>21728313.120000001</v>
      </c>
      <c r="K1421">
        <v>2.2147209679983999</v>
      </c>
      <c r="L1421">
        <v>299881</v>
      </c>
      <c r="M1421">
        <v>2.9132428146953302</v>
      </c>
      <c r="N1421">
        <v>47.619809324365299</v>
      </c>
      <c r="O1421">
        <v>14280276.039999999</v>
      </c>
      <c r="P1421">
        <v>2.9111166246181899</v>
      </c>
      <c r="Q1421">
        <v>156588</v>
      </c>
      <c r="R1421">
        <v>1.52119962874444</v>
      </c>
      <c r="S1421">
        <v>47.564545686770401</v>
      </c>
      <c r="T1421">
        <v>7448037.0800000001</v>
      </c>
      <c r="U1421">
        <v>1.51832531136441</v>
      </c>
      <c r="V1421">
        <v>1953</v>
      </c>
      <c r="W1421">
        <v>2.0933822110746698</v>
      </c>
    </row>
    <row r="1422" spans="1:23" hidden="1" x14ac:dyDescent="0.25">
      <c r="A1422" t="s">
        <v>182</v>
      </c>
      <c r="B1422">
        <v>6</v>
      </c>
      <c r="C1422">
        <v>2025</v>
      </c>
      <c r="D1422" t="s">
        <v>90</v>
      </c>
      <c r="E1422" t="s">
        <v>91</v>
      </c>
      <c r="F1422">
        <v>174306</v>
      </c>
      <c r="G1422">
        <v>8277754.8300000103</v>
      </c>
      <c r="H1422">
        <v>923808</v>
      </c>
      <c r="I1422">
        <v>4.4872416361124303</v>
      </c>
      <c r="J1422">
        <v>44131278.229999997</v>
      </c>
      <c r="K1422">
        <v>4.4982077854257501</v>
      </c>
      <c r="L1422">
        <v>549057</v>
      </c>
      <c r="M1422">
        <v>5.3339036488079401</v>
      </c>
      <c r="N1422">
        <v>47.726404599158201</v>
      </c>
      <c r="O1422">
        <v>26204516.530000001</v>
      </c>
      <c r="P1422">
        <v>5.3419418151923397</v>
      </c>
      <c r="Q1422">
        <v>374751</v>
      </c>
      <c r="R1422">
        <v>3.6405796234169201</v>
      </c>
      <c r="S1422">
        <v>47.836461276954601</v>
      </c>
      <c r="T1422">
        <v>17926761.699999999</v>
      </c>
      <c r="U1422">
        <v>3.6544737556419502</v>
      </c>
      <c r="V1422">
        <v>6250</v>
      </c>
      <c r="W1422">
        <v>6.6992518275558997</v>
      </c>
    </row>
    <row r="1423" spans="1:23" hidden="1" x14ac:dyDescent="0.25">
      <c r="A1423" t="s">
        <v>182</v>
      </c>
      <c r="B1423">
        <v>6</v>
      </c>
      <c r="C1423">
        <v>2025</v>
      </c>
      <c r="D1423" t="s">
        <v>92</v>
      </c>
      <c r="E1423" t="s">
        <v>93</v>
      </c>
      <c r="F1423">
        <v>13853</v>
      </c>
      <c r="G1423">
        <v>662699.78</v>
      </c>
      <c r="H1423">
        <v>19373</v>
      </c>
      <c r="I1423">
        <v>9.4101081844286005E-2</v>
      </c>
      <c r="J1423">
        <v>925079.18</v>
      </c>
      <c r="K1423">
        <v>9.4291362872478995E-2</v>
      </c>
      <c r="L1423">
        <v>16613</v>
      </c>
      <c r="M1423">
        <v>0.16138969418047</v>
      </c>
      <c r="N1423">
        <v>47.787243724793797</v>
      </c>
      <c r="O1423">
        <v>793889.48</v>
      </c>
      <c r="P1423">
        <v>0.161838948831517</v>
      </c>
      <c r="Q1423">
        <v>2760</v>
      </c>
      <c r="R1423">
        <v>2.6812469508101899E-2</v>
      </c>
      <c r="S1423">
        <v>47.532499999999999</v>
      </c>
      <c r="T1423">
        <v>131189.70000000001</v>
      </c>
      <c r="U1423">
        <v>2.67437769120644E-2</v>
      </c>
      <c r="V1423">
        <v>75</v>
      </c>
      <c r="W1423">
        <v>8.0391021930670797E-2</v>
      </c>
    </row>
    <row r="1424" spans="1:23" hidden="1" x14ac:dyDescent="0.25">
      <c r="A1424" t="s">
        <v>182</v>
      </c>
      <c r="B1424">
        <v>6</v>
      </c>
      <c r="C1424">
        <v>2025</v>
      </c>
      <c r="D1424" t="s">
        <v>94</v>
      </c>
      <c r="E1424" t="s">
        <v>95</v>
      </c>
      <c r="F1424">
        <v>-1612034</v>
      </c>
      <c r="G1424">
        <v>-76810671.700000003</v>
      </c>
      <c r="H1424">
        <v>2204438</v>
      </c>
      <c r="I1424">
        <v>10.707685988677801</v>
      </c>
      <c r="J1424">
        <v>105038421.06</v>
      </c>
      <c r="K1424">
        <v>10.706343943143001</v>
      </c>
      <c r="L1424">
        <v>296202</v>
      </c>
      <c r="M1424">
        <v>2.8775025700140602</v>
      </c>
      <c r="N1424">
        <v>47.649491495668499</v>
      </c>
      <c r="O1424">
        <v>14113874.68</v>
      </c>
      <c r="P1424">
        <v>2.8771947477512301</v>
      </c>
      <c r="Q1424">
        <v>1908236</v>
      </c>
      <c r="R1424">
        <v>18.5378694073414</v>
      </c>
      <c r="S1424">
        <v>47.648480785395499</v>
      </c>
      <c r="T1424">
        <v>90924546.379999995</v>
      </c>
      <c r="U1424">
        <v>18.535493138694399</v>
      </c>
      <c r="V1424">
        <v>5974</v>
      </c>
      <c r="W1424">
        <v>6.4034128668510304</v>
      </c>
    </row>
    <row r="1425" spans="1:23" hidden="1" x14ac:dyDescent="0.25">
      <c r="A1425" t="s">
        <v>182</v>
      </c>
      <c r="B1425">
        <v>6</v>
      </c>
      <c r="C1425">
        <v>2025</v>
      </c>
      <c r="D1425" t="s">
        <v>96</v>
      </c>
      <c r="E1425" t="s">
        <v>97</v>
      </c>
      <c r="F1425">
        <v>41306</v>
      </c>
      <c r="G1425">
        <v>1971111.59</v>
      </c>
      <c r="H1425">
        <v>279042</v>
      </c>
      <c r="I1425">
        <v>1.3553994776231499</v>
      </c>
      <c r="J1425">
        <v>13272683.35</v>
      </c>
      <c r="K1425">
        <v>1.35285652201832</v>
      </c>
      <c r="L1425">
        <v>160174</v>
      </c>
      <c r="M1425">
        <v>1.5560364097792501</v>
      </c>
      <c r="N1425">
        <v>47.585110379961797</v>
      </c>
      <c r="O1425">
        <v>7621897.4699999997</v>
      </c>
      <c r="P1425">
        <v>1.55376775448189</v>
      </c>
      <c r="Q1425">
        <v>118868</v>
      </c>
      <c r="R1425">
        <v>1.15476254546705</v>
      </c>
      <c r="S1425">
        <v>47.5383272201097</v>
      </c>
      <c r="T1425">
        <v>5650785.8799999999</v>
      </c>
      <c r="U1425">
        <v>1.1519452895506599</v>
      </c>
      <c r="V1425">
        <v>1572</v>
      </c>
      <c r="W1425">
        <v>1.68499581966686</v>
      </c>
    </row>
    <row r="1426" spans="1:23" hidden="1" x14ac:dyDescent="0.25">
      <c r="A1426" t="s">
        <v>182</v>
      </c>
      <c r="B1426">
        <v>6</v>
      </c>
      <c r="C1426">
        <v>2025</v>
      </c>
      <c r="D1426" t="s">
        <v>98</v>
      </c>
      <c r="E1426" t="s">
        <v>99</v>
      </c>
      <c r="F1426">
        <v>1008</v>
      </c>
      <c r="G1426">
        <v>50955.040000000001</v>
      </c>
      <c r="H1426">
        <v>2992</v>
      </c>
      <c r="I1426">
        <v>1.45331356464205E-2</v>
      </c>
      <c r="J1426">
        <v>143964.96</v>
      </c>
      <c r="K1426">
        <v>1.46740436686532E-2</v>
      </c>
      <c r="L1426">
        <v>2000</v>
      </c>
      <c r="M1426">
        <v>1.9429325730508599E-2</v>
      </c>
      <c r="N1426">
        <v>48.73</v>
      </c>
      <c r="O1426">
        <v>97460</v>
      </c>
      <c r="P1426">
        <v>1.9867783048491301E-2</v>
      </c>
      <c r="Q1426">
        <v>992</v>
      </c>
      <c r="R1426">
        <v>9.6369455623322893E-3</v>
      </c>
      <c r="S1426">
        <v>46.88</v>
      </c>
      <c r="T1426">
        <v>46504.959999999999</v>
      </c>
      <c r="U1426">
        <v>9.4803042887092494E-3</v>
      </c>
      <c r="V1426">
        <v>12</v>
      </c>
      <c r="W1426">
        <v>1.28625635089073E-2</v>
      </c>
    </row>
    <row r="1427" spans="1:23" hidden="1" x14ac:dyDescent="0.25">
      <c r="A1427" t="s">
        <v>182</v>
      </c>
      <c r="B1427">
        <v>6</v>
      </c>
      <c r="C1427">
        <v>2025</v>
      </c>
      <c r="D1427" t="s">
        <v>157</v>
      </c>
      <c r="E1427" t="s">
        <v>158</v>
      </c>
      <c r="F1427">
        <v>-4000</v>
      </c>
      <c r="G1427">
        <v>-191480</v>
      </c>
      <c r="H1427">
        <v>4000</v>
      </c>
      <c r="I1427">
        <v>1.9429325730508599E-2</v>
      </c>
      <c r="J1427">
        <v>191480</v>
      </c>
      <c r="K1427">
        <v>1.9517151129509001E-2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4000</v>
      </c>
      <c r="R1427">
        <v>3.8858651461017302E-2</v>
      </c>
      <c r="S1427">
        <v>47.87</v>
      </c>
      <c r="T1427">
        <v>191480</v>
      </c>
      <c r="U1427">
        <v>3.9034302259415898E-2</v>
      </c>
      <c r="V1427">
        <v>6</v>
      </c>
      <c r="W1427">
        <v>6.4312817544536598E-3</v>
      </c>
    </row>
    <row r="1428" spans="1:23" hidden="1" x14ac:dyDescent="0.25">
      <c r="A1428" t="s">
        <v>182</v>
      </c>
      <c r="B1428">
        <v>6</v>
      </c>
      <c r="C1428">
        <v>2025</v>
      </c>
      <c r="D1428" t="s">
        <v>100</v>
      </c>
      <c r="E1428" t="s">
        <v>101</v>
      </c>
      <c r="F1428">
        <v>-5245</v>
      </c>
      <c r="G1428">
        <v>-250067.16</v>
      </c>
      <c r="H1428">
        <v>20545</v>
      </c>
      <c r="I1428">
        <v>9.9793874283324993E-2</v>
      </c>
      <c r="J1428">
        <v>966811.82</v>
      </c>
      <c r="K1428">
        <v>9.8545082539877205E-2</v>
      </c>
      <c r="L1428">
        <v>7650</v>
      </c>
      <c r="M1428">
        <v>7.4317170919195596E-2</v>
      </c>
      <c r="N1428">
        <v>46.846056209150298</v>
      </c>
      <c r="O1428">
        <v>358372.33</v>
      </c>
      <c r="P1428">
        <v>7.3056266191487307E-2</v>
      </c>
      <c r="Q1428">
        <v>12895</v>
      </c>
      <c r="R1428">
        <v>0.125270577647455</v>
      </c>
      <c r="S1428">
        <v>47.184140364482403</v>
      </c>
      <c r="T1428">
        <v>608439.49</v>
      </c>
      <c r="U1428">
        <v>0.12403389888878701</v>
      </c>
      <c r="V1428">
        <v>83</v>
      </c>
      <c r="W1428">
        <v>8.8966064269942302E-2</v>
      </c>
    </row>
    <row r="1429" spans="1:23" hidden="1" x14ac:dyDescent="0.25">
      <c r="A1429" t="s">
        <v>182</v>
      </c>
      <c r="B1429">
        <v>6</v>
      </c>
      <c r="C1429">
        <v>2025</v>
      </c>
      <c r="D1429" t="s">
        <v>102</v>
      </c>
      <c r="E1429" t="s">
        <v>103</v>
      </c>
      <c r="F1429">
        <v>78571</v>
      </c>
      <c r="G1429">
        <v>3747555.1799999899</v>
      </c>
      <c r="H1429">
        <v>1769705</v>
      </c>
      <c r="I1429">
        <v>8.5960437229774502</v>
      </c>
      <c r="J1429">
        <v>84279971.200000003</v>
      </c>
      <c r="K1429">
        <v>8.5904790845052705</v>
      </c>
      <c r="L1429">
        <v>924138</v>
      </c>
      <c r="M1429">
        <v>8.9776891109704007</v>
      </c>
      <c r="N1429">
        <v>47.626829748370902</v>
      </c>
      <c r="O1429">
        <v>44013763.189999998</v>
      </c>
      <c r="P1429">
        <v>8.9724594521505701</v>
      </c>
      <c r="Q1429">
        <v>845567</v>
      </c>
      <c r="R1429">
        <v>8.2143983349844998</v>
      </c>
      <c r="S1429">
        <v>47.620363625827402</v>
      </c>
      <c r="T1429">
        <v>40266208.009999998</v>
      </c>
      <c r="U1429">
        <v>8.2084987168521799</v>
      </c>
      <c r="V1429">
        <v>8821</v>
      </c>
      <c r="W1429">
        <v>9.4550560593392898</v>
      </c>
    </row>
    <row r="1430" spans="1:23" hidden="1" x14ac:dyDescent="0.25">
      <c r="A1430" t="s">
        <v>182</v>
      </c>
      <c r="B1430">
        <v>6</v>
      </c>
      <c r="C1430">
        <v>2025</v>
      </c>
      <c r="D1430" t="s">
        <v>161</v>
      </c>
      <c r="E1430" t="s">
        <v>162</v>
      </c>
      <c r="F1430">
        <v>-6647</v>
      </c>
      <c r="G1430">
        <v>-310334.92</v>
      </c>
      <c r="H1430">
        <v>21873</v>
      </c>
      <c r="I1430">
        <v>0.106244410425854</v>
      </c>
      <c r="J1430">
        <v>1039076.02</v>
      </c>
      <c r="K1430">
        <v>0.105910819497539</v>
      </c>
      <c r="L1430">
        <v>7613</v>
      </c>
      <c r="M1430">
        <v>7.3957728393181196E-2</v>
      </c>
      <c r="N1430">
        <v>47.861624852226498</v>
      </c>
      <c r="O1430">
        <v>364370.55</v>
      </c>
      <c r="P1430">
        <v>7.4279037930017097E-2</v>
      </c>
      <c r="Q1430">
        <v>14260</v>
      </c>
      <c r="R1430">
        <v>0.13853109245852699</v>
      </c>
      <c r="S1430">
        <v>47.314549088359001</v>
      </c>
      <c r="T1430">
        <v>674705.47</v>
      </c>
      <c r="U1430">
        <v>0.13754260106570501</v>
      </c>
      <c r="V1430">
        <v>68</v>
      </c>
      <c r="W1430">
        <v>7.2887859883808206E-2</v>
      </c>
    </row>
    <row r="1431" spans="1:23" hidden="1" x14ac:dyDescent="0.25">
      <c r="A1431" t="s">
        <v>182</v>
      </c>
      <c r="B1431">
        <v>6</v>
      </c>
      <c r="C1431">
        <v>2025</v>
      </c>
      <c r="D1431" t="s">
        <v>104</v>
      </c>
      <c r="E1431" t="s">
        <v>105</v>
      </c>
      <c r="F1431">
        <v>122870</v>
      </c>
      <c r="G1431">
        <v>5726404.5500000101</v>
      </c>
      <c r="H1431">
        <v>683298</v>
      </c>
      <c r="I1431">
        <v>3.3190048532512701</v>
      </c>
      <c r="J1431">
        <v>32518976.07</v>
      </c>
      <c r="K1431">
        <v>3.3145904038807101</v>
      </c>
      <c r="L1431">
        <v>403084</v>
      </c>
      <c r="M1431">
        <v>3.9158251663781698</v>
      </c>
      <c r="N1431">
        <v>47.4409560042076</v>
      </c>
      <c r="O1431">
        <v>19122690.309999999</v>
      </c>
      <c r="P1431">
        <v>3.8982706995954</v>
      </c>
      <c r="Q1431">
        <v>280214</v>
      </c>
      <c r="R1431">
        <v>2.7221845401243701</v>
      </c>
      <c r="S1431">
        <v>47.807339247860597</v>
      </c>
      <c r="T1431">
        <v>13396285.76</v>
      </c>
      <c r="U1431">
        <v>2.7309101081541098</v>
      </c>
      <c r="V1431">
        <v>6800</v>
      </c>
      <c r="W1431">
        <v>7.2887859883808197</v>
      </c>
    </row>
    <row r="1432" spans="1:23" hidden="1" x14ac:dyDescent="0.25">
      <c r="A1432" t="s">
        <v>182</v>
      </c>
      <c r="B1432">
        <v>6</v>
      </c>
      <c r="C1432">
        <v>2025</v>
      </c>
      <c r="D1432" t="s">
        <v>106</v>
      </c>
      <c r="E1432" t="s">
        <v>107</v>
      </c>
      <c r="F1432">
        <v>79780</v>
      </c>
      <c r="G1432">
        <v>3780857.29</v>
      </c>
      <c r="H1432">
        <v>586484</v>
      </c>
      <c r="I1432">
        <v>2.8487471679329102</v>
      </c>
      <c r="J1432">
        <v>27927469.949999999</v>
      </c>
      <c r="K1432">
        <v>2.84658790306545</v>
      </c>
      <c r="L1432">
        <v>333132</v>
      </c>
      <c r="M1432">
        <v>3.2362650696278998</v>
      </c>
      <c r="N1432">
        <v>47.591235966523797</v>
      </c>
      <c r="O1432">
        <v>15854163.619999999</v>
      </c>
      <c r="P1432">
        <v>3.2319626843571099</v>
      </c>
      <c r="Q1432">
        <v>253352</v>
      </c>
      <c r="R1432">
        <v>2.4612292662379098</v>
      </c>
      <c r="S1432">
        <v>47.654276776974299</v>
      </c>
      <c r="T1432">
        <v>12073306.33</v>
      </c>
      <c r="U1432">
        <v>2.4612131217659301</v>
      </c>
      <c r="V1432">
        <v>1713</v>
      </c>
      <c r="W1432">
        <v>1.8361309408965201</v>
      </c>
    </row>
    <row r="1433" spans="1:23" hidden="1" x14ac:dyDescent="0.25">
      <c r="A1433" t="s">
        <v>182</v>
      </c>
      <c r="B1433">
        <v>6</v>
      </c>
      <c r="C1433">
        <v>2025</v>
      </c>
      <c r="D1433" t="s">
        <v>173</v>
      </c>
      <c r="E1433" t="s">
        <v>174</v>
      </c>
      <c r="F1433">
        <v>-18</v>
      </c>
      <c r="G1433">
        <v>-860.76</v>
      </c>
      <c r="H1433">
        <v>18</v>
      </c>
      <c r="I1433" s="4">
        <v>8.7431965787288898E-5</v>
      </c>
      <c r="J1433">
        <v>860.76</v>
      </c>
      <c r="K1433" s="4">
        <v>8.7735444987655095E-5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18</v>
      </c>
      <c r="R1433">
        <v>1.7486393157457801E-4</v>
      </c>
      <c r="S1433">
        <v>47.82</v>
      </c>
      <c r="T1433">
        <v>860.76</v>
      </c>
      <c r="U1433">
        <v>1.7547088997709899E-4</v>
      </c>
      <c r="V1433">
        <v>4</v>
      </c>
      <c r="W1433">
        <v>4.2875211696357697E-3</v>
      </c>
    </row>
    <row r="1434" spans="1:23" hidden="1" x14ac:dyDescent="0.25">
      <c r="A1434" t="s">
        <v>182</v>
      </c>
      <c r="B1434">
        <v>6</v>
      </c>
      <c r="C1434">
        <v>2025</v>
      </c>
      <c r="D1434" t="s">
        <v>108</v>
      </c>
      <c r="E1434" t="s">
        <v>109</v>
      </c>
      <c r="F1434">
        <v>-1772</v>
      </c>
      <c r="G1434">
        <v>-73720.479999999996</v>
      </c>
      <c r="H1434">
        <v>14064</v>
      </c>
      <c r="I1434">
        <v>6.8313509268468395E-2</v>
      </c>
      <c r="J1434">
        <v>661035.24</v>
      </c>
      <c r="K1434">
        <v>6.7377922921512803E-2</v>
      </c>
      <c r="L1434">
        <v>6146</v>
      </c>
      <c r="M1434">
        <v>5.9706317969853102E-2</v>
      </c>
      <c r="N1434">
        <v>47.780244061178003</v>
      </c>
      <c r="O1434">
        <v>293657.38</v>
      </c>
      <c r="P1434">
        <v>5.9863750425080901E-2</v>
      </c>
      <c r="Q1434">
        <v>7918</v>
      </c>
      <c r="R1434">
        <v>7.6920700567083694E-2</v>
      </c>
      <c r="S1434">
        <v>46.397810053043699</v>
      </c>
      <c r="T1434">
        <v>367377.86</v>
      </c>
      <c r="U1434">
        <v>7.4892095418097895E-2</v>
      </c>
      <c r="V1434">
        <v>120</v>
      </c>
      <c r="W1434">
        <v>0.12862563508907299</v>
      </c>
    </row>
    <row r="1435" spans="1:23" hidden="1" x14ac:dyDescent="0.25">
      <c r="A1435" t="s">
        <v>182</v>
      </c>
      <c r="B1435">
        <v>6</v>
      </c>
      <c r="C1435">
        <v>2025</v>
      </c>
      <c r="D1435" t="s">
        <v>110</v>
      </c>
      <c r="E1435" t="s">
        <v>111</v>
      </c>
      <c r="F1435">
        <v>18304</v>
      </c>
      <c r="G1435">
        <v>884152.13</v>
      </c>
      <c r="H1435">
        <v>295948</v>
      </c>
      <c r="I1435">
        <v>1.43751752282314</v>
      </c>
      <c r="J1435">
        <v>14134271.35</v>
      </c>
      <c r="K1435">
        <v>1.4406763632935</v>
      </c>
      <c r="L1435">
        <v>157126</v>
      </c>
      <c r="M1435">
        <v>1.5264261173659499</v>
      </c>
      <c r="N1435">
        <v>47.791019563916898</v>
      </c>
      <c r="O1435">
        <v>7509211.7400000002</v>
      </c>
      <c r="P1435">
        <v>1.5307961185666299</v>
      </c>
      <c r="Q1435">
        <v>138822</v>
      </c>
      <c r="R1435">
        <v>1.34860892828034</v>
      </c>
      <c r="S1435">
        <v>47.723412787598498</v>
      </c>
      <c r="T1435">
        <v>6625059.6100000003</v>
      </c>
      <c r="U1435">
        <v>1.3505566080185301</v>
      </c>
      <c r="V1435">
        <v>1414</v>
      </c>
      <c r="W1435">
        <v>1.51563873346625</v>
      </c>
    </row>
    <row r="1436" spans="1:23" hidden="1" x14ac:dyDescent="0.25">
      <c r="A1436" t="s">
        <v>182</v>
      </c>
      <c r="B1436">
        <v>6</v>
      </c>
      <c r="C1436">
        <v>2025</v>
      </c>
      <c r="D1436" t="s">
        <v>112</v>
      </c>
      <c r="E1436" t="s">
        <v>113</v>
      </c>
      <c r="F1436">
        <v>91303</v>
      </c>
      <c r="G1436">
        <v>4431621.33</v>
      </c>
      <c r="H1436">
        <v>110365</v>
      </c>
      <c r="I1436">
        <v>0.53607938356189699</v>
      </c>
      <c r="J1436">
        <v>5339612.45</v>
      </c>
      <c r="K1436">
        <v>0.54425539565311298</v>
      </c>
      <c r="L1436">
        <v>100834</v>
      </c>
      <c r="M1436">
        <v>0.97956831535505395</v>
      </c>
      <c r="N1436">
        <v>48.452078564769799</v>
      </c>
      <c r="O1436">
        <v>4885616.8899999997</v>
      </c>
      <c r="P1436">
        <v>0.99596117821224095</v>
      </c>
      <c r="Q1436">
        <v>9531</v>
      </c>
      <c r="R1436">
        <v>9.2590451768738993E-2</v>
      </c>
      <c r="S1436">
        <v>47.633570454306998</v>
      </c>
      <c r="T1436">
        <v>453995.56</v>
      </c>
      <c r="U1436">
        <v>9.2549613084775495E-2</v>
      </c>
      <c r="V1436">
        <v>760</v>
      </c>
      <c r="W1436">
        <v>0.81462902223079703</v>
      </c>
    </row>
    <row r="1437" spans="1:23" hidden="1" x14ac:dyDescent="0.25">
      <c r="A1437" t="s">
        <v>182</v>
      </c>
      <c r="B1437">
        <v>6</v>
      </c>
      <c r="C1437">
        <v>2025</v>
      </c>
      <c r="D1437" t="s">
        <v>114</v>
      </c>
      <c r="E1437" t="s">
        <v>115</v>
      </c>
      <c r="F1437">
        <v>-187509</v>
      </c>
      <c r="G1437">
        <v>-8964169.8100000005</v>
      </c>
      <c r="H1437">
        <v>284147</v>
      </c>
      <c r="I1437">
        <v>1.3801961545867101</v>
      </c>
      <c r="J1437">
        <v>13516513.289999999</v>
      </c>
      <c r="K1437">
        <v>1.3777095917325399</v>
      </c>
      <c r="L1437">
        <v>48319</v>
      </c>
      <c r="M1437">
        <v>0.469402794986224</v>
      </c>
      <c r="N1437">
        <v>47.1071781286864</v>
      </c>
      <c r="O1437">
        <v>2276171.7400000002</v>
      </c>
      <c r="P1437">
        <v>0.46401073580368402</v>
      </c>
      <c r="Q1437">
        <v>235828</v>
      </c>
      <c r="R1437">
        <v>2.2909895141872001</v>
      </c>
      <c r="S1437">
        <v>47.663303551741102</v>
      </c>
      <c r="T1437">
        <v>11240341.550000001</v>
      </c>
      <c r="U1437">
        <v>2.29140844768003</v>
      </c>
      <c r="V1437">
        <v>206</v>
      </c>
      <c r="W1437">
        <v>0.22080734023624199</v>
      </c>
    </row>
    <row r="1438" spans="1:23" hidden="1" x14ac:dyDescent="0.25">
      <c r="A1438" t="s">
        <v>182</v>
      </c>
      <c r="B1438">
        <v>6</v>
      </c>
      <c r="C1438">
        <v>2025</v>
      </c>
      <c r="D1438" t="s">
        <v>169</v>
      </c>
      <c r="E1438" t="s">
        <v>170</v>
      </c>
      <c r="F1438">
        <v>-1645</v>
      </c>
      <c r="G1438">
        <v>-80336.320000000007</v>
      </c>
      <c r="H1438">
        <v>2475</v>
      </c>
      <c r="I1438">
        <v>1.20218952957522E-2</v>
      </c>
      <c r="J1438">
        <v>120226.12</v>
      </c>
      <c r="K1438">
        <v>1.22543939510888E-2</v>
      </c>
      <c r="L1438">
        <v>415</v>
      </c>
      <c r="M1438">
        <v>4.0315850890805397E-3</v>
      </c>
      <c r="N1438">
        <v>48.06</v>
      </c>
      <c r="O1438">
        <v>19944.900000000001</v>
      </c>
      <c r="P1438">
        <v>4.0658828865571001E-3</v>
      </c>
      <c r="Q1438">
        <v>2060</v>
      </c>
      <c r="R1438">
        <v>2.0012205502423899E-2</v>
      </c>
      <c r="S1438">
        <v>48.680203883495103</v>
      </c>
      <c r="T1438">
        <v>100281.22</v>
      </c>
      <c r="U1438">
        <v>2.0442905015787501E-2</v>
      </c>
      <c r="V1438">
        <v>13</v>
      </c>
      <c r="W1438">
        <v>1.3934443801316299E-2</v>
      </c>
    </row>
    <row r="1439" spans="1:23" hidden="1" x14ac:dyDescent="0.25">
      <c r="A1439" t="s">
        <v>182</v>
      </c>
      <c r="B1439">
        <v>6</v>
      </c>
      <c r="C1439">
        <v>2025</v>
      </c>
      <c r="D1439" t="s">
        <v>163</v>
      </c>
      <c r="E1439" t="s">
        <v>164</v>
      </c>
      <c r="F1439">
        <v>63770</v>
      </c>
      <c r="G1439">
        <v>3079253.31</v>
      </c>
      <c r="H1439">
        <v>71550</v>
      </c>
      <c r="I1439">
        <v>0.34754206400447302</v>
      </c>
      <c r="J1439">
        <v>3451818.31</v>
      </c>
      <c r="K1439">
        <v>0.35183653450948599</v>
      </c>
      <c r="L1439">
        <v>67660</v>
      </c>
      <c r="M1439">
        <v>0.65729408946310797</v>
      </c>
      <c r="N1439">
        <v>48.2639049660065</v>
      </c>
      <c r="O1439">
        <v>3265535.81</v>
      </c>
      <c r="P1439">
        <v>0.66569830710198497</v>
      </c>
      <c r="Q1439">
        <v>3890</v>
      </c>
      <c r="R1439">
        <v>3.7790038545839302E-2</v>
      </c>
      <c r="S1439">
        <v>47.887532133676103</v>
      </c>
      <c r="T1439">
        <v>186282.5</v>
      </c>
      <c r="U1439">
        <v>3.7974761910589398E-2</v>
      </c>
      <c r="V1439">
        <v>228</v>
      </c>
      <c r="W1439">
        <v>0.24438870666923901</v>
      </c>
    </row>
    <row r="1440" spans="1:23" hidden="1" x14ac:dyDescent="0.25">
      <c r="A1440" t="s">
        <v>182</v>
      </c>
      <c r="B1440">
        <v>6</v>
      </c>
      <c r="C1440">
        <v>2025</v>
      </c>
      <c r="D1440" t="s">
        <v>116</v>
      </c>
      <c r="E1440" t="s">
        <v>117</v>
      </c>
      <c r="F1440">
        <v>-19310</v>
      </c>
      <c r="G1440">
        <v>-916594.30000000098</v>
      </c>
      <c r="H1440">
        <v>532314</v>
      </c>
      <c r="I1440">
        <v>2.5856255242274999</v>
      </c>
      <c r="J1440">
        <v>25314891.199999999</v>
      </c>
      <c r="K1440">
        <v>2.5802932806427701</v>
      </c>
      <c r="L1440">
        <v>256502</v>
      </c>
      <c r="M1440">
        <v>2.4918304542634599</v>
      </c>
      <c r="N1440">
        <v>47.5596621078978</v>
      </c>
      <c r="O1440">
        <v>12199148.449999999</v>
      </c>
      <c r="P1440">
        <v>2.4868667636049602</v>
      </c>
      <c r="Q1440">
        <v>275812</v>
      </c>
      <c r="R1440">
        <v>2.6794205941915301</v>
      </c>
      <c r="S1440">
        <v>47.553198374254897</v>
      </c>
      <c r="T1440">
        <v>13115742.75</v>
      </c>
      <c r="U1440">
        <v>2.67371979768249</v>
      </c>
      <c r="V1440">
        <v>3150</v>
      </c>
      <c r="W1440">
        <v>3.37642292108817</v>
      </c>
    </row>
    <row r="1441" spans="1:23" hidden="1" x14ac:dyDescent="0.25">
      <c r="A1441" t="s">
        <v>182</v>
      </c>
      <c r="B1441">
        <v>6</v>
      </c>
      <c r="C1441">
        <v>2025</v>
      </c>
      <c r="D1441" t="s">
        <v>118</v>
      </c>
      <c r="E1441" t="s">
        <v>119</v>
      </c>
      <c r="F1441">
        <v>266784</v>
      </c>
      <c r="G1441">
        <v>12659688.99</v>
      </c>
      <c r="H1441">
        <v>607546</v>
      </c>
      <c r="I1441">
        <v>2.9510522825668999</v>
      </c>
      <c r="J1441">
        <v>28840317.449999999</v>
      </c>
      <c r="K1441">
        <v>2.9396325166840702</v>
      </c>
      <c r="L1441">
        <v>437165</v>
      </c>
      <c r="M1441">
        <v>4.24691059148891</v>
      </c>
      <c r="N1441">
        <v>47.464923358457298</v>
      </c>
      <c r="O1441">
        <v>20750003.219999999</v>
      </c>
      <c r="P1441">
        <v>4.2300078209568701</v>
      </c>
      <c r="Q1441">
        <v>170381</v>
      </c>
      <c r="R1441">
        <v>1.6551939736449</v>
      </c>
      <c r="S1441">
        <v>47.483664434414599</v>
      </c>
      <c r="T1441">
        <v>8090314.2300000004</v>
      </c>
      <c r="U1441">
        <v>1.64925721238497</v>
      </c>
      <c r="V1441">
        <v>2459</v>
      </c>
      <c r="W1441">
        <v>2.6357536390335898</v>
      </c>
    </row>
    <row r="1442" spans="1:23" hidden="1" x14ac:dyDescent="0.25">
      <c r="A1442" t="s">
        <v>182</v>
      </c>
      <c r="B1442">
        <v>6</v>
      </c>
      <c r="C1442">
        <v>2025</v>
      </c>
      <c r="D1442" t="s">
        <v>120</v>
      </c>
      <c r="E1442" t="s">
        <v>121</v>
      </c>
      <c r="F1442">
        <v>-15857</v>
      </c>
      <c r="G1442">
        <v>-769291.06</v>
      </c>
      <c r="H1442">
        <v>60181</v>
      </c>
      <c r="I1442">
        <v>0.29231906294693499</v>
      </c>
      <c r="J1442">
        <v>2870504.38</v>
      </c>
      <c r="K1442">
        <v>0.29258443598484202</v>
      </c>
      <c r="L1442">
        <v>22162</v>
      </c>
      <c r="M1442">
        <v>0.21529635841976599</v>
      </c>
      <c r="N1442">
        <v>47.405769334897599</v>
      </c>
      <c r="O1442">
        <v>1050606.6599999999</v>
      </c>
      <c r="P1442">
        <v>0.21417222645372599</v>
      </c>
      <c r="Q1442">
        <v>38019</v>
      </c>
      <c r="R1442">
        <v>0.36934176747410402</v>
      </c>
      <c r="S1442">
        <v>47.868111207554101</v>
      </c>
      <c r="T1442">
        <v>1819897.72</v>
      </c>
      <c r="U1442">
        <v>0.37099664551755701</v>
      </c>
      <c r="V1442">
        <v>191</v>
      </c>
      <c r="W1442">
        <v>0.20472913585010799</v>
      </c>
    </row>
    <row r="1443" spans="1:23" hidden="1" x14ac:dyDescent="0.25">
      <c r="A1443" t="s">
        <v>182</v>
      </c>
      <c r="B1443">
        <v>6</v>
      </c>
      <c r="C1443">
        <v>2025</v>
      </c>
      <c r="D1443" t="s">
        <v>122</v>
      </c>
      <c r="E1443" t="s">
        <v>123</v>
      </c>
      <c r="F1443">
        <v>-65190</v>
      </c>
      <c r="G1443">
        <v>-3095366.1799999499</v>
      </c>
      <c r="H1443">
        <v>2448974</v>
      </c>
      <c r="I1443">
        <v>11.895478387886699</v>
      </c>
      <c r="J1443">
        <v>116647263.72</v>
      </c>
      <c r="K1443">
        <v>11.8896087051751</v>
      </c>
      <c r="L1443">
        <v>1191892</v>
      </c>
      <c r="M1443">
        <v>11.5788289517937</v>
      </c>
      <c r="N1443">
        <v>47.635145441029898</v>
      </c>
      <c r="O1443">
        <v>56775948.770000003</v>
      </c>
      <c r="P1443">
        <v>11.574104581721899</v>
      </c>
      <c r="Q1443">
        <v>1257082</v>
      </c>
      <c r="R1443">
        <v>12.2121278239796</v>
      </c>
      <c r="S1443">
        <v>47.627215209508996</v>
      </c>
      <c r="T1443">
        <v>59871314.950000003</v>
      </c>
      <c r="U1443">
        <v>12.2051128286348</v>
      </c>
      <c r="V1443">
        <v>13146</v>
      </c>
      <c r="W1443">
        <v>14.090938324008</v>
      </c>
    </row>
    <row r="1444" spans="1:23" hidden="1" x14ac:dyDescent="0.25">
      <c r="A1444" t="s">
        <v>182</v>
      </c>
      <c r="B1444">
        <v>6</v>
      </c>
      <c r="C1444">
        <v>2025</v>
      </c>
      <c r="D1444" t="s">
        <v>124</v>
      </c>
      <c r="E1444" t="s">
        <v>125</v>
      </c>
      <c r="F1444">
        <v>2456</v>
      </c>
      <c r="G1444">
        <v>117217.64</v>
      </c>
      <c r="H1444">
        <v>4398</v>
      </c>
      <c r="I1444">
        <v>2.1362543640694301E-2</v>
      </c>
      <c r="J1444">
        <v>210781.64</v>
      </c>
      <c r="K1444">
        <v>2.1484526442478401E-2</v>
      </c>
      <c r="L1444">
        <v>3427</v>
      </c>
      <c r="M1444">
        <v>3.3292149639226602E-2</v>
      </c>
      <c r="N1444">
        <v>47.855161949226698</v>
      </c>
      <c r="O1444">
        <v>163999.64000000001</v>
      </c>
      <c r="P1444">
        <v>3.3432272394322601E-2</v>
      </c>
      <c r="Q1444">
        <v>971</v>
      </c>
      <c r="R1444">
        <v>9.4329376421619492E-3</v>
      </c>
      <c r="S1444">
        <v>48.179196704428399</v>
      </c>
      <c r="T1444">
        <v>46782</v>
      </c>
      <c r="U1444">
        <v>9.5367804903906204E-3</v>
      </c>
      <c r="V1444">
        <v>15</v>
      </c>
      <c r="W1444">
        <v>1.60782043861342E-2</v>
      </c>
    </row>
    <row r="1445" spans="1:23" hidden="1" x14ac:dyDescent="0.25">
      <c r="A1445" t="s">
        <v>182</v>
      </c>
      <c r="B1445">
        <v>6</v>
      </c>
      <c r="C1445">
        <v>2025</v>
      </c>
      <c r="D1445" t="s">
        <v>126</v>
      </c>
      <c r="E1445" t="s">
        <v>127</v>
      </c>
      <c r="F1445">
        <v>53820</v>
      </c>
      <c r="G1445">
        <v>2555487.7799999998</v>
      </c>
      <c r="H1445">
        <v>112696</v>
      </c>
      <c r="I1445">
        <v>0.547401823131351</v>
      </c>
      <c r="J1445">
        <v>5350787.32</v>
      </c>
      <c r="K1445">
        <v>0.54539442650042103</v>
      </c>
      <c r="L1445">
        <v>83258</v>
      </c>
      <c r="M1445">
        <v>0.80882340083534399</v>
      </c>
      <c r="N1445">
        <v>47.4805730380264</v>
      </c>
      <c r="O1445">
        <v>3953137.55</v>
      </c>
      <c r="P1445">
        <v>0.80586988717673502</v>
      </c>
      <c r="Q1445">
        <v>29438</v>
      </c>
      <c r="R1445">
        <v>0.285980245427357</v>
      </c>
      <c r="S1445">
        <v>47.477742034105603</v>
      </c>
      <c r="T1445">
        <v>1397649.77</v>
      </c>
      <c r="U1445">
        <v>0.284918965818797</v>
      </c>
      <c r="V1445">
        <v>2481</v>
      </c>
      <c r="W1445">
        <v>2.6593350054665899</v>
      </c>
    </row>
    <row r="1446" spans="1:23" hidden="1" x14ac:dyDescent="0.25">
      <c r="A1446" t="s">
        <v>182</v>
      </c>
      <c r="B1446">
        <v>6</v>
      </c>
      <c r="C1446">
        <v>2025</v>
      </c>
      <c r="D1446" t="s">
        <v>128</v>
      </c>
      <c r="E1446" t="s">
        <v>129</v>
      </c>
      <c r="F1446">
        <v>26100</v>
      </c>
      <c r="G1446">
        <v>1249006</v>
      </c>
      <c r="H1446">
        <v>30700</v>
      </c>
      <c r="I1446">
        <v>0.149120074981654</v>
      </c>
      <c r="J1446">
        <v>1468306</v>
      </c>
      <c r="K1446">
        <v>0.14966132288680201</v>
      </c>
      <c r="L1446">
        <v>28400</v>
      </c>
      <c r="M1446">
        <v>0.27589642537322301</v>
      </c>
      <c r="N1446">
        <v>47.84</v>
      </c>
      <c r="O1446">
        <v>1358656</v>
      </c>
      <c r="P1446">
        <v>0.276969860922748</v>
      </c>
      <c r="Q1446">
        <v>2300</v>
      </c>
      <c r="R1446">
        <v>2.23437245900849E-2</v>
      </c>
      <c r="S1446">
        <v>47.673913043478301</v>
      </c>
      <c r="T1446">
        <v>109650</v>
      </c>
      <c r="U1446">
        <v>2.2352784848260698E-2</v>
      </c>
      <c r="V1446">
        <v>47</v>
      </c>
      <c r="W1446">
        <v>5.0378373743220399E-2</v>
      </c>
    </row>
    <row r="1447" spans="1:23" hidden="1" x14ac:dyDescent="0.25">
      <c r="A1447" t="s">
        <v>182</v>
      </c>
      <c r="B1447">
        <v>6</v>
      </c>
      <c r="C1447">
        <v>2025</v>
      </c>
      <c r="D1447" t="s">
        <v>175</v>
      </c>
      <c r="E1447" t="s">
        <v>176</v>
      </c>
      <c r="F1447">
        <v>-6899</v>
      </c>
      <c r="G1447">
        <v>-334846.92</v>
      </c>
      <c r="H1447">
        <v>6899</v>
      </c>
      <c r="I1447">
        <v>3.3510729553694801E-2</v>
      </c>
      <c r="J1447">
        <v>334846.92</v>
      </c>
      <c r="K1447">
        <v>3.4130237846723498E-2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6899</v>
      </c>
      <c r="R1447">
        <v>6.7021459107389603E-2</v>
      </c>
      <c r="S1447">
        <v>48.535573271488602</v>
      </c>
      <c r="T1447">
        <v>334846.92</v>
      </c>
      <c r="U1447">
        <v>6.82604756941428E-2</v>
      </c>
      <c r="V1447">
        <v>7</v>
      </c>
      <c r="W1447">
        <v>7.50316204686261E-3</v>
      </c>
    </row>
    <row r="1448" spans="1:23" hidden="1" x14ac:dyDescent="0.25">
      <c r="A1448" t="s">
        <v>182</v>
      </c>
      <c r="B1448">
        <v>6</v>
      </c>
      <c r="C1448">
        <v>2025</v>
      </c>
      <c r="D1448" t="s">
        <v>130</v>
      </c>
      <c r="E1448" t="s">
        <v>131</v>
      </c>
      <c r="F1448">
        <v>-165460</v>
      </c>
      <c r="G1448">
        <v>-7906199.2800000003</v>
      </c>
      <c r="H1448">
        <v>549410</v>
      </c>
      <c r="I1448">
        <v>2.6686664623996901</v>
      </c>
      <c r="J1448">
        <v>26162562.239999998</v>
      </c>
      <c r="K1448">
        <v>2.6666945956406201</v>
      </c>
      <c r="L1448">
        <v>191975</v>
      </c>
      <c r="M1448">
        <v>1.8649724035572</v>
      </c>
      <c r="N1448">
        <v>47.548803125406899</v>
      </c>
      <c r="O1448">
        <v>9128181.4800000004</v>
      </c>
      <c r="P1448">
        <v>1.86083243660883</v>
      </c>
      <c r="Q1448">
        <v>357435</v>
      </c>
      <c r="R1448">
        <v>3.4723605212421802</v>
      </c>
      <c r="S1448">
        <v>47.657282470938803</v>
      </c>
      <c r="T1448">
        <v>17034380.760000002</v>
      </c>
      <c r="U1448">
        <v>3.4725567546888398</v>
      </c>
      <c r="V1448">
        <v>1815</v>
      </c>
      <c r="W1448">
        <v>1.9454627307222301</v>
      </c>
    </row>
    <row r="1449" spans="1:23" hidden="1" x14ac:dyDescent="0.25">
      <c r="A1449" t="s">
        <v>182</v>
      </c>
      <c r="B1449">
        <v>6</v>
      </c>
      <c r="C1449">
        <v>2025</v>
      </c>
      <c r="D1449" t="s">
        <v>132</v>
      </c>
      <c r="E1449" t="s">
        <v>133</v>
      </c>
      <c r="F1449">
        <v>-12541</v>
      </c>
      <c r="G1449">
        <v>-602097.21</v>
      </c>
      <c r="H1449">
        <v>74595</v>
      </c>
      <c r="I1449">
        <v>0.36233263821682299</v>
      </c>
      <c r="J1449">
        <v>3555614.45</v>
      </c>
      <c r="K1449">
        <v>0.36241625537349098</v>
      </c>
      <c r="L1449">
        <v>31027</v>
      </c>
      <c r="M1449">
        <v>0.30141684472024599</v>
      </c>
      <c r="N1449">
        <v>47.595920327456703</v>
      </c>
      <c r="O1449">
        <v>1476758.62</v>
      </c>
      <c r="P1449">
        <v>0.30104576110352399</v>
      </c>
      <c r="Q1449">
        <v>43568</v>
      </c>
      <c r="R1449">
        <v>0.42324843171339999</v>
      </c>
      <c r="S1449">
        <v>47.715199917370498</v>
      </c>
      <c r="T1449">
        <v>2078855.83</v>
      </c>
      <c r="U1449">
        <v>0.42378674964471003</v>
      </c>
      <c r="V1449">
        <v>556</v>
      </c>
      <c r="W1449">
        <v>0.59596544257937301</v>
      </c>
    </row>
    <row r="1450" spans="1:23" hidden="1" x14ac:dyDescent="0.25">
      <c r="A1450" t="s">
        <v>182</v>
      </c>
      <c r="B1450">
        <v>6</v>
      </c>
      <c r="C1450">
        <v>2025</v>
      </c>
      <c r="D1450" t="s">
        <v>134</v>
      </c>
      <c r="E1450" t="s">
        <v>135</v>
      </c>
      <c r="F1450">
        <v>3591</v>
      </c>
      <c r="G1450">
        <v>200202.12</v>
      </c>
      <c r="H1450">
        <v>84409</v>
      </c>
      <c r="I1450">
        <v>0.41000248889662599</v>
      </c>
      <c r="J1450">
        <v>4010219.74</v>
      </c>
      <c r="K1450">
        <v>0.40875321040380402</v>
      </c>
      <c r="L1450">
        <v>44000</v>
      </c>
      <c r="M1450">
        <v>0.42744516607118999</v>
      </c>
      <c r="N1450">
        <v>47.845702954545501</v>
      </c>
      <c r="O1450">
        <v>2105210.9300000002</v>
      </c>
      <c r="P1450">
        <v>0.42915938876003201</v>
      </c>
      <c r="Q1450">
        <v>40409</v>
      </c>
      <c r="R1450">
        <v>0.392559811722062</v>
      </c>
      <c r="S1450">
        <v>47.143181222004998</v>
      </c>
      <c r="T1450">
        <v>1905008.81</v>
      </c>
      <c r="U1450">
        <v>0.38834703204715998</v>
      </c>
      <c r="V1450">
        <v>234</v>
      </c>
      <c r="W1450">
        <v>0.25081998842369302</v>
      </c>
    </row>
    <row r="1451" spans="1:23" hidden="1" x14ac:dyDescent="0.25">
      <c r="A1451" t="s">
        <v>182</v>
      </c>
      <c r="B1451">
        <v>6</v>
      </c>
      <c r="C1451">
        <v>2025</v>
      </c>
      <c r="D1451" t="s">
        <v>136</v>
      </c>
      <c r="E1451" t="s">
        <v>137</v>
      </c>
      <c r="F1451">
        <v>5564</v>
      </c>
      <c r="G1451">
        <v>243831.84000000099</v>
      </c>
      <c r="H1451">
        <v>81134</v>
      </c>
      <c r="I1451">
        <v>0.394094728454772</v>
      </c>
      <c r="J1451">
        <v>3873303.38</v>
      </c>
      <c r="K1451">
        <v>0.39479761561467602</v>
      </c>
      <c r="L1451">
        <v>43349</v>
      </c>
      <c r="M1451">
        <v>0.42112092054590999</v>
      </c>
      <c r="N1451">
        <v>47.488237560266697</v>
      </c>
      <c r="O1451">
        <v>2058567.61</v>
      </c>
      <c r="P1451">
        <v>0.41965087898759901</v>
      </c>
      <c r="Q1451">
        <v>37785</v>
      </c>
      <c r="R1451">
        <v>0.36706853636363501</v>
      </c>
      <c r="S1451">
        <v>48.027941511181702</v>
      </c>
      <c r="T1451">
        <v>1814735.77</v>
      </c>
      <c r="U1451">
        <v>0.369944352241247</v>
      </c>
      <c r="V1451">
        <v>314</v>
      </c>
      <c r="W1451">
        <v>0.33657041181640801</v>
      </c>
    </row>
    <row r="1452" spans="1:23" hidden="1" x14ac:dyDescent="0.25">
      <c r="A1452" t="s">
        <v>182</v>
      </c>
      <c r="B1452">
        <v>6</v>
      </c>
      <c r="C1452">
        <v>2025</v>
      </c>
      <c r="D1452" t="s">
        <v>138</v>
      </c>
      <c r="E1452" t="s">
        <v>139</v>
      </c>
      <c r="F1452">
        <v>-5625</v>
      </c>
      <c r="G1452">
        <v>-266291.20000000001</v>
      </c>
      <c r="H1452">
        <v>47113</v>
      </c>
      <c r="I1452">
        <v>0.228843455785363</v>
      </c>
      <c r="J1452">
        <v>2228962.84</v>
      </c>
      <c r="K1452">
        <v>0.227193464645601</v>
      </c>
      <c r="L1452">
        <v>20744</v>
      </c>
      <c r="M1452">
        <v>0.20152096647683601</v>
      </c>
      <c r="N1452">
        <v>47.306971654454301</v>
      </c>
      <c r="O1452">
        <v>981335.82</v>
      </c>
      <c r="P1452">
        <v>0.20005096623715701</v>
      </c>
      <c r="Q1452">
        <v>26369</v>
      </c>
      <c r="R1452">
        <v>0.25616594509389101</v>
      </c>
      <c r="S1452">
        <v>47.314157533467302</v>
      </c>
      <c r="T1452">
        <v>1247627.02</v>
      </c>
      <c r="U1452">
        <v>0.25433596305459799</v>
      </c>
      <c r="V1452">
        <v>130</v>
      </c>
      <c r="W1452">
        <v>0.13934443801316301</v>
      </c>
    </row>
    <row r="1453" spans="1:23" hidden="1" x14ac:dyDescent="0.25">
      <c r="A1453" t="s">
        <v>182</v>
      </c>
      <c r="B1453">
        <v>6</v>
      </c>
      <c r="C1453">
        <v>2025</v>
      </c>
      <c r="D1453" t="s">
        <v>140</v>
      </c>
      <c r="E1453" t="s">
        <v>141</v>
      </c>
      <c r="F1453">
        <v>5416</v>
      </c>
      <c r="G1453">
        <v>261998.57</v>
      </c>
      <c r="H1453">
        <v>17548</v>
      </c>
      <c r="I1453">
        <v>8.5236451979741404E-2</v>
      </c>
      <c r="J1453">
        <v>837991.87</v>
      </c>
      <c r="K1453">
        <v>8.5414737685867395E-2</v>
      </c>
      <c r="L1453">
        <v>11482</v>
      </c>
      <c r="M1453">
        <v>0.11154375901885</v>
      </c>
      <c r="N1453">
        <v>47.900646228879999</v>
      </c>
      <c r="O1453">
        <v>549995.22</v>
      </c>
      <c r="P1453">
        <v>0.112119697400649</v>
      </c>
      <c r="Q1453">
        <v>6066</v>
      </c>
      <c r="R1453">
        <v>5.8929144940632699E-2</v>
      </c>
      <c r="S1453">
        <v>47.477192548631699</v>
      </c>
      <c r="T1453">
        <v>287996.65000000002</v>
      </c>
      <c r="U1453">
        <v>5.8709777970541201E-2</v>
      </c>
      <c r="V1453">
        <v>107</v>
      </c>
      <c r="W1453">
        <v>0.114691191287757</v>
      </c>
    </row>
    <row r="1454" spans="1:23" hidden="1" x14ac:dyDescent="0.25">
      <c r="A1454" t="s">
        <v>182</v>
      </c>
      <c r="B1454">
        <v>6</v>
      </c>
      <c r="C1454">
        <v>2025</v>
      </c>
      <c r="D1454" t="s">
        <v>142</v>
      </c>
      <c r="E1454" t="s">
        <v>143</v>
      </c>
      <c r="F1454">
        <v>489347</v>
      </c>
      <c r="G1454">
        <v>23406078.41</v>
      </c>
      <c r="H1454">
        <v>1818447</v>
      </c>
      <c r="I1454">
        <v>8.8327997716665596</v>
      </c>
      <c r="J1454">
        <v>86879597.469999999</v>
      </c>
      <c r="K1454">
        <v>8.8554534880556801</v>
      </c>
      <c r="L1454">
        <v>1153897</v>
      </c>
      <c r="M1454">
        <v>11.209720336228401</v>
      </c>
      <c r="N1454">
        <v>47.788353674548098</v>
      </c>
      <c r="O1454">
        <v>55142837.939999998</v>
      </c>
      <c r="P1454">
        <v>11.241185520932101</v>
      </c>
      <c r="Q1454">
        <v>664550</v>
      </c>
      <c r="R1454">
        <v>6.4558792071047604</v>
      </c>
      <c r="S1454">
        <v>47.756767030321299</v>
      </c>
      <c r="T1454">
        <v>31736759.530000001</v>
      </c>
      <c r="U1454">
        <v>6.4697214551306601</v>
      </c>
      <c r="V1454">
        <v>9338</v>
      </c>
      <c r="W1454">
        <v>10.0092181705147</v>
      </c>
    </row>
    <row r="1455" spans="1:23" hidden="1" x14ac:dyDescent="0.25">
      <c r="A1455" t="s">
        <v>182</v>
      </c>
      <c r="B1455">
        <v>6</v>
      </c>
      <c r="C1455">
        <v>2025</v>
      </c>
      <c r="D1455" t="s">
        <v>144</v>
      </c>
      <c r="E1455" t="s">
        <v>145</v>
      </c>
      <c r="F1455">
        <v>200752</v>
      </c>
      <c r="G1455">
        <v>9590059.1000000108</v>
      </c>
      <c r="H1455">
        <v>1748212</v>
      </c>
      <c r="I1455">
        <v>8.4916450984960008</v>
      </c>
      <c r="J1455">
        <v>83233142.379999995</v>
      </c>
      <c r="K1455">
        <v>8.48377803851265</v>
      </c>
      <c r="L1455">
        <v>974482</v>
      </c>
      <c r="M1455">
        <v>9.4667640982587606</v>
      </c>
      <c r="N1455">
        <v>47.626945125718102</v>
      </c>
      <c r="O1455">
        <v>46411600.740000002</v>
      </c>
      <c r="P1455">
        <v>9.4612724649653295</v>
      </c>
      <c r="Q1455">
        <v>773730</v>
      </c>
      <c r="R1455">
        <v>7.5165260987332303</v>
      </c>
      <c r="S1455">
        <v>47.589652255954903</v>
      </c>
      <c r="T1455">
        <v>36821541.640000001</v>
      </c>
      <c r="U1455">
        <v>7.5062836120400602</v>
      </c>
      <c r="V1455">
        <v>3204</v>
      </c>
      <c r="W1455">
        <v>3.4343044568782601</v>
      </c>
    </row>
    <row r="1456" spans="1:23" hidden="1" x14ac:dyDescent="0.25">
      <c r="A1456" t="s">
        <v>182</v>
      </c>
      <c r="B1456">
        <v>6</v>
      </c>
      <c r="C1456">
        <v>2025</v>
      </c>
      <c r="D1456" t="s">
        <v>146</v>
      </c>
      <c r="E1456" t="s">
        <v>147</v>
      </c>
      <c r="F1456">
        <v>-30067</v>
      </c>
      <c r="G1456">
        <v>-1373345.85</v>
      </c>
      <c r="H1456">
        <v>294431</v>
      </c>
      <c r="I1456">
        <v>1.43014895103985</v>
      </c>
      <c r="J1456">
        <v>14036978.59</v>
      </c>
      <c r="K1456">
        <v>1.4307595181883901</v>
      </c>
      <c r="L1456">
        <v>132182</v>
      </c>
      <c r="M1456">
        <v>1.28410356685505</v>
      </c>
      <c r="N1456">
        <v>47.9022587795615</v>
      </c>
      <c r="O1456">
        <v>6331816.3700000001</v>
      </c>
      <c r="P1456">
        <v>1.29077728239325</v>
      </c>
      <c r="Q1456">
        <v>162249</v>
      </c>
      <c r="R1456">
        <v>1.5761943352246499</v>
      </c>
      <c r="S1456">
        <v>47.489736269561</v>
      </c>
      <c r="T1456">
        <v>7705162.2199999997</v>
      </c>
      <c r="U1456">
        <v>1.5707417539863799</v>
      </c>
      <c r="V1456">
        <v>1008</v>
      </c>
      <c r="W1456">
        <v>1.08045533474822</v>
      </c>
    </row>
    <row r="1457" spans="1:23" x14ac:dyDescent="0.25">
      <c r="A1457" t="s">
        <v>182</v>
      </c>
      <c r="B1457">
        <v>6</v>
      </c>
      <c r="C1457">
        <v>2025</v>
      </c>
      <c r="D1457" t="s">
        <v>148</v>
      </c>
      <c r="E1457" t="s">
        <v>148</v>
      </c>
      <c r="F1457">
        <v>0</v>
      </c>
      <c r="G1457">
        <v>1.0000136828466601E-2</v>
      </c>
      <c r="H1457">
        <v>20587436</v>
      </c>
      <c r="I1457">
        <v>0</v>
      </c>
      <c r="J1457">
        <v>981085808.73000002</v>
      </c>
      <c r="K1457">
        <v>0</v>
      </c>
      <c r="L1457">
        <v>10293718</v>
      </c>
      <c r="M1457">
        <v>100</v>
      </c>
      <c r="N1457">
        <v>47.626945125718102</v>
      </c>
      <c r="O1457">
        <v>490542904.37</v>
      </c>
      <c r="P1457">
        <v>100</v>
      </c>
      <c r="Q1457">
        <v>10293718</v>
      </c>
      <c r="R1457">
        <v>100</v>
      </c>
      <c r="S1457">
        <v>47.654276776974299</v>
      </c>
      <c r="T1457">
        <v>490542904.36000001</v>
      </c>
      <c r="U1457">
        <v>100</v>
      </c>
      <c r="V1457">
        <v>93294</v>
      </c>
      <c r="W1457">
        <v>100</v>
      </c>
    </row>
    <row r="1458" spans="1:23" hidden="1" x14ac:dyDescent="0.25">
      <c r="A1458" t="s">
        <v>182</v>
      </c>
      <c r="B1458">
        <v>6</v>
      </c>
      <c r="C1458">
        <v>2025</v>
      </c>
      <c r="D1458" t="s">
        <v>149</v>
      </c>
      <c r="E1458" t="s">
        <v>150</v>
      </c>
      <c r="F1458">
        <v>176613</v>
      </c>
      <c r="G1458">
        <v>8445114.3499999996</v>
      </c>
      <c r="H1458">
        <v>1281185</v>
      </c>
      <c r="I1458">
        <v>6.2231401715104298</v>
      </c>
      <c r="J1458">
        <v>61051066.329999998</v>
      </c>
      <c r="K1458">
        <v>6.22280597545587</v>
      </c>
      <c r="L1458">
        <v>728899</v>
      </c>
      <c r="M1458">
        <v>7.08100804782101</v>
      </c>
      <c r="N1458">
        <v>47.672023613696801</v>
      </c>
      <c r="O1458">
        <v>34748090.340000004</v>
      </c>
      <c r="P1458">
        <v>7.0835986068591996</v>
      </c>
      <c r="Q1458">
        <v>552286</v>
      </c>
      <c r="R1458">
        <v>5.3652722951998504</v>
      </c>
      <c r="S1458">
        <v>47.625643217463399</v>
      </c>
      <c r="T1458">
        <v>26302975.989999998</v>
      </c>
      <c r="U1458">
        <v>5.36201334403499</v>
      </c>
      <c r="V1458">
        <v>9151</v>
      </c>
      <c r="W1458">
        <v>9.8087765558342408</v>
      </c>
    </row>
    <row r="1459" spans="1:23" hidden="1" x14ac:dyDescent="0.25">
      <c r="A1459" t="s">
        <v>182</v>
      </c>
      <c r="B1459">
        <v>6</v>
      </c>
      <c r="C1459">
        <v>2025</v>
      </c>
      <c r="D1459" t="s">
        <v>183</v>
      </c>
      <c r="E1459" t="s">
        <v>184</v>
      </c>
      <c r="F1459">
        <v>-24800</v>
      </c>
      <c r="G1459">
        <v>-1204922.48</v>
      </c>
      <c r="H1459">
        <v>73600</v>
      </c>
      <c r="I1459">
        <v>0.35749959344135901</v>
      </c>
      <c r="J1459">
        <v>3499273.08</v>
      </c>
      <c r="K1459">
        <v>0.35667349877680499</v>
      </c>
      <c r="L1459">
        <v>24400</v>
      </c>
      <c r="M1459">
        <v>0.23703777391220501</v>
      </c>
      <c r="N1459">
        <v>47.015381147541</v>
      </c>
      <c r="O1459">
        <v>1147175.3</v>
      </c>
      <c r="P1459">
        <v>0.23385830062577401</v>
      </c>
      <c r="Q1459">
        <v>49200</v>
      </c>
      <c r="R1459">
        <v>0.47796141297051298</v>
      </c>
      <c r="S1459">
        <v>47.8068654471545</v>
      </c>
      <c r="T1459">
        <v>2352097.7799999998</v>
      </c>
      <c r="U1459">
        <v>0.47948869693033802</v>
      </c>
      <c r="V1459">
        <v>90</v>
      </c>
      <c r="W1459">
        <v>9.6469226316804907E-2</v>
      </c>
    </row>
    <row r="1460" spans="1:23" hidden="1" x14ac:dyDescent="0.25">
      <c r="A1460" t="s">
        <v>182</v>
      </c>
      <c r="B1460">
        <v>6</v>
      </c>
      <c r="C1460">
        <v>2025</v>
      </c>
      <c r="D1460" t="s">
        <v>151</v>
      </c>
      <c r="E1460" t="s">
        <v>152</v>
      </c>
      <c r="F1460">
        <v>74204</v>
      </c>
      <c r="G1460">
        <v>3479992.4100000402</v>
      </c>
      <c r="H1460">
        <v>2895352</v>
      </c>
      <c r="I1460">
        <v>14.063684278119901</v>
      </c>
      <c r="J1460">
        <v>138059562.91</v>
      </c>
      <c r="K1460">
        <v>14.072119042137199</v>
      </c>
      <c r="L1460">
        <v>1484778</v>
      </c>
      <c r="M1460">
        <v>14.424117699746599</v>
      </c>
      <c r="N1460">
        <v>47.663541391373002</v>
      </c>
      <c r="O1460">
        <v>70769777.659999996</v>
      </c>
      <c r="P1460">
        <v>14.4268273028817</v>
      </c>
      <c r="Q1460">
        <v>1410574</v>
      </c>
      <c r="R1460">
        <v>13.7032508564933</v>
      </c>
      <c r="S1460">
        <v>47.703832092467302</v>
      </c>
      <c r="T1460">
        <v>67289785.25</v>
      </c>
      <c r="U1460">
        <v>13.7174107813855</v>
      </c>
      <c r="V1460">
        <v>9138</v>
      </c>
      <c r="W1460">
        <v>9.7948421120329296</v>
      </c>
    </row>
    <row r="1461" spans="1:23" hidden="1" x14ac:dyDescent="0.25">
      <c r="A1461" t="s">
        <v>182</v>
      </c>
      <c r="B1461">
        <v>6</v>
      </c>
      <c r="C1461">
        <v>2025</v>
      </c>
      <c r="D1461" t="s">
        <v>153</v>
      </c>
      <c r="E1461" t="s">
        <v>154</v>
      </c>
      <c r="F1461">
        <v>5177</v>
      </c>
      <c r="G1461">
        <v>246051.39</v>
      </c>
      <c r="H1461">
        <v>27871</v>
      </c>
      <c r="I1461">
        <v>0.135378684358752</v>
      </c>
      <c r="J1461">
        <v>1340517.97</v>
      </c>
      <c r="K1461">
        <v>0.13663615945431701</v>
      </c>
      <c r="L1461">
        <v>16524</v>
      </c>
      <c r="M1461">
        <v>0.16052508918546199</v>
      </c>
      <c r="N1461">
        <v>48.008029532800798</v>
      </c>
      <c r="O1461">
        <v>793284.68</v>
      </c>
      <c r="P1461">
        <v>0.16171565686365599</v>
      </c>
      <c r="Q1461">
        <v>11347</v>
      </c>
      <c r="R1461">
        <v>0.110232279532041</v>
      </c>
      <c r="S1461">
        <v>48.227134044240799</v>
      </c>
      <c r="T1461">
        <v>547233.29</v>
      </c>
      <c r="U1461">
        <v>0.111556662044467</v>
      </c>
      <c r="V1461">
        <v>522</v>
      </c>
      <c r="W1461">
        <v>0.55952151263746897</v>
      </c>
    </row>
    <row r="1462" spans="1:23" hidden="1" x14ac:dyDescent="0.25">
      <c r="A1462" t="s">
        <v>182</v>
      </c>
      <c r="B1462">
        <v>6</v>
      </c>
      <c r="C1462">
        <v>2025</v>
      </c>
      <c r="D1462" t="s">
        <v>155</v>
      </c>
      <c r="E1462" t="s">
        <v>156</v>
      </c>
      <c r="F1462">
        <v>26431</v>
      </c>
      <c r="G1462">
        <v>1251263.05</v>
      </c>
      <c r="H1462">
        <v>39827</v>
      </c>
      <c r="I1462">
        <v>0.193452938967242</v>
      </c>
      <c r="J1462">
        <v>1891454.37</v>
      </c>
      <c r="K1462">
        <v>0.19279194064059099</v>
      </c>
      <c r="L1462">
        <v>33129</v>
      </c>
      <c r="M1462">
        <v>0.32183706606300999</v>
      </c>
      <c r="N1462">
        <v>47.431516496121198</v>
      </c>
      <c r="O1462">
        <v>1571358.71</v>
      </c>
      <c r="P1462">
        <v>0.32033053500551201</v>
      </c>
      <c r="Q1462">
        <v>6698</v>
      </c>
      <c r="R1462">
        <v>6.5068811871473495E-2</v>
      </c>
      <c r="S1462">
        <v>47.789737234995499</v>
      </c>
      <c r="T1462">
        <v>320095.65999999997</v>
      </c>
      <c r="U1462">
        <v>6.5253346273068905E-2</v>
      </c>
      <c r="V1462">
        <v>119</v>
      </c>
      <c r="W1462">
        <v>0.127553754796664</v>
      </c>
    </row>
    <row r="1463" spans="1:23" hidden="1" x14ac:dyDescent="0.25">
      <c r="A1463" t="s">
        <v>182</v>
      </c>
      <c r="B1463">
        <v>7</v>
      </c>
      <c r="C1463">
        <v>2025</v>
      </c>
      <c r="D1463" t="s">
        <v>88</v>
      </c>
      <c r="E1463" t="s">
        <v>89</v>
      </c>
      <c r="F1463">
        <v>172307</v>
      </c>
      <c r="G1463">
        <v>8064853.46</v>
      </c>
      <c r="H1463">
        <v>439757</v>
      </c>
      <c r="I1463">
        <v>4.3395228071228003</v>
      </c>
      <c r="J1463">
        <v>20598208.140000001</v>
      </c>
      <c r="K1463">
        <v>4.3297375725439604</v>
      </c>
      <c r="L1463">
        <v>306032</v>
      </c>
      <c r="M1463">
        <v>6.0398485695936897</v>
      </c>
      <c r="N1463">
        <v>46.830170701103199</v>
      </c>
      <c r="O1463">
        <v>14331530.800000001</v>
      </c>
      <c r="P1463">
        <v>6.0249675063625503</v>
      </c>
      <c r="Q1463">
        <v>133725</v>
      </c>
      <c r="R1463">
        <v>2.6391970446519202</v>
      </c>
      <c r="S1463">
        <v>46.8624216862965</v>
      </c>
      <c r="T1463">
        <v>6266677.3399999999</v>
      </c>
      <c r="U1463">
        <v>2.6345076381552199</v>
      </c>
      <c r="V1463">
        <v>1532</v>
      </c>
      <c r="W1463">
        <v>2.8761311155333602</v>
      </c>
    </row>
    <row r="1464" spans="1:23" hidden="1" x14ac:dyDescent="0.25">
      <c r="A1464" t="s">
        <v>182</v>
      </c>
      <c r="B1464">
        <v>7</v>
      </c>
      <c r="C1464">
        <v>2025</v>
      </c>
      <c r="D1464" t="s">
        <v>90</v>
      </c>
      <c r="E1464" t="s">
        <v>91</v>
      </c>
      <c r="F1464">
        <v>44364</v>
      </c>
      <c r="G1464">
        <v>2093332.51</v>
      </c>
      <c r="H1464">
        <v>330580</v>
      </c>
      <c r="I1464">
        <v>3.2621639896093901</v>
      </c>
      <c r="J1464">
        <v>15523021.25</v>
      </c>
      <c r="K1464">
        <v>3.26293471202507</v>
      </c>
      <c r="L1464">
        <v>187472</v>
      </c>
      <c r="M1464">
        <v>3.6999480153672399</v>
      </c>
      <c r="N1464">
        <v>46.983959631304998</v>
      </c>
      <c r="O1464">
        <v>8808176.8800000008</v>
      </c>
      <c r="P1464">
        <v>3.7029526177548302</v>
      </c>
      <c r="Q1464">
        <v>143108</v>
      </c>
      <c r="R1464">
        <v>2.8243799638515399</v>
      </c>
      <c r="S1464">
        <v>46.921516407189003</v>
      </c>
      <c r="T1464">
        <v>6714844.3700000001</v>
      </c>
      <c r="U1464">
        <v>2.8229168061473202</v>
      </c>
      <c r="V1464">
        <v>2840</v>
      </c>
      <c r="W1464">
        <v>5.3317313107798601</v>
      </c>
    </row>
    <row r="1465" spans="1:23" hidden="1" x14ac:dyDescent="0.25">
      <c r="A1465" t="s">
        <v>182</v>
      </c>
      <c r="B1465">
        <v>7</v>
      </c>
      <c r="C1465">
        <v>2025</v>
      </c>
      <c r="D1465" t="s">
        <v>92</v>
      </c>
      <c r="E1465" t="s">
        <v>93</v>
      </c>
      <c r="F1465">
        <v>-5834</v>
      </c>
      <c r="G1465">
        <v>-270916.88</v>
      </c>
      <c r="H1465">
        <v>20740</v>
      </c>
      <c r="I1465">
        <v>0.20466235448151299</v>
      </c>
      <c r="J1465">
        <v>970600.94</v>
      </c>
      <c r="K1465">
        <v>0.20402004530208001</v>
      </c>
      <c r="L1465">
        <v>7453</v>
      </c>
      <c r="M1465">
        <v>0.14709243278213299</v>
      </c>
      <c r="N1465">
        <v>46.939759828257102</v>
      </c>
      <c r="O1465">
        <v>349842.03</v>
      </c>
      <c r="P1465">
        <v>0.14707339310256501</v>
      </c>
      <c r="Q1465">
        <v>13287</v>
      </c>
      <c r="R1465">
        <v>0.26223227618089401</v>
      </c>
      <c r="S1465">
        <v>46.719267705275797</v>
      </c>
      <c r="T1465">
        <v>620758.91</v>
      </c>
      <c r="U1465">
        <v>0.26096669752074803</v>
      </c>
      <c r="V1465">
        <v>80</v>
      </c>
      <c r="W1465">
        <v>0.150189614388165</v>
      </c>
    </row>
    <row r="1466" spans="1:23" hidden="1" x14ac:dyDescent="0.25">
      <c r="A1466" t="s">
        <v>182</v>
      </c>
      <c r="B1466">
        <v>7</v>
      </c>
      <c r="C1466">
        <v>2025</v>
      </c>
      <c r="D1466" t="s">
        <v>94</v>
      </c>
      <c r="E1466" t="s">
        <v>95</v>
      </c>
      <c r="F1466">
        <v>-429241</v>
      </c>
      <c r="G1466">
        <v>-20178734.120000001</v>
      </c>
      <c r="H1466">
        <v>700643</v>
      </c>
      <c r="I1466">
        <v>6.9139462888616698</v>
      </c>
      <c r="J1466">
        <v>32920597.039999999</v>
      </c>
      <c r="K1466">
        <v>6.9199002624830896</v>
      </c>
      <c r="L1466">
        <v>135701</v>
      </c>
      <c r="M1466">
        <v>2.6781953872223601</v>
      </c>
      <c r="N1466">
        <v>46.948301486356002</v>
      </c>
      <c r="O1466">
        <v>6370931.46</v>
      </c>
      <c r="P1466">
        <v>2.6783360108163001</v>
      </c>
      <c r="Q1466">
        <v>564942</v>
      </c>
      <c r="R1466">
        <v>11.149697190501</v>
      </c>
      <c r="S1466">
        <v>46.995382853461102</v>
      </c>
      <c r="T1466">
        <v>26549665.579999998</v>
      </c>
      <c r="U1466">
        <v>11.1614645155764</v>
      </c>
      <c r="V1466">
        <v>2069</v>
      </c>
      <c r="W1466">
        <v>3.8842789021139201</v>
      </c>
    </row>
    <row r="1467" spans="1:23" hidden="1" x14ac:dyDescent="0.25">
      <c r="A1467" t="s">
        <v>182</v>
      </c>
      <c r="B1467">
        <v>7</v>
      </c>
      <c r="C1467">
        <v>2025</v>
      </c>
      <c r="D1467" t="s">
        <v>96</v>
      </c>
      <c r="E1467" t="s">
        <v>97</v>
      </c>
      <c r="F1467">
        <v>28023</v>
      </c>
      <c r="G1467">
        <v>1317926.95</v>
      </c>
      <c r="H1467">
        <v>155099</v>
      </c>
      <c r="I1467">
        <v>1.53051718986154</v>
      </c>
      <c r="J1467">
        <v>7286809.1299999999</v>
      </c>
      <c r="K1467">
        <v>1.53168523493313</v>
      </c>
      <c r="L1467">
        <v>91561</v>
      </c>
      <c r="M1467">
        <v>1.8070482004514801</v>
      </c>
      <c r="N1467">
        <v>46.989089677919601</v>
      </c>
      <c r="O1467">
        <v>4302368.04</v>
      </c>
      <c r="P1467">
        <v>1.8087131097965301</v>
      </c>
      <c r="Q1467">
        <v>63538</v>
      </c>
      <c r="R1467">
        <v>1.2539861792715901</v>
      </c>
      <c r="S1467">
        <v>46.970963675280899</v>
      </c>
      <c r="T1467">
        <v>2984441.09</v>
      </c>
      <c r="U1467">
        <v>1.25465735997655</v>
      </c>
      <c r="V1467">
        <v>965</v>
      </c>
      <c r="W1467">
        <v>1.8116622235572399</v>
      </c>
    </row>
    <row r="1468" spans="1:23" hidden="1" x14ac:dyDescent="0.25">
      <c r="A1468" t="s">
        <v>182</v>
      </c>
      <c r="B1468">
        <v>7</v>
      </c>
      <c r="C1468">
        <v>2025</v>
      </c>
      <c r="D1468" t="s">
        <v>98</v>
      </c>
      <c r="E1468" t="s">
        <v>99</v>
      </c>
      <c r="F1468">
        <v>-112800</v>
      </c>
      <c r="G1468">
        <v>-5305086.08</v>
      </c>
      <c r="H1468">
        <v>112800</v>
      </c>
      <c r="I1468">
        <v>1.1131105875368701</v>
      </c>
      <c r="J1468">
        <v>5305086.08</v>
      </c>
      <c r="K1468">
        <v>1.1151276057624999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112800</v>
      </c>
      <c r="R1468">
        <v>2.2262211750737402</v>
      </c>
      <c r="S1468">
        <v>47.030904964538998</v>
      </c>
      <c r="T1468">
        <v>5305086.08</v>
      </c>
      <c r="U1468">
        <v>2.23025521190005</v>
      </c>
      <c r="V1468">
        <v>58</v>
      </c>
      <c r="W1468">
        <v>0.10888747043142</v>
      </c>
    </row>
    <row r="1469" spans="1:23" hidden="1" x14ac:dyDescent="0.25">
      <c r="A1469" t="s">
        <v>182</v>
      </c>
      <c r="B1469">
        <v>7</v>
      </c>
      <c r="C1469">
        <v>2025</v>
      </c>
      <c r="D1469" t="s">
        <v>100</v>
      </c>
      <c r="E1469" t="s">
        <v>101</v>
      </c>
      <c r="F1469">
        <v>5283</v>
      </c>
      <c r="G1469">
        <v>246935.09</v>
      </c>
      <c r="H1469">
        <v>116537</v>
      </c>
      <c r="I1469">
        <v>1.1499873097498601</v>
      </c>
      <c r="J1469">
        <v>5427978.3499999996</v>
      </c>
      <c r="K1469">
        <v>1.1409595264411301</v>
      </c>
      <c r="L1469">
        <v>60910</v>
      </c>
      <c r="M1469">
        <v>1.20211996253317</v>
      </c>
      <c r="N1469">
        <v>46.584415038581497</v>
      </c>
      <c r="O1469">
        <v>2837456.72</v>
      </c>
      <c r="P1469">
        <v>1.1928652128850099</v>
      </c>
      <c r="Q1469">
        <v>55627</v>
      </c>
      <c r="R1469">
        <v>1.0978546569665499</v>
      </c>
      <c r="S1469">
        <v>46.569500961763197</v>
      </c>
      <c r="T1469">
        <v>2590521.63</v>
      </c>
      <c r="U1469">
        <v>1.08905383997979</v>
      </c>
      <c r="V1469">
        <v>96</v>
      </c>
      <c r="W1469">
        <v>0.18022753726579799</v>
      </c>
    </row>
    <row r="1470" spans="1:23" hidden="1" x14ac:dyDescent="0.25">
      <c r="A1470" t="s">
        <v>182</v>
      </c>
      <c r="B1470">
        <v>7</v>
      </c>
      <c r="C1470">
        <v>2025</v>
      </c>
      <c r="D1470" t="s">
        <v>159</v>
      </c>
      <c r="E1470" t="s">
        <v>160</v>
      </c>
      <c r="F1470">
        <v>175</v>
      </c>
      <c r="G1470">
        <v>8163.1</v>
      </c>
      <c r="H1470">
        <v>175</v>
      </c>
      <c r="I1470">
        <v>1.7269002909481601E-3</v>
      </c>
      <c r="J1470">
        <v>8163.1</v>
      </c>
      <c r="K1470">
        <v>1.7158813299783301E-3</v>
      </c>
      <c r="L1470">
        <v>175</v>
      </c>
      <c r="M1470">
        <v>3.4538005818963201E-3</v>
      </c>
      <c r="N1470">
        <v>46.646285714285703</v>
      </c>
      <c r="O1470">
        <v>8163.1</v>
      </c>
      <c r="P1470">
        <v>3.4317626593795701E-3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2</v>
      </c>
      <c r="W1470">
        <v>3.7547403597041301E-3</v>
      </c>
    </row>
    <row r="1471" spans="1:23" hidden="1" x14ac:dyDescent="0.25">
      <c r="A1471" t="s">
        <v>182</v>
      </c>
      <c r="B1471">
        <v>7</v>
      </c>
      <c r="C1471">
        <v>2025</v>
      </c>
      <c r="D1471" t="s">
        <v>102</v>
      </c>
      <c r="E1471" t="s">
        <v>103</v>
      </c>
      <c r="F1471">
        <v>111291</v>
      </c>
      <c r="G1471">
        <v>5236606.6100000003</v>
      </c>
      <c r="H1471">
        <v>647755</v>
      </c>
      <c r="I1471">
        <v>6.39204741693215</v>
      </c>
      <c r="J1471">
        <v>30374190.829999998</v>
      </c>
      <c r="K1471">
        <v>6.3846463914929199</v>
      </c>
      <c r="L1471">
        <v>379523</v>
      </c>
      <c r="M1471">
        <v>7.4902671899602202</v>
      </c>
      <c r="N1471">
        <v>46.9152033473597</v>
      </c>
      <c r="O1471">
        <v>17805398.719999999</v>
      </c>
      <c r="P1471">
        <v>7.4853796306134601</v>
      </c>
      <c r="Q1471">
        <v>268232</v>
      </c>
      <c r="R1471">
        <v>5.2938276439040797</v>
      </c>
      <c r="S1471">
        <v>46.857914454651201</v>
      </c>
      <c r="T1471">
        <v>12568792.109999999</v>
      </c>
      <c r="U1471">
        <v>5.2839131520021798</v>
      </c>
      <c r="V1471">
        <v>4354</v>
      </c>
      <c r="W1471">
        <v>8.1740697630758792</v>
      </c>
    </row>
    <row r="1472" spans="1:23" hidden="1" x14ac:dyDescent="0.25">
      <c r="A1472" t="s">
        <v>182</v>
      </c>
      <c r="B1472">
        <v>7</v>
      </c>
      <c r="C1472">
        <v>2025</v>
      </c>
      <c r="D1472" t="s">
        <v>161</v>
      </c>
      <c r="E1472" t="s">
        <v>162</v>
      </c>
      <c r="F1472">
        <v>-1930</v>
      </c>
      <c r="G1472">
        <v>-90281.51</v>
      </c>
      <c r="H1472">
        <v>8574</v>
      </c>
      <c r="I1472">
        <v>8.4608246254797306E-2</v>
      </c>
      <c r="J1472">
        <v>402612.79</v>
      </c>
      <c r="K1472">
        <v>8.4629095511690899E-2</v>
      </c>
      <c r="L1472">
        <v>3322</v>
      </c>
      <c r="M1472">
        <v>6.5563003046054794E-2</v>
      </c>
      <c r="N1472">
        <v>47.009524382901901</v>
      </c>
      <c r="O1472">
        <v>156165.64000000001</v>
      </c>
      <c r="P1472">
        <v>6.5651947425624094E-2</v>
      </c>
      <c r="Q1472">
        <v>5252</v>
      </c>
      <c r="R1472">
        <v>0.10365348946354</v>
      </c>
      <c r="S1472">
        <v>46.924438309215503</v>
      </c>
      <c r="T1472">
        <v>246447.15</v>
      </c>
      <c r="U1472">
        <v>0.10360624360414</v>
      </c>
      <c r="V1472">
        <v>52</v>
      </c>
      <c r="W1472">
        <v>9.7623249352307304E-2</v>
      </c>
    </row>
    <row r="1473" spans="1:23" hidden="1" x14ac:dyDescent="0.25">
      <c r="A1473" t="s">
        <v>182</v>
      </c>
      <c r="B1473">
        <v>7</v>
      </c>
      <c r="C1473">
        <v>2025</v>
      </c>
      <c r="D1473" t="s">
        <v>104</v>
      </c>
      <c r="E1473" t="s">
        <v>105</v>
      </c>
      <c r="F1473">
        <v>29010</v>
      </c>
      <c r="G1473">
        <v>1350066.2</v>
      </c>
      <c r="H1473">
        <v>290284</v>
      </c>
      <c r="I1473">
        <v>2.8645229946148301</v>
      </c>
      <c r="J1473">
        <v>13634155.039999999</v>
      </c>
      <c r="K1473">
        <v>2.865895564573</v>
      </c>
      <c r="L1473">
        <v>159647</v>
      </c>
      <c r="M1473">
        <v>3.1507937228457301</v>
      </c>
      <c r="N1473">
        <v>46.929228986451399</v>
      </c>
      <c r="O1473">
        <v>7492110.6200000001</v>
      </c>
      <c r="P1473">
        <v>3.14967910054478</v>
      </c>
      <c r="Q1473">
        <v>130637</v>
      </c>
      <c r="R1473">
        <v>2.5782522663839398</v>
      </c>
      <c r="S1473">
        <v>47.016116567281799</v>
      </c>
      <c r="T1473">
        <v>6142044.4199999999</v>
      </c>
      <c r="U1473">
        <v>2.5821120285057901</v>
      </c>
      <c r="V1473">
        <v>4487</v>
      </c>
      <c r="W1473">
        <v>8.4237599969962105</v>
      </c>
    </row>
    <row r="1474" spans="1:23" hidden="1" x14ac:dyDescent="0.25">
      <c r="A1474" t="s">
        <v>182</v>
      </c>
      <c r="B1474">
        <v>7</v>
      </c>
      <c r="C1474">
        <v>2025</v>
      </c>
      <c r="D1474" t="s">
        <v>106</v>
      </c>
      <c r="E1474" t="s">
        <v>107</v>
      </c>
      <c r="F1474">
        <v>218077</v>
      </c>
      <c r="G1474">
        <v>10240224.890000001</v>
      </c>
      <c r="H1474">
        <v>617609</v>
      </c>
      <c r="I1474">
        <v>6.0945666388125899</v>
      </c>
      <c r="J1474">
        <v>29072787.289999999</v>
      </c>
      <c r="K1474">
        <v>6.1110917324720004</v>
      </c>
      <c r="L1474">
        <v>417843</v>
      </c>
      <c r="M1474">
        <v>8.2465508373788907</v>
      </c>
      <c r="N1474">
        <v>47.042803373515902</v>
      </c>
      <c r="O1474">
        <v>19656506.09</v>
      </c>
      <c r="P1474">
        <v>8.2635841302359392</v>
      </c>
      <c r="Q1474">
        <v>199766</v>
      </c>
      <c r="R1474">
        <v>3.9425824402462899</v>
      </c>
      <c r="S1474">
        <v>47.136555770251199</v>
      </c>
      <c r="T1474">
        <v>9416281.1999999993</v>
      </c>
      <c r="U1474">
        <v>3.9585993339841199</v>
      </c>
      <c r="V1474">
        <v>1728</v>
      </c>
      <c r="W1474">
        <v>3.24409567078437</v>
      </c>
    </row>
    <row r="1475" spans="1:23" hidden="1" x14ac:dyDescent="0.25">
      <c r="A1475" t="s">
        <v>182</v>
      </c>
      <c r="B1475">
        <v>7</v>
      </c>
      <c r="C1475">
        <v>2025</v>
      </c>
      <c r="D1475" t="s">
        <v>173</v>
      </c>
      <c r="E1475" t="s">
        <v>174</v>
      </c>
      <c r="F1475">
        <v>3000</v>
      </c>
      <c r="G1475">
        <v>141208.15</v>
      </c>
      <c r="H1475">
        <v>3000</v>
      </c>
      <c r="I1475">
        <v>2.96040049876828E-2</v>
      </c>
      <c r="J1475">
        <v>141208.15</v>
      </c>
      <c r="K1475">
        <v>2.9681913516406599E-2</v>
      </c>
      <c r="L1475">
        <v>3000</v>
      </c>
      <c r="M1475">
        <v>5.9208009975365503E-2</v>
      </c>
      <c r="N1475">
        <v>47.069383333333299</v>
      </c>
      <c r="O1475">
        <v>141208.15</v>
      </c>
      <c r="P1475">
        <v>5.9363827022830599E-2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7</v>
      </c>
      <c r="W1475">
        <v>1.31415912589644E-2</v>
      </c>
    </row>
    <row r="1476" spans="1:23" hidden="1" x14ac:dyDescent="0.25">
      <c r="A1476" t="s">
        <v>182</v>
      </c>
      <c r="B1476">
        <v>7</v>
      </c>
      <c r="C1476">
        <v>2025</v>
      </c>
      <c r="D1476" t="s">
        <v>108</v>
      </c>
      <c r="E1476" t="s">
        <v>109</v>
      </c>
      <c r="F1476">
        <v>5874</v>
      </c>
      <c r="G1476">
        <v>275048.51</v>
      </c>
      <c r="H1476">
        <v>5874</v>
      </c>
      <c r="I1476">
        <v>5.7964641765882799E-2</v>
      </c>
      <c r="J1476">
        <v>275048.51</v>
      </c>
      <c r="K1476">
        <v>5.7815119641723901E-2</v>
      </c>
      <c r="L1476">
        <v>5874</v>
      </c>
      <c r="M1476">
        <v>0.115929283531766</v>
      </c>
      <c r="N1476">
        <v>46.824737827715403</v>
      </c>
      <c r="O1476">
        <v>275048.51</v>
      </c>
      <c r="P1476">
        <v>0.11563023926400399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24</v>
      </c>
      <c r="W1476">
        <v>4.5056884316449497E-2</v>
      </c>
    </row>
    <row r="1477" spans="1:23" hidden="1" x14ac:dyDescent="0.25">
      <c r="A1477" t="s">
        <v>182</v>
      </c>
      <c r="B1477">
        <v>7</v>
      </c>
      <c r="C1477">
        <v>2025</v>
      </c>
      <c r="D1477" t="s">
        <v>110</v>
      </c>
      <c r="E1477" t="s">
        <v>111</v>
      </c>
      <c r="F1477">
        <v>68783</v>
      </c>
      <c r="G1477">
        <v>3266558.05</v>
      </c>
      <c r="H1477">
        <v>243455</v>
      </c>
      <c r="I1477">
        <v>2.4024143447587698</v>
      </c>
      <c r="J1477">
        <v>11445468.09</v>
      </c>
      <c r="K1477">
        <v>2.4058341816826601</v>
      </c>
      <c r="L1477">
        <v>156119</v>
      </c>
      <c r="M1477">
        <v>3.0811651031146998</v>
      </c>
      <c r="N1477">
        <v>47.117987368609903</v>
      </c>
      <c r="O1477">
        <v>7356013.0700000003</v>
      </c>
      <c r="P1477">
        <v>3.0924637668942001</v>
      </c>
      <c r="Q1477">
        <v>87336</v>
      </c>
      <c r="R1477">
        <v>1.72366358640284</v>
      </c>
      <c r="S1477">
        <v>46.824391087294998</v>
      </c>
      <c r="T1477">
        <v>4089455.02</v>
      </c>
      <c r="U1477">
        <v>1.7192045962401801</v>
      </c>
      <c r="V1477">
        <v>871</v>
      </c>
      <c r="W1477">
        <v>1.63518942665115</v>
      </c>
    </row>
    <row r="1478" spans="1:23" hidden="1" x14ac:dyDescent="0.25">
      <c r="A1478" t="s">
        <v>182</v>
      </c>
      <c r="B1478">
        <v>7</v>
      </c>
      <c r="C1478">
        <v>2025</v>
      </c>
      <c r="D1478" t="s">
        <v>112</v>
      </c>
      <c r="E1478" t="s">
        <v>113</v>
      </c>
      <c r="F1478">
        <v>-1700</v>
      </c>
      <c r="G1478">
        <v>-77529.590000000098</v>
      </c>
      <c r="H1478">
        <v>18454</v>
      </c>
      <c r="I1478">
        <v>0.18210410268089899</v>
      </c>
      <c r="J1478">
        <v>867915.41</v>
      </c>
      <c r="K1478">
        <v>0.18243557570279501</v>
      </c>
      <c r="L1478">
        <v>8377</v>
      </c>
      <c r="M1478">
        <v>0.16532849985454601</v>
      </c>
      <c r="N1478">
        <v>47.175947236480802</v>
      </c>
      <c r="O1478">
        <v>395192.91</v>
      </c>
      <c r="P1478">
        <v>0.16613887760649099</v>
      </c>
      <c r="Q1478">
        <v>10077</v>
      </c>
      <c r="R1478">
        <v>0.19887970550725301</v>
      </c>
      <c r="S1478">
        <v>46.911035030267001</v>
      </c>
      <c r="T1478">
        <v>472722.5</v>
      </c>
      <c r="U1478">
        <v>0.198732273804579</v>
      </c>
      <c r="V1478">
        <v>109</v>
      </c>
      <c r="W1478">
        <v>0.204633349603875</v>
      </c>
    </row>
    <row r="1479" spans="1:23" hidden="1" x14ac:dyDescent="0.25">
      <c r="A1479" t="s">
        <v>182</v>
      </c>
      <c r="B1479">
        <v>7</v>
      </c>
      <c r="C1479">
        <v>2025</v>
      </c>
      <c r="D1479" t="s">
        <v>114</v>
      </c>
      <c r="E1479" t="s">
        <v>115</v>
      </c>
      <c r="F1479">
        <v>2419</v>
      </c>
      <c r="G1479">
        <v>113851.15</v>
      </c>
      <c r="H1479">
        <v>2533</v>
      </c>
      <c r="I1479">
        <v>2.4995648211266801E-2</v>
      </c>
      <c r="J1479">
        <v>119171.53</v>
      </c>
      <c r="K1479">
        <v>2.5049822174413101E-2</v>
      </c>
      <c r="L1479">
        <v>2476</v>
      </c>
      <c r="M1479">
        <v>4.88663442330017E-2</v>
      </c>
      <c r="N1479">
        <v>47.056276252019401</v>
      </c>
      <c r="O1479">
        <v>116511.34</v>
      </c>
      <c r="P1479">
        <v>4.8981301957133502E-2</v>
      </c>
      <c r="Q1479">
        <v>57</v>
      </c>
      <c r="R1479">
        <v>1.1249521895319401E-3</v>
      </c>
      <c r="S1479">
        <v>46.67</v>
      </c>
      <c r="T1479">
        <v>2660.19</v>
      </c>
      <c r="U1479">
        <v>1.11834238364411E-3</v>
      </c>
      <c r="V1479">
        <v>19</v>
      </c>
      <c r="W1479">
        <v>3.5670033417189197E-2</v>
      </c>
    </row>
    <row r="1480" spans="1:23" hidden="1" x14ac:dyDescent="0.25">
      <c r="A1480" t="s">
        <v>182</v>
      </c>
      <c r="B1480">
        <v>7</v>
      </c>
      <c r="C1480">
        <v>2025</v>
      </c>
      <c r="D1480" t="s">
        <v>167</v>
      </c>
      <c r="E1480" t="s">
        <v>168</v>
      </c>
      <c r="F1480">
        <v>995</v>
      </c>
      <c r="G1480">
        <v>46844.78</v>
      </c>
      <c r="H1480">
        <v>1063</v>
      </c>
      <c r="I1480">
        <v>1.04896857673023E-2</v>
      </c>
      <c r="J1480">
        <v>50010.18</v>
      </c>
      <c r="K1480">
        <v>1.0512125806477399E-2</v>
      </c>
      <c r="L1480">
        <v>1029</v>
      </c>
      <c r="M1480">
        <v>2.03083474215504E-2</v>
      </c>
      <c r="N1480">
        <v>47.062662779397499</v>
      </c>
      <c r="O1480">
        <v>48427.48</v>
      </c>
      <c r="P1480">
        <v>2.0358885417531399E-2</v>
      </c>
      <c r="Q1480">
        <v>34</v>
      </c>
      <c r="R1480">
        <v>6.7102411305414297E-4</v>
      </c>
      <c r="S1480">
        <v>46.55</v>
      </c>
      <c r="T1480">
        <v>1582.7</v>
      </c>
      <c r="U1480">
        <v>6.6536619211166601E-4</v>
      </c>
      <c r="V1480">
        <v>17</v>
      </c>
      <c r="W1480">
        <v>3.1915293057485097E-2</v>
      </c>
    </row>
    <row r="1481" spans="1:23" hidden="1" x14ac:dyDescent="0.25">
      <c r="A1481" t="s">
        <v>182</v>
      </c>
      <c r="B1481">
        <v>7</v>
      </c>
      <c r="C1481">
        <v>2025</v>
      </c>
      <c r="D1481" t="s">
        <v>169</v>
      </c>
      <c r="E1481" t="s">
        <v>170</v>
      </c>
      <c r="F1481">
        <v>2364</v>
      </c>
      <c r="G1481">
        <v>110112.15</v>
      </c>
      <c r="H1481">
        <v>2364</v>
      </c>
      <c r="I1481">
        <v>2.3327955930293999E-2</v>
      </c>
      <c r="J1481">
        <v>110112.15</v>
      </c>
      <c r="K1481">
        <v>2.3145543039871201E-2</v>
      </c>
      <c r="L1481">
        <v>2364</v>
      </c>
      <c r="M1481">
        <v>4.6655911860587998E-2</v>
      </c>
      <c r="N1481">
        <v>46.578743654822297</v>
      </c>
      <c r="O1481">
        <v>110112.15</v>
      </c>
      <c r="P1481">
        <v>4.6291086071958101E-2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7</v>
      </c>
      <c r="W1481">
        <v>1.31415912589644E-2</v>
      </c>
    </row>
    <row r="1482" spans="1:23" hidden="1" x14ac:dyDescent="0.25">
      <c r="A1482" t="s">
        <v>182</v>
      </c>
      <c r="B1482">
        <v>7</v>
      </c>
      <c r="C1482">
        <v>2025</v>
      </c>
      <c r="D1482" t="s">
        <v>163</v>
      </c>
      <c r="E1482" t="s">
        <v>164</v>
      </c>
      <c r="F1482">
        <v>790</v>
      </c>
      <c r="G1482">
        <v>37449.5</v>
      </c>
      <c r="H1482">
        <v>790</v>
      </c>
      <c r="I1482">
        <v>7.7957213134231297E-3</v>
      </c>
      <c r="J1482">
        <v>37449.5</v>
      </c>
      <c r="K1482">
        <v>7.8718743941668407E-3</v>
      </c>
      <c r="L1482">
        <v>790</v>
      </c>
      <c r="M1482">
        <v>1.5591442626846299E-2</v>
      </c>
      <c r="N1482">
        <v>47.404430379746799</v>
      </c>
      <c r="O1482">
        <v>37449.5</v>
      </c>
      <c r="P1482">
        <v>1.5743748785686199E-2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7</v>
      </c>
      <c r="W1482">
        <v>1.31415912589644E-2</v>
      </c>
    </row>
    <row r="1483" spans="1:23" hidden="1" x14ac:dyDescent="0.25">
      <c r="A1483" t="s">
        <v>182</v>
      </c>
      <c r="B1483">
        <v>7</v>
      </c>
      <c r="C1483">
        <v>2025</v>
      </c>
      <c r="D1483" t="s">
        <v>116</v>
      </c>
      <c r="E1483" t="s">
        <v>117</v>
      </c>
      <c r="F1483">
        <v>44984</v>
      </c>
      <c r="G1483">
        <v>2107293.06</v>
      </c>
      <c r="H1483">
        <v>181008</v>
      </c>
      <c r="I1483">
        <v>1.7861872449368299</v>
      </c>
      <c r="J1483">
        <v>8585519</v>
      </c>
      <c r="K1483">
        <v>1.8046736852757099</v>
      </c>
      <c r="L1483">
        <v>112996</v>
      </c>
      <c r="M1483">
        <v>2.23008943172547</v>
      </c>
      <c r="N1483">
        <v>47.315002566462503</v>
      </c>
      <c r="O1483">
        <v>5346406.03</v>
      </c>
      <c r="P1483">
        <v>2.2476260949437998</v>
      </c>
      <c r="Q1483">
        <v>68012</v>
      </c>
      <c r="R1483">
        <v>1.34228505814819</v>
      </c>
      <c r="S1483">
        <v>47.625609745339098</v>
      </c>
      <c r="T1483">
        <v>3239112.97</v>
      </c>
      <c r="U1483">
        <v>1.3617212754586501</v>
      </c>
      <c r="V1483">
        <v>1042</v>
      </c>
      <c r="W1483">
        <v>1.9562197274058499</v>
      </c>
    </row>
    <row r="1484" spans="1:23" hidden="1" x14ac:dyDescent="0.25">
      <c r="A1484" t="s">
        <v>182</v>
      </c>
      <c r="B1484">
        <v>7</v>
      </c>
      <c r="C1484">
        <v>2025</v>
      </c>
      <c r="D1484" t="s">
        <v>118</v>
      </c>
      <c r="E1484" t="s">
        <v>119</v>
      </c>
      <c r="F1484">
        <v>137469</v>
      </c>
      <c r="G1484">
        <v>6460202.75</v>
      </c>
      <c r="H1484">
        <v>265969</v>
      </c>
      <c r="I1484">
        <v>2.62458253418967</v>
      </c>
      <c r="J1484">
        <v>12490959.609999999</v>
      </c>
      <c r="K1484">
        <v>2.6255962058914299</v>
      </c>
      <c r="L1484">
        <v>201719</v>
      </c>
      <c r="M1484">
        <v>3.9811268547402499</v>
      </c>
      <c r="N1484">
        <v>46.974162969279</v>
      </c>
      <c r="O1484">
        <v>9475581.1799999997</v>
      </c>
      <c r="P1484">
        <v>3.9835290109693302</v>
      </c>
      <c r="Q1484">
        <v>64250</v>
      </c>
      <c r="R1484">
        <v>1.26803821363908</v>
      </c>
      <c r="S1484">
        <v>46.931959999999997</v>
      </c>
      <c r="T1484">
        <v>3015378.43</v>
      </c>
      <c r="U1484">
        <v>1.2676634003568299</v>
      </c>
      <c r="V1484">
        <v>1259</v>
      </c>
      <c r="W1484">
        <v>2.36360905643375</v>
      </c>
    </row>
    <row r="1485" spans="1:23" hidden="1" x14ac:dyDescent="0.25">
      <c r="A1485" t="s">
        <v>182</v>
      </c>
      <c r="B1485">
        <v>7</v>
      </c>
      <c r="C1485">
        <v>2025</v>
      </c>
      <c r="D1485" t="s">
        <v>120</v>
      </c>
      <c r="E1485" t="s">
        <v>121</v>
      </c>
      <c r="F1485">
        <v>-27079</v>
      </c>
      <c r="G1485">
        <v>-1273511.3700000001</v>
      </c>
      <c r="H1485">
        <v>53331</v>
      </c>
      <c r="I1485">
        <v>0.52627039666603603</v>
      </c>
      <c r="J1485">
        <v>2505607.27</v>
      </c>
      <c r="K1485">
        <v>0.52667794524763401</v>
      </c>
      <c r="L1485">
        <v>13126</v>
      </c>
      <c r="M1485">
        <v>0.25905477964554902</v>
      </c>
      <c r="N1485">
        <v>46.933410787749501</v>
      </c>
      <c r="O1485">
        <v>616047.94999999995</v>
      </c>
      <c r="P1485">
        <v>0.258986212492476</v>
      </c>
      <c r="Q1485">
        <v>40205</v>
      </c>
      <c r="R1485">
        <v>0.79348601368652405</v>
      </c>
      <c r="S1485">
        <v>46.998117647058798</v>
      </c>
      <c r="T1485">
        <v>1889559.32</v>
      </c>
      <c r="U1485">
        <v>0.794369678092822</v>
      </c>
      <c r="V1485">
        <v>116</v>
      </c>
      <c r="W1485">
        <v>0.21777494086283899</v>
      </c>
    </row>
    <row r="1486" spans="1:23" hidden="1" x14ac:dyDescent="0.25">
      <c r="A1486" t="s">
        <v>182</v>
      </c>
      <c r="B1486">
        <v>7</v>
      </c>
      <c r="C1486">
        <v>2025</v>
      </c>
      <c r="D1486" t="s">
        <v>122</v>
      </c>
      <c r="E1486" t="s">
        <v>123</v>
      </c>
      <c r="F1486">
        <v>-385</v>
      </c>
      <c r="G1486">
        <v>-5405.67000000179</v>
      </c>
      <c r="H1486">
        <v>1028607</v>
      </c>
      <c r="I1486">
        <v>10.1502955861218</v>
      </c>
      <c r="J1486">
        <v>48185152.030000001</v>
      </c>
      <c r="K1486">
        <v>10.1285054391646</v>
      </c>
      <c r="L1486">
        <v>514111</v>
      </c>
      <c r="M1486">
        <v>10.146496405481701</v>
      </c>
      <c r="N1486">
        <v>46.8573385514023</v>
      </c>
      <c r="O1486">
        <v>24089873.18</v>
      </c>
      <c r="P1486">
        <v>10.127369167144</v>
      </c>
      <c r="Q1486">
        <v>514496</v>
      </c>
      <c r="R1486">
        <v>10.154094766761901</v>
      </c>
      <c r="S1486">
        <v>46.8327816931521</v>
      </c>
      <c r="T1486">
        <v>24095278.850000001</v>
      </c>
      <c r="U1486">
        <v>10.129641711185499</v>
      </c>
      <c r="V1486">
        <v>5599</v>
      </c>
      <c r="W1486">
        <v>10.511395636991701</v>
      </c>
    </row>
    <row r="1487" spans="1:23" hidden="1" x14ac:dyDescent="0.25">
      <c r="A1487" t="s">
        <v>182</v>
      </c>
      <c r="B1487">
        <v>7</v>
      </c>
      <c r="C1487">
        <v>2025</v>
      </c>
      <c r="D1487" t="s">
        <v>124</v>
      </c>
      <c r="E1487" t="s">
        <v>125</v>
      </c>
      <c r="F1487">
        <v>-2368</v>
      </c>
      <c r="G1487">
        <v>-112734.08</v>
      </c>
      <c r="H1487">
        <v>6094</v>
      </c>
      <c r="I1487">
        <v>6.0135602131646197E-2</v>
      </c>
      <c r="J1487">
        <v>286721.65999999997</v>
      </c>
      <c r="K1487">
        <v>6.0268812497016197E-2</v>
      </c>
      <c r="L1487">
        <v>1863</v>
      </c>
      <c r="M1487">
        <v>3.6768174194701998E-2</v>
      </c>
      <c r="N1487">
        <v>46.695539452496</v>
      </c>
      <c r="O1487">
        <v>86993.79</v>
      </c>
      <c r="P1487">
        <v>3.6572140500533798E-2</v>
      </c>
      <c r="Q1487">
        <v>4231</v>
      </c>
      <c r="R1487">
        <v>8.35030300685905E-2</v>
      </c>
      <c r="S1487">
        <v>47.205830772866904</v>
      </c>
      <c r="T1487">
        <v>199727.87</v>
      </c>
      <c r="U1487">
        <v>8.3965484501468304E-2</v>
      </c>
      <c r="V1487">
        <v>24</v>
      </c>
      <c r="W1487">
        <v>4.5056884316449497E-2</v>
      </c>
    </row>
    <row r="1488" spans="1:23" hidden="1" x14ac:dyDescent="0.25">
      <c r="A1488" t="s">
        <v>182</v>
      </c>
      <c r="B1488">
        <v>7</v>
      </c>
      <c r="C1488">
        <v>2025</v>
      </c>
      <c r="D1488" t="s">
        <v>126</v>
      </c>
      <c r="E1488" t="s">
        <v>127</v>
      </c>
      <c r="F1488">
        <v>-13018</v>
      </c>
      <c r="G1488">
        <v>-619888.21</v>
      </c>
      <c r="H1488">
        <v>47840</v>
      </c>
      <c r="I1488">
        <v>0.47208519953691402</v>
      </c>
      <c r="J1488">
        <v>2247847.9300000002</v>
      </c>
      <c r="K1488">
        <v>0.47249700428972202</v>
      </c>
      <c r="L1488">
        <v>17411</v>
      </c>
      <c r="M1488">
        <v>0.34362355389369598</v>
      </c>
      <c r="N1488">
        <v>46.750896559646201</v>
      </c>
      <c r="O1488">
        <v>813979.86</v>
      </c>
      <c r="P1488">
        <v>0.34219667638948498</v>
      </c>
      <c r="Q1488">
        <v>30429</v>
      </c>
      <c r="R1488">
        <v>0.60054684518013202</v>
      </c>
      <c r="S1488">
        <v>47.121761148904</v>
      </c>
      <c r="T1488">
        <v>1433868.07</v>
      </c>
      <c r="U1488">
        <v>0.60279733223378096</v>
      </c>
      <c r="V1488">
        <v>2191</v>
      </c>
      <c r="W1488">
        <v>4.1133180640558704</v>
      </c>
    </row>
    <row r="1489" spans="1:23" hidden="1" x14ac:dyDescent="0.25">
      <c r="A1489" t="s">
        <v>182</v>
      </c>
      <c r="B1489">
        <v>7</v>
      </c>
      <c r="C1489">
        <v>2025</v>
      </c>
      <c r="D1489" t="s">
        <v>128</v>
      </c>
      <c r="E1489" t="s">
        <v>129</v>
      </c>
      <c r="F1489">
        <v>-679</v>
      </c>
      <c r="G1489">
        <v>-32077.66</v>
      </c>
      <c r="H1489">
        <v>679</v>
      </c>
      <c r="I1489">
        <v>6.7003731288788598E-3</v>
      </c>
      <c r="J1489">
        <v>32077.66</v>
      </c>
      <c r="K1489">
        <v>6.7427151331470297E-3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679</v>
      </c>
      <c r="R1489">
        <v>1.34007462577577E-2</v>
      </c>
      <c r="S1489">
        <v>47.242503681885097</v>
      </c>
      <c r="T1489">
        <v>32077.66</v>
      </c>
      <c r="U1489">
        <v>1.3485430268561799E-2</v>
      </c>
      <c r="V1489">
        <v>4</v>
      </c>
      <c r="W1489">
        <v>7.5094807194082498E-3</v>
      </c>
    </row>
    <row r="1490" spans="1:23" hidden="1" x14ac:dyDescent="0.25">
      <c r="A1490" t="s">
        <v>182</v>
      </c>
      <c r="B1490">
        <v>7</v>
      </c>
      <c r="C1490">
        <v>2025</v>
      </c>
      <c r="D1490" t="s">
        <v>175</v>
      </c>
      <c r="E1490" t="s">
        <v>176</v>
      </c>
      <c r="F1490">
        <v>-4266</v>
      </c>
      <c r="G1490">
        <v>-199712.13</v>
      </c>
      <c r="H1490">
        <v>5666</v>
      </c>
      <c r="I1490">
        <v>5.5912097420070202E-2</v>
      </c>
      <c r="J1490">
        <v>266688.13</v>
      </c>
      <c r="K1490">
        <v>5.60577701110892E-2</v>
      </c>
      <c r="L1490">
        <v>700</v>
      </c>
      <c r="M1490">
        <v>1.38152023275853E-2</v>
      </c>
      <c r="N1490">
        <v>47.84</v>
      </c>
      <c r="O1490">
        <v>33488</v>
      </c>
      <c r="P1490">
        <v>1.4078336408631899E-2</v>
      </c>
      <c r="Q1490">
        <v>4966</v>
      </c>
      <c r="R1490">
        <v>9.8008992512555099E-2</v>
      </c>
      <c r="S1490">
        <v>46.959349577124399</v>
      </c>
      <c r="T1490">
        <v>233200.13</v>
      </c>
      <c r="U1490">
        <v>9.8037203827665106E-2</v>
      </c>
      <c r="V1490">
        <v>22</v>
      </c>
      <c r="W1490">
        <v>4.1302143956745398E-2</v>
      </c>
    </row>
    <row r="1491" spans="1:23" hidden="1" x14ac:dyDescent="0.25">
      <c r="A1491" t="s">
        <v>182</v>
      </c>
      <c r="B1491">
        <v>7</v>
      </c>
      <c r="C1491">
        <v>2025</v>
      </c>
      <c r="D1491" t="s">
        <v>130</v>
      </c>
      <c r="E1491" t="s">
        <v>131</v>
      </c>
      <c r="F1491">
        <v>-92564</v>
      </c>
      <c r="G1491">
        <v>-4329419.9000000004</v>
      </c>
      <c r="H1491">
        <v>238072</v>
      </c>
      <c r="I1491">
        <v>2.3492948918091998</v>
      </c>
      <c r="J1491">
        <v>11142001.5</v>
      </c>
      <c r="K1491">
        <v>2.3420455895971499</v>
      </c>
      <c r="L1491">
        <v>72754</v>
      </c>
      <c r="M1491">
        <v>1.43587318591591</v>
      </c>
      <c r="N1491">
        <v>46.819292410039303</v>
      </c>
      <c r="O1491">
        <v>3406290.8</v>
      </c>
      <c r="P1491">
        <v>1.4320027409229501</v>
      </c>
      <c r="Q1491">
        <v>165318</v>
      </c>
      <c r="R1491">
        <v>3.2627165977024899</v>
      </c>
      <c r="S1491">
        <v>46.792912447525403</v>
      </c>
      <c r="T1491">
        <v>7735710.7000000002</v>
      </c>
      <c r="U1491">
        <v>3.25208843857741</v>
      </c>
      <c r="V1491">
        <v>1057</v>
      </c>
      <c r="W1491">
        <v>1.9843802801036301</v>
      </c>
    </row>
    <row r="1492" spans="1:23" hidden="1" x14ac:dyDescent="0.25">
      <c r="A1492" t="s">
        <v>182</v>
      </c>
      <c r="B1492">
        <v>7</v>
      </c>
      <c r="C1492">
        <v>2025</v>
      </c>
      <c r="D1492" t="s">
        <v>132</v>
      </c>
      <c r="E1492" t="s">
        <v>133</v>
      </c>
      <c r="F1492">
        <v>7965</v>
      </c>
      <c r="G1492">
        <v>372986.58</v>
      </c>
      <c r="H1492">
        <v>18485</v>
      </c>
      <c r="I1492">
        <v>0.18241001073243901</v>
      </c>
      <c r="J1492">
        <v>866944.14</v>
      </c>
      <c r="K1492">
        <v>0.182231415021268</v>
      </c>
      <c r="L1492">
        <v>13225</v>
      </c>
      <c r="M1492">
        <v>0.261008643974736</v>
      </c>
      <c r="N1492">
        <v>46.8782880907372</v>
      </c>
      <c r="O1492">
        <v>619965.36</v>
      </c>
      <c r="P1492">
        <v>0.26063308945827102</v>
      </c>
      <c r="Q1492">
        <v>5260</v>
      </c>
      <c r="R1492">
        <v>0.10381137749014099</v>
      </c>
      <c r="S1492">
        <v>46.954140684410604</v>
      </c>
      <c r="T1492">
        <v>246978.78</v>
      </c>
      <c r="U1492">
        <v>0.103829740557898</v>
      </c>
      <c r="V1492">
        <v>336</v>
      </c>
      <c r="W1492">
        <v>0.63079638043029296</v>
      </c>
    </row>
    <row r="1493" spans="1:23" hidden="1" x14ac:dyDescent="0.25">
      <c r="A1493" t="s">
        <v>182</v>
      </c>
      <c r="B1493">
        <v>7</v>
      </c>
      <c r="C1493">
        <v>2025</v>
      </c>
      <c r="D1493" t="s">
        <v>134</v>
      </c>
      <c r="E1493" t="s">
        <v>135</v>
      </c>
      <c r="F1493">
        <v>-31265</v>
      </c>
      <c r="G1493">
        <v>-1467517.21</v>
      </c>
      <c r="H1493">
        <v>58671</v>
      </c>
      <c r="I1493">
        <v>0.57896552554411196</v>
      </c>
      <c r="J1493">
        <v>2753906.37</v>
      </c>
      <c r="K1493">
        <v>0.57887034641145896</v>
      </c>
      <c r="L1493">
        <v>13703</v>
      </c>
      <c r="M1493">
        <v>0.27044245356414498</v>
      </c>
      <c r="N1493">
        <v>46.938231044296899</v>
      </c>
      <c r="O1493">
        <v>643194.57999999996</v>
      </c>
      <c r="P1493">
        <v>0.27039864051148699</v>
      </c>
      <c r="Q1493">
        <v>44968</v>
      </c>
      <c r="R1493">
        <v>0.88748859752407905</v>
      </c>
      <c r="S1493">
        <v>46.938084637964799</v>
      </c>
      <c r="T1493">
        <v>2110711.79</v>
      </c>
      <c r="U1493">
        <v>0.88734205241517605</v>
      </c>
      <c r="V1493">
        <v>409</v>
      </c>
      <c r="W1493">
        <v>0.76784440355949402</v>
      </c>
    </row>
    <row r="1494" spans="1:23" hidden="1" x14ac:dyDescent="0.25">
      <c r="A1494" t="s">
        <v>182</v>
      </c>
      <c r="B1494">
        <v>7</v>
      </c>
      <c r="C1494">
        <v>2025</v>
      </c>
      <c r="D1494" t="s">
        <v>136</v>
      </c>
      <c r="E1494" t="s">
        <v>137</v>
      </c>
      <c r="F1494">
        <v>3659</v>
      </c>
      <c r="G1494">
        <v>172878.09</v>
      </c>
      <c r="H1494">
        <v>31939</v>
      </c>
      <c r="I1494">
        <v>0.31517410510053301</v>
      </c>
      <c r="J1494">
        <v>1495525.79</v>
      </c>
      <c r="K1494">
        <v>0.31435910151316099</v>
      </c>
      <c r="L1494">
        <v>17799</v>
      </c>
      <c r="M1494">
        <v>0.35128112318384402</v>
      </c>
      <c r="N1494">
        <v>46.867910556772799</v>
      </c>
      <c r="O1494">
        <v>834201.94</v>
      </c>
      <c r="P1494">
        <v>0.35069802747411999</v>
      </c>
      <c r="Q1494">
        <v>14140</v>
      </c>
      <c r="R1494">
        <v>0.27906708701722299</v>
      </c>
      <c r="S1494">
        <v>46.769720650636501</v>
      </c>
      <c r="T1494">
        <v>661323.85</v>
      </c>
      <c r="U1494">
        <v>0.27802017553997999</v>
      </c>
      <c r="V1494">
        <v>109</v>
      </c>
      <c r="W1494">
        <v>0.204633349603875</v>
      </c>
    </row>
    <row r="1495" spans="1:23" hidden="1" x14ac:dyDescent="0.25">
      <c r="A1495" t="s">
        <v>182</v>
      </c>
      <c r="B1495">
        <v>7</v>
      </c>
      <c r="C1495">
        <v>2025</v>
      </c>
      <c r="D1495" t="s">
        <v>171</v>
      </c>
      <c r="E1495" t="s">
        <v>172</v>
      </c>
      <c r="F1495">
        <v>-12730</v>
      </c>
      <c r="G1495">
        <v>-610668.93000000005</v>
      </c>
      <c r="H1495">
        <v>12730</v>
      </c>
      <c r="I1495">
        <v>0.12561966116440099</v>
      </c>
      <c r="J1495">
        <v>610668.93000000005</v>
      </c>
      <c r="K1495">
        <v>0.12836243777300799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12730</v>
      </c>
      <c r="R1495">
        <v>0.25123932232880097</v>
      </c>
      <c r="S1495">
        <v>47.970850746268702</v>
      </c>
      <c r="T1495">
        <v>610668.93000000005</v>
      </c>
      <c r="U1495">
        <v>0.256724875589187</v>
      </c>
      <c r="V1495">
        <v>149</v>
      </c>
      <c r="W1495">
        <v>0.27972815679795698</v>
      </c>
    </row>
    <row r="1496" spans="1:23" hidden="1" x14ac:dyDescent="0.25">
      <c r="A1496" t="s">
        <v>182</v>
      </c>
      <c r="B1496">
        <v>7</v>
      </c>
      <c r="C1496">
        <v>2025</v>
      </c>
      <c r="D1496" t="s">
        <v>138</v>
      </c>
      <c r="E1496" t="s">
        <v>139</v>
      </c>
      <c r="F1496">
        <v>4232</v>
      </c>
      <c r="G1496">
        <v>197769.74</v>
      </c>
      <c r="H1496">
        <v>23294</v>
      </c>
      <c r="I1496">
        <v>0.22986523072769399</v>
      </c>
      <c r="J1496">
        <v>1100660.48</v>
      </c>
      <c r="K1496">
        <v>0.23135852412404401</v>
      </c>
      <c r="L1496">
        <v>13763</v>
      </c>
      <c r="M1496">
        <v>0.27162661376365199</v>
      </c>
      <c r="N1496">
        <v>47.171046283513803</v>
      </c>
      <c r="O1496">
        <v>649215.11</v>
      </c>
      <c r="P1496">
        <v>0.27292966794514301</v>
      </c>
      <c r="Q1496">
        <v>9531</v>
      </c>
      <c r="R1496">
        <v>0.18810384769173599</v>
      </c>
      <c r="S1496">
        <v>47.366002518098803</v>
      </c>
      <c r="T1496">
        <v>451445.37</v>
      </c>
      <c r="U1496">
        <v>0.189787380288963</v>
      </c>
      <c r="V1496">
        <v>107</v>
      </c>
      <c r="W1496">
        <v>0.200878609244171</v>
      </c>
    </row>
    <row r="1497" spans="1:23" hidden="1" x14ac:dyDescent="0.25">
      <c r="A1497" t="s">
        <v>182</v>
      </c>
      <c r="B1497">
        <v>7</v>
      </c>
      <c r="C1497">
        <v>2025</v>
      </c>
      <c r="D1497" t="s">
        <v>140</v>
      </c>
      <c r="E1497" t="s">
        <v>141</v>
      </c>
      <c r="F1497">
        <v>617</v>
      </c>
      <c r="G1497">
        <v>28690.5</v>
      </c>
      <c r="H1497">
        <v>617</v>
      </c>
      <c r="I1497">
        <v>6.08855702580009E-3</v>
      </c>
      <c r="J1497">
        <v>28690.5</v>
      </c>
      <c r="K1497">
        <v>6.0307350513583297E-3</v>
      </c>
      <c r="L1497">
        <v>617</v>
      </c>
      <c r="M1497">
        <v>1.2177114051600201E-2</v>
      </c>
      <c r="N1497">
        <v>46.5</v>
      </c>
      <c r="O1497">
        <v>28690.5</v>
      </c>
      <c r="P1497">
        <v>1.20614701006884E-2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3</v>
      </c>
      <c r="W1497">
        <v>5.6321105395561897E-3</v>
      </c>
    </row>
    <row r="1498" spans="1:23" hidden="1" x14ac:dyDescent="0.25">
      <c r="A1498" t="s">
        <v>182</v>
      </c>
      <c r="B1498">
        <v>7</v>
      </c>
      <c r="C1498">
        <v>2025</v>
      </c>
      <c r="D1498" t="s">
        <v>142</v>
      </c>
      <c r="E1498" t="s">
        <v>143</v>
      </c>
      <c r="F1498">
        <v>226228</v>
      </c>
      <c r="G1498">
        <v>10637067.449999999</v>
      </c>
      <c r="H1498">
        <v>604492</v>
      </c>
      <c r="I1498">
        <v>5.9651280610047799</v>
      </c>
      <c r="J1498">
        <v>28357448.23</v>
      </c>
      <c r="K1498">
        <v>5.96072766273645</v>
      </c>
      <c r="L1498">
        <v>415360</v>
      </c>
      <c r="M1498">
        <v>8.1975463411226102</v>
      </c>
      <c r="N1498">
        <v>46.940624614792</v>
      </c>
      <c r="O1498">
        <v>19497257.84</v>
      </c>
      <c r="P1498">
        <v>8.1966362552960899</v>
      </c>
      <c r="Q1498">
        <v>189132</v>
      </c>
      <c r="R1498">
        <v>3.7327097808869398</v>
      </c>
      <c r="S1498">
        <v>46.846595975297703</v>
      </c>
      <c r="T1498">
        <v>8860190.3900000006</v>
      </c>
      <c r="U1498">
        <v>3.72481906942483</v>
      </c>
      <c r="V1498">
        <v>6752</v>
      </c>
      <c r="W1498">
        <v>12.6760034543611</v>
      </c>
    </row>
    <row r="1499" spans="1:23" hidden="1" x14ac:dyDescent="0.25">
      <c r="A1499" t="s">
        <v>182</v>
      </c>
      <c r="B1499">
        <v>7</v>
      </c>
      <c r="C1499">
        <v>2025</v>
      </c>
      <c r="D1499" t="s">
        <v>144</v>
      </c>
      <c r="E1499" t="s">
        <v>145</v>
      </c>
      <c r="F1499">
        <v>-352220</v>
      </c>
      <c r="G1499">
        <v>-16582981.9</v>
      </c>
      <c r="H1499">
        <v>939744</v>
      </c>
      <c r="I1499">
        <v>9.2733953543816501</v>
      </c>
      <c r="J1499">
        <v>44122420.539999999</v>
      </c>
      <c r="K1499">
        <v>9.2745204196981792</v>
      </c>
      <c r="L1499">
        <v>293762</v>
      </c>
      <c r="M1499">
        <v>5.7976878087944401</v>
      </c>
      <c r="N1499">
        <v>46.873725396749698</v>
      </c>
      <c r="O1499">
        <v>13769719.32</v>
      </c>
      <c r="P1499">
        <v>5.7887822754239702</v>
      </c>
      <c r="Q1499">
        <v>645982</v>
      </c>
      <c r="R1499">
        <v>12.7491028999689</v>
      </c>
      <c r="S1499">
        <v>46.986914836636302</v>
      </c>
      <c r="T1499">
        <v>30352701.219999999</v>
      </c>
      <c r="U1499">
        <v>12.760258565144699</v>
      </c>
      <c r="V1499">
        <v>2103</v>
      </c>
      <c r="W1499">
        <v>3.9481094882288899</v>
      </c>
    </row>
    <row r="1500" spans="1:23" hidden="1" x14ac:dyDescent="0.25">
      <c r="A1500" t="s">
        <v>182</v>
      </c>
      <c r="B1500">
        <v>7</v>
      </c>
      <c r="C1500">
        <v>2025</v>
      </c>
      <c r="D1500" t="s">
        <v>165</v>
      </c>
      <c r="E1500" t="s">
        <v>166</v>
      </c>
      <c r="F1500">
        <v>-1412</v>
      </c>
      <c r="G1500">
        <v>-66630.399999999994</v>
      </c>
      <c r="H1500">
        <v>1412</v>
      </c>
      <c r="I1500">
        <v>1.3933618347536E-2</v>
      </c>
      <c r="J1500">
        <v>66630.399999999994</v>
      </c>
      <c r="K1500">
        <v>1.40056913879516E-2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1412</v>
      </c>
      <c r="R1500">
        <v>2.7867236695072E-2</v>
      </c>
      <c r="S1500">
        <v>47.188668555240803</v>
      </c>
      <c r="T1500">
        <v>66630.399999999994</v>
      </c>
      <c r="U1500">
        <v>2.8011382780613599E-2</v>
      </c>
      <c r="V1500">
        <v>8</v>
      </c>
      <c r="W1500">
        <v>1.50189614388165E-2</v>
      </c>
    </row>
    <row r="1501" spans="1:23" hidden="1" x14ac:dyDescent="0.25">
      <c r="A1501" t="s">
        <v>182</v>
      </c>
      <c r="B1501">
        <v>7</v>
      </c>
      <c r="C1501">
        <v>2025</v>
      </c>
      <c r="D1501" t="s">
        <v>146</v>
      </c>
      <c r="E1501" t="s">
        <v>147</v>
      </c>
      <c r="F1501">
        <v>6099</v>
      </c>
      <c r="G1501">
        <v>300509.66999999899</v>
      </c>
      <c r="H1501">
        <v>127617</v>
      </c>
      <c r="I1501">
        <v>1.25932476817104</v>
      </c>
      <c r="J1501">
        <v>5990726.9500000002</v>
      </c>
      <c r="K1501">
        <v>1.2592491242913799</v>
      </c>
      <c r="L1501">
        <v>66858</v>
      </c>
      <c r="M1501">
        <v>1.3195097103110001</v>
      </c>
      <c r="N1501">
        <v>47.0492433216668</v>
      </c>
      <c r="O1501">
        <v>3145618.31</v>
      </c>
      <c r="P1501">
        <v>1.3224161724000301</v>
      </c>
      <c r="Q1501">
        <v>60759</v>
      </c>
      <c r="R1501">
        <v>1.1991398260310799</v>
      </c>
      <c r="S1501">
        <v>46.826126828947203</v>
      </c>
      <c r="T1501">
        <v>2845108.64</v>
      </c>
      <c r="U1501">
        <v>1.1960820761615001</v>
      </c>
      <c r="V1501">
        <v>502</v>
      </c>
      <c r="W1501">
        <v>0.94243983028573597</v>
      </c>
    </row>
    <row r="1502" spans="1:23" x14ac:dyDescent="0.25">
      <c r="A1502" t="s">
        <v>182</v>
      </c>
      <c r="B1502">
        <v>7</v>
      </c>
      <c r="C1502">
        <v>2025</v>
      </c>
      <c r="D1502" t="s">
        <v>148</v>
      </c>
      <c r="E1502" t="s">
        <v>148</v>
      </c>
      <c r="F1502">
        <v>0</v>
      </c>
      <c r="G1502">
        <v>8.0000000886684602E-2</v>
      </c>
      <c r="H1502">
        <v>10133764</v>
      </c>
      <c r="I1502">
        <v>0</v>
      </c>
      <c r="J1502">
        <v>475738027.88</v>
      </c>
      <c r="K1502">
        <v>0</v>
      </c>
      <c r="L1502">
        <v>5066882</v>
      </c>
      <c r="M1502">
        <v>100</v>
      </c>
      <c r="N1502">
        <v>46.939379088462097</v>
      </c>
      <c r="O1502">
        <v>237869013.97999999</v>
      </c>
      <c r="P1502">
        <v>100</v>
      </c>
      <c r="Q1502">
        <v>5066882</v>
      </c>
      <c r="R1502">
        <v>100</v>
      </c>
      <c r="S1502">
        <v>46.922977358202303</v>
      </c>
      <c r="T1502">
        <v>237869013.90000001</v>
      </c>
      <c r="U1502">
        <v>100</v>
      </c>
      <c r="V1502">
        <v>53266</v>
      </c>
      <c r="W1502">
        <v>100</v>
      </c>
    </row>
    <row r="1503" spans="1:23" hidden="1" x14ac:dyDescent="0.25">
      <c r="A1503" t="s">
        <v>182</v>
      </c>
      <c r="B1503">
        <v>7</v>
      </c>
      <c r="C1503">
        <v>2025</v>
      </c>
      <c r="D1503" t="s">
        <v>149</v>
      </c>
      <c r="E1503" t="s">
        <v>150</v>
      </c>
      <c r="F1503">
        <v>-33559</v>
      </c>
      <c r="G1503">
        <v>-1551390.46</v>
      </c>
      <c r="H1503">
        <v>766575</v>
      </c>
      <c r="I1503">
        <v>7.5645633744776397</v>
      </c>
      <c r="J1503">
        <v>35970194.18</v>
      </c>
      <c r="K1503">
        <v>7.5609247257974301</v>
      </c>
      <c r="L1503">
        <v>366508</v>
      </c>
      <c r="M1503">
        <v>7.2334031066837596</v>
      </c>
      <c r="N1503">
        <v>46.955051076647699</v>
      </c>
      <c r="O1503">
        <v>17209401.859999999</v>
      </c>
      <c r="P1503">
        <v>7.2348228851055696</v>
      </c>
      <c r="Q1503">
        <v>400067</v>
      </c>
      <c r="R1503">
        <v>7.8957236422715198</v>
      </c>
      <c r="S1503">
        <v>46.8941260338893</v>
      </c>
      <c r="T1503">
        <v>18760792.32</v>
      </c>
      <c r="U1503">
        <v>7.8870265665989701</v>
      </c>
      <c r="V1503">
        <v>4314</v>
      </c>
      <c r="W1503">
        <v>8.0989749558818005</v>
      </c>
    </row>
    <row r="1504" spans="1:23" hidden="1" x14ac:dyDescent="0.25">
      <c r="A1504" t="s">
        <v>182</v>
      </c>
      <c r="B1504">
        <v>7</v>
      </c>
      <c r="C1504">
        <v>2025</v>
      </c>
      <c r="D1504" t="s">
        <v>183</v>
      </c>
      <c r="E1504" t="s">
        <v>184</v>
      </c>
      <c r="F1504">
        <v>-28000</v>
      </c>
      <c r="G1504">
        <v>-1308300.02</v>
      </c>
      <c r="H1504">
        <v>34000</v>
      </c>
      <c r="I1504">
        <v>0.335512056527071</v>
      </c>
      <c r="J1504">
        <v>1595160.02</v>
      </c>
      <c r="K1504">
        <v>0.33530218870843798</v>
      </c>
      <c r="L1504">
        <v>3000</v>
      </c>
      <c r="M1504">
        <v>5.9208009975365503E-2</v>
      </c>
      <c r="N1504">
        <v>47.81</v>
      </c>
      <c r="O1504">
        <v>143430</v>
      </c>
      <c r="P1504">
        <v>6.0297891516067598E-2</v>
      </c>
      <c r="Q1504">
        <v>31000</v>
      </c>
      <c r="R1504">
        <v>0.61181610307877698</v>
      </c>
      <c r="S1504">
        <v>46.830000645161299</v>
      </c>
      <c r="T1504">
        <v>1451730.02</v>
      </c>
      <c r="U1504">
        <v>0.61030648599329795</v>
      </c>
      <c r="V1504">
        <v>14</v>
      </c>
      <c r="W1504">
        <v>2.62831825179289E-2</v>
      </c>
    </row>
    <row r="1505" spans="1:23" hidden="1" x14ac:dyDescent="0.25">
      <c r="A1505" t="s">
        <v>182</v>
      </c>
      <c r="B1505">
        <v>7</v>
      </c>
      <c r="C1505">
        <v>2025</v>
      </c>
      <c r="D1505" t="s">
        <v>151</v>
      </c>
      <c r="E1505" t="s">
        <v>152</v>
      </c>
      <c r="F1505">
        <v>11685</v>
      </c>
      <c r="G1505">
        <v>540531.56999999995</v>
      </c>
      <c r="H1505">
        <v>1923727</v>
      </c>
      <c r="I1505">
        <v>18.983341234313301</v>
      </c>
      <c r="J1505">
        <v>90341807.689999998</v>
      </c>
      <c r="K1505">
        <v>18.989822632549298</v>
      </c>
      <c r="L1505">
        <v>967706</v>
      </c>
      <c r="M1505">
        <v>19.098648833740398</v>
      </c>
      <c r="N1505">
        <v>46.9576189772514</v>
      </c>
      <c r="O1505">
        <v>45441169.630000003</v>
      </c>
      <c r="P1505">
        <v>19.103442213713802</v>
      </c>
      <c r="Q1505">
        <v>956021</v>
      </c>
      <c r="R1505">
        <v>18.868033634886299</v>
      </c>
      <c r="S1505">
        <v>46.966162939935401</v>
      </c>
      <c r="T1505">
        <v>44900638.060000002</v>
      </c>
      <c r="U1505">
        <v>18.8762030513467</v>
      </c>
      <c r="V1505">
        <v>7468</v>
      </c>
      <c r="W1505">
        <v>14.0202005031352</v>
      </c>
    </row>
    <row r="1506" spans="1:23" hidden="1" x14ac:dyDescent="0.25">
      <c r="A1506" t="s">
        <v>182</v>
      </c>
      <c r="B1506">
        <v>7</v>
      </c>
      <c r="C1506">
        <v>2025</v>
      </c>
      <c r="D1506" t="s">
        <v>153</v>
      </c>
      <c r="E1506" t="s">
        <v>154</v>
      </c>
      <c r="F1506">
        <v>1315</v>
      </c>
      <c r="G1506">
        <v>60651.129999999903</v>
      </c>
      <c r="H1506">
        <v>16761</v>
      </c>
      <c r="I1506">
        <v>0.165397575866184</v>
      </c>
      <c r="J1506">
        <v>789355.79</v>
      </c>
      <c r="K1506">
        <v>0.16592236561738699</v>
      </c>
      <c r="L1506">
        <v>9038</v>
      </c>
      <c r="M1506">
        <v>0.17837399805245099</v>
      </c>
      <c r="N1506">
        <v>47.024060632883398</v>
      </c>
      <c r="O1506">
        <v>425003.46</v>
      </c>
      <c r="P1506">
        <v>0.178671216098678</v>
      </c>
      <c r="Q1506">
        <v>7723</v>
      </c>
      <c r="R1506">
        <v>0.15242115367991599</v>
      </c>
      <c r="S1506">
        <v>47.177564417972299</v>
      </c>
      <c r="T1506">
        <v>364352.33</v>
      </c>
      <c r="U1506">
        <v>0.15317351513180799</v>
      </c>
      <c r="V1506">
        <v>243</v>
      </c>
      <c r="W1506">
        <v>0.456200953704051</v>
      </c>
    </row>
    <row r="1507" spans="1:23" hidden="1" x14ac:dyDescent="0.25">
      <c r="A1507" t="s">
        <v>182</v>
      </c>
      <c r="B1507">
        <v>7</v>
      </c>
      <c r="C1507">
        <v>2025</v>
      </c>
      <c r="D1507" t="s">
        <v>155</v>
      </c>
      <c r="E1507" t="s">
        <v>156</v>
      </c>
      <c r="F1507">
        <v>14042</v>
      </c>
      <c r="G1507">
        <v>655024.56000000006</v>
      </c>
      <c r="H1507">
        <v>28348</v>
      </c>
      <c r="I1507">
        <v>0.27973811113027702</v>
      </c>
      <c r="J1507">
        <v>1334719.58</v>
      </c>
      <c r="K1507">
        <v>0.28055768128266401</v>
      </c>
      <c r="L1507">
        <v>21195</v>
      </c>
      <c r="M1507">
        <v>0.41830459047595703</v>
      </c>
      <c r="N1507">
        <v>46.938998348667099</v>
      </c>
      <c r="O1507">
        <v>994872.07</v>
      </c>
      <c r="P1507">
        <v>0.41824365996810697</v>
      </c>
      <c r="Q1507">
        <v>7153</v>
      </c>
      <c r="R1507">
        <v>0.14117163178459699</v>
      </c>
      <c r="S1507">
        <v>47.511185516566499</v>
      </c>
      <c r="T1507">
        <v>339847.51</v>
      </c>
      <c r="U1507">
        <v>0.142871702550914</v>
      </c>
      <c r="V1507">
        <v>111</v>
      </c>
      <c r="W1507">
        <v>0.20838808996357899</v>
      </c>
    </row>
    <row r="1508" spans="1:23" hidden="1" x14ac:dyDescent="0.25">
      <c r="A1508" t="s">
        <v>182</v>
      </c>
      <c r="B1508">
        <v>8</v>
      </c>
      <c r="C1508">
        <v>2025</v>
      </c>
      <c r="D1508" t="s">
        <v>88</v>
      </c>
      <c r="E1508" t="s">
        <v>89</v>
      </c>
      <c r="F1508">
        <v>34561</v>
      </c>
      <c r="G1508">
        <v>1646269.79</v>
      </c>
      <c r="H1508">
        <v>337619</v>
      </c>
      <c r="I1508">
        <v>2.7370375408647698</v>
      </c>
      <c r="J1508">
        <v>16046035.49</v>
      </c>
      <c r="K1508">
        <v>2.7355791313931501</v>
      </c>
      <c r="L1508">
        <v>186090</v>
      </c>
      <c r="M1508">
        <v>3.01721950470515</v>
      </c>
      <c r="N1508">
        <v>47.536958675909503</v>
      </c>
      <c r="O1508">
        <v>8846152.6400000006</v>
      </c>
      <c r="P1508">
        <v>3.0162404371653699</v>
      </c>
      <c r="Q1508">
        <v>151529</v>
      </c>
      <c r="R1508">
        <v>2.4568555770243798</v>
      </c>
      <c r="S1508">
        <v>47.514883949606997</v>
      </c>
      <c r="T1508">
        <v>7199882.8499999996</v>
      </c>
      <c r="U1508">
        <v>2.4549178255156701</v>
      </c>
      <c r="V1508">
        <v>1469</v>
      </c>
      <c r="W1508">
        <v>3.0450644666473199</v>
      </c>
    </row>
    <row r="1509" spans="1:23" hidden="1" x14ac:dyDescent="0.25">
      <c r="A1509" t="s">
        <v>182</v>
      </c>
      <c r="B1509">
        <v>8</v>
      </c>
      <c r="C1509">
        <v>2025</v>
      </c>
      <c r="D1509" t="s">
        <v>90</v>
      </c>
      <c r="E1509" t="s">
        <v>91</v>
      </c>
      <c r="F1509">
        <v>32801</v>
      </c>
      <c r="G1509">
        <v>1556077.61</v>
      </c>
      <c r="H1509">
        <v>301259</v>
      </c>
      <c r="I1509">
        <v>2.4422712955235899</v>
      </c>
      <c r="J1509">
        <v>14333769.029999999</v>
      </c>
      <c r="K1509">
        <v>2.4436665029884899</v>
      </c>
      <c r="L1509">
        <v>167030</v>
      </c>
      <c r="M1509">
        <v>2.7081851462781499</v>
      </c>
      <c r="N1509">
        <v>47.565846374902698</v>
      </c>
      <c r="O1509">
        <v>7944923.3200000003</v>
      </c>
      <c r="P1509">
        <v>2.7089515593032001</v>
      </c>
      <c r="Q1509">
        <v>134229</v>
      </c>
      <c r="R1509">
        <v>2.1763574447690299</v>
      </c>
      <c r="S1509">
        <v>47.596612579993902</v>
      </c>
      <c r="T1509">
        <v>6388845.71</v>
      </c>
      <c r="U1509">
        <v>2.1783814465742801</v>
      </c>
      <c r="V1509">
        <v>2886</v>
      </c>
      <c r="W1509">
        <v>5.9823390406699604</v>
      </c>
    </row>
    <row r="1510" spans="1:23" hidden="1" x14ac:dyDescent="0.25">
      <c r="A1510" t="s">
        <v>182</v>
      </c>
      <c r="B1510">
        <v>8</v>
      </c>
      <c r="C1510">
        <v>2025</v>
      </c>
      <c r="D1510" t="s">
        <v>92</v>
      </c>
      <c r="E1510" t="s">
        <v>93</v>
      </c>
      <c r="F1510">
        <v>12340</v>
      </c>
      <c r="G1510">
        <v>586890.06999999995</v>
      </c>
      <c r="H1510">
        <v>17562</v>
      </c>
      <c r="I1510">
        <v>0.142373069325681</v>
      </c>
      <c r="J1510">
        <v>834847.67</v>
      </c>
      <c r="K1510">
        <v>0.142327484279059</v>
      </c>
      <c r="L1510">
        <v>14951</v>
      </c>
      <c r="M1510">
        <v>0.24241199857513401</v>
      </c>
      <c r="N1510">
        <v>47.546576817604198</v>
      </c>
      <c r="O1510">
        <v>710868.87</v>
      </c>
      <c r="P1510">
        <v>0.242382368750993</v>
      </c>
      <c r="Q1510">
        <v>2611</v>
      </c>
      <c r="R1510">
        <v>4.2334140076227399E-2</v>
      </c>
      <c r="S1510">
        <v>47.483263117579497</v>
      </c>
      <c r="T1510">
        <v>123978.8</v>
      </c>
      <c r="U1510">
        <v>4.2272599769597997E-2</v>
      </c>
      <c r="V1510">
        <v>55</v>
      </c>
      <c r="W1510">
        <v>0.114008540276108</v>
      </c>
    </row>
    <row r="1511" spans="1:23" hidden="1" x14ac:dyDescent="0.25">
      <c r="A1511" t="s">
        <v>182</v>
      </c>
      <c r="B1511">
        <v>8</v>
      </c>
      <c r="C1511">
        <v>2025</v>
      </c>
      <c r="D1511" t="s">
        <v>94</v>
      </c>
      <c r="E1511" t="s">
        <v>95</v>
      </c>
      <c r="F1511">
        <v>-262192</v>
      </c>
      <c r="G1511">
        <v>-12434288.9</v>
      </c>
      <c r="H1511">
        <v>419404</v>
      </c>
      <c r="I1511">
        <v>3.4000589208215399</v>
      </c>
      <c r="J1511">
        <v>19918240.18</v>
      </c>
      <c r="K1511">
        <v>3.3957248944414902</v>
      </c>
      <c r="L1511">
        <v>78606</v>
      </c>
      <c r="M1511">
        <v>1.2744992013910099</v>
      </c>
      <c r="N1511">
        <v>47.604198661679803</v>
      </c>
      <c r="O1511">
        <v>3741975.64</v>
      </c>
      <c r="P1511">
        <v>1.2758878011238699</v>
      </c>
      <c r="Q1511">
        <v>340798</v>
      </c>
      <c r="R1511">
        <v>5.5256186402520697</v>
      </c>
      <c r="S1511">
        <v>47.465843520208502</v>
      </c>
      <c r="T1511">
        <v>16176264.539999999</v>
      </c>
      <c r="U1511">
        <v>5.51556198855417</v>
      </c>
      <c r="V1511">
        <v>1088</v>
      </c>
      <c r="W1511">
        <v>2.2552962149164602</v>
      </c>
    </row>
    <row r="1512" spans="1:23" hidden="1" x14ac:dyDescent="0.25">
      <c r="A1512" t="s">
        <v>182</v>
      </c>
      <c r="B1512">
        <v>8</v>
      </c>
      <c r="C1512">
        <v>2025</v>
      </c>
      <c r="D1512" t="s">
        <v>96</v>
      </c>
      <c r="E1512" t="s">
        <v>97</v>
      </c>
      <c r="F1512">
        <v>-114299</v>
      </c>
      <c r="G1512">
        <v>-5450354.3499999996</v>
      </c>
      <c r="H1512">
        <v>287313</v>
      </c>
      <c r="I1512">
        <v>2.32921271308332</v>
      </c>
      <c r="J1512">
        <v>13678722.130000001</v>
      </c>
      <c r="K1512">
        <v>2.3319920254615898</v>
      </c>
      <c r="L1512">
        <v>86507</v>
      </c>
      <c r="M1512">
        <v>1.4026041576308701</v>
      </c>
      <c r="N1512">
        <v>47.558970834730097</v>
      </c>
      <c r="O1512">
        <v>4114183.89</v>
      </c>
      <c r="P1512">
        <v>1.4027982920891899</v>
      </c>
      <c r="Q1512">
        <v>200806</v>
      </c>
      <c r="R1512">
        <v>3.2558212685357799</v>
      </c>
      <c r="S1512">
        <v>47.630739320538297</v>
      </c>
      <c r="T1512">
        <v>9564538.2400000002</v>
      </c>
      <c r="U1512">
        <v>3.2611857591825002</v>
      </c>
      <c r="V1512">
        <v>902</v>
      </c>
      <c r="W1512">
        <v>1.86974006052817</v>
      </c>
    </row>
    <row r="1513" spans="1:23" hidden="1" x14ac:dyDescent="0.25">
      <c r="A1513" t="s">
        <v>182</v>
      </c>
      <c r="B1513">
        <v>8</v>
      </c>
      <c r="C1513">
        <v>2025</v>
      </c>
      <c r="D1513" t="s">
        <v>100</v>
      </c>
      <c r="E1513" t="s">
        <v>101</v>
      </c>
      <c r="F1513">
        <v>611</v>
      </c>
      <c r="G1513">
        <v>29267.45</v>
      </c>
      <c r="H1513">
        <v>6045</v>
      </c>
      <c r="I1513">
        <v>4.9006104320336003E-2</v>
      </c>
      <c r="J1513">
        <v>285735.93</v>
      </c>
      <c r="K1513">
        <v>4.8713169535512198E-2</v>
      </c>
      <c r="L1513">
        <v>3328</v>
      </c>
      <c r="M1513">
        <v>5.3959409488197899E-2</v>
      </c>
      <c r="N1513">
        <v>47.3262289663462</v>
      </c>
      <c r="O1513">
        <v>157501.69</v>
      </c>
      <c r="P1513">
        <v>5.3702777425722097E-2</v>
      </c>
      <c r="Q1513">
        <v>2717</v>
      </c>
      <c r="R1513">
        <v>4.4052799152474099E-2</v>
      </c>
      <c r="S1513">
        <v>47.196996687522997</v>
      </c>
      <c r="T1513">
        <v>128234.24000000001</v>
      </c>
      <c r="U1513">
        <v>4.3723561643430803E-2</v>
      </c>
      <c r="V1513">
        <v>20</v>
      </c>
      <c r="W1513">
        <v>4.14576510094938E-2</v>
      </c>
    </row>
    <row r="1514" spans="1:23" hidden="1" x14ac:dyDescent="0.25">
      <c r="A1514" t="s">
        <v>182</v>
      </c>
      <c r="B1514">
        <v>8</v>
      </c>
      <c r="C1514">
        <v>2025</v>
      </c>
      <c r="D1514" t="s">
        <v>102</v>
      </c>
      <c r="E1514" t="s">
        <v>103</v>
      </c>
      <c r="F1514">
        <v>-26112</v>
      </c>
      <c r="G1514">
        <v>-1293355.79</v>
      </c>
      <c r="H1514">
        <v>776682</v>
      </c>
      <c r="I1514">
        <v>6.2964696634784501</v>
      </c>
      <c r="J1514">
        <v>36937079.75</v>
      </c>
      <c r="K1514">
        <v>6.2971507573740704</v>
      </c>
      <c r="L1514">
        <v>375285</v>
      </c>
      <c r="M1514">
        <v>6.0847827493324402</v>
      </c>
      <c r="N1514">
        <v>47.488873735960702</v>
      </c>
      <c r="O1514">
        <v>17821861.98</v>
      </c>
      <c r="P1514">
        <v>6.0766553503259502</v>
      </c>
      <c r="Q1514">
        <v>401397</v>
      </c>
      <c r="R1514">
        <v>6.5081565776244501</v>
      </c>
      <c r="S1514">
        <v>47.621725548521802</v>
      </c>
      <c r="T1514">
        <v>19115217.77</v>
      </c>
      <c r="U1514">
        <v>6.51764616450488</v>
      </c>
      <c r="V1514">
        <v>4313</v>
      </c>
      <c r="W1514">
        <v>8.9403424401973393</v>
      </c>
    </row>
    <row r="1515" spans="1:23" hidden="1" x14ac:dyDescent="0.25">
      <c r="A1515" t="s">
        <v>182</v>
      </c>
      <c r="B1515">
        <v>8</v>
      </c>
      <c r="C1515">
        <v>2025</v>
      </c>
      <c r="D1515" t="s">
        <v>161</v>
      </c>
      <c r="E1515" t="s">
        <v>162</v>
      </c>
      <c r="F1515">
        <v>-3604</v>
      </c>
      <c r="G1515">
        <v>-169977.32</v>
      </c>
      <c r="H1515">
        <v>15920</v>
      </c>
      <c r="I1515">
        <v>0.129061568367204</v>
      </c>
      <c r="J1515">
        <v>756260.92</v>
      </c>
      <c r="K1515">
        <v>0.12892976535727399</v>
      </c>
      <c r="L1515">
        <v>6158</v>
      </c>
      <c r="M1515">
        <v>9.9844364071010397E-2</v>
      </c>
      <c r="N1515">
        <v>47.6034101981163</v>
      </c>
      <c r="O1515">
        <v>293141.8</v>
      </c>
      <c r="P1515">
        <v>9.9951491565427403E-2</v>
      </c>
      <c r="Q1515">
        <v>9762</v>
      </c>
      <c r="R1515">
        <v>0.15827877266339799</v>
      </c>
      <c r="S1515">
        <v>47.4410079901659</v>
      </c>
      <c r="T1515">
        <v>463119.12</v>
      </c>
      <c r="U1515">
        <v>0.15790803915998899</v>
      </c>
      <c r="V1515">
        <v>65</v>
      </c>
      <c r="W1515">
        <v>0.13473736578085499</v>
      </c>
    </row>
    <row r="1516" spans="1:23" hidden="1" x14ac:dyDescent="0.25">
      <c r="A1516" t="s">
        <v>182</v>
      </c>
      <c r="B1516">
        <v>8</v>
      </c>
      <c r="C1516">
        <v>2025</v>
      </c>
      <c r="D1516" t="s">
        <v>104</v>
      </c>
      <c r="E1516" t="s">
        <v>105</v>
      </c>
      <c r="F1516">
        <v>-9699</v>
      </c>
      <c r="G1516">
        <v>-470192.41000000201</v>
      </c>
      <c r="H1516">
        <v>258315</v>
      </c>
      <c r="I1516">
        <v>2.0941293362295399</v>
      </c>
      <c r="J1516">
        <v>12270564.73</v>
      </c>
      <c r="K1516">
        <v>2.0919248761923801</v>
      </c>
      <c r="L1516">
        <v>124308</v>
      </c>
      <c r="M1516">
        <v>2.0155006834912599</v>
      </c>
      <c r="N1516">
        <v>47.464251375615397</v>
      </c>
      <c r="O1516">
        <v>5900186.1600000001</v>
      </c>
      <c r="P1516">
        <v>2.0117649792888299</v>
      </c>
      <c r="Q1516">
        <v>134007</v>
      </c>
      <c r="R1516">
        <v>2.1727579889678301</v>
      </c>
      <c r="S1516">
        <v>47.537655271739503</v>
      </c>
      <c r="T1516">
        <v>6370378.5700000003</v>
      </c>
      <c r="U1516">
        <v>2.172084773126</v>
      </c>
      <c r="V1516">
        <v>3012</v>
      </c>
      <c r="W1516">
        <v>6.24352224202977</v>
      </c>
    </row>
    <row r="1517" spans="1:23" hidden="1" x14ac:dyDescent="0.25">
      <c r="A1517" t="s">
        <v>182</v>
      </c>
      <c r="B1517">
        <v>8</v>
      </c>
      <c r="C1517">
        <v>2025</v>
      </c>
      <c r="D1517" t="s">
        <v>106</v>
      </c>
      <c r="E1517" t="s">
        <v>107</v>
      </c>
      <c r="F1517">
        <v>68403</v>
      </c>
      <c r="G1517">
        <v>3230688.23</v>
      </c>
      <c r="H1517">
        <v>414091</v>
      </c>
      <c r="I1517">
        <v>3.3569870544437199</v>
      </c>
      <c r="J1517">
        <v>19637579.57</v>
      </c>
      <c r="K1517">
        <v>3.3478769815910798</v>
      </c>
      <c r="L1517">
        <v>241247</v>
      </c>
      <c r="M1517">
        <v>3.9115221336536301</v>
      </c>
      <c r="N1517">
        <v>47.395963058607997</v>
      </c>
      <c r="O1517">
        <v>11434133.9</v>
      </c>
      <c r="P1517">
        <v>3.8986549787980298</v>
      </c>
      <c r="Q1517">
        <v>172844</v>
      </c>
      <c r="R1517">
        <v>2.8024519752338</v>
      </c>
      <c r="S1517">
        <v>47.461558804471103</v>
      </c>
      <c r="T1517">
        <v>8203445.6699999999</v>
      </c>
      <c r="U1517">
        <v>2.7970989841775502</v>
      </c>
      <c r="V1517">
        <v>1156</v>
      </c>
      <c r="W1517">
        <v>2.39625222834874</v>
      </c>
    </row>
    <row r="1518" spans="1:23" hidden="1" x14ac:dyDescent="0.25">
      <c r="A1518" t="s">
        <v>182</v>
      </c>
      <c r="B1518">
        <v>8</v>
      </c>
      <c r="C1518">
        <v>2025</v>
      </c>
      <c r="D1518" t="s">
        <v>173</v>
      </c>
      <c r="E1518" t="s">
        <v>174</v>
      </c>
      <c r="F1518">
        <v>7959</v>
      </c>
      <c r="G1518">
        <v>380652.56</v>
      </c>
      <c r="H1518">
        <v>7959</v>
      </c>
      <c r="I1518">
        <v>6.4522677301166995E-2</v>
      </c>
      <c r="J1518">
        <v>380652.56</v>
      </c>
      <c r="K1518">
        <v>6.4894858302932804E-2</v>
      </c>
      <c r="L1518">
        <v>7959</v>
      </c>
      <c r="M1518">
        <v>0.12904535460233399</v>
      </c>
      <c r="N1518">
        <v>47.826681743937698</v>
      </c>
      <c r="O1518">
        <v>380652.56</v>
      </c>
      <c r="P1518">
        <v>0.12978971658152599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513</v>
      </c>
      <c r="W1518">
        <v>1.06338874839352</v>
      </c>
    </row>
    <row r="1519" spans="1:23" hidden="1" x14ac:dyDescent="0.25">
      <c r="A1519" t="s">
        <v>182</v>
      </c>
      <c r="B1519">
        <v>8</v>
      </c>
      <c r="C1519">
        <v>2025</v>
      </c>
      <c r="D1519" t="s">
        <v>108</v>
      </c>
      <c r="E1519" t="s">
        <v>109</v>
      </c>
      <c r="F1519">
        <v>745</v>
      </c>
      <c r="G1519">
        <v>35709.050000000003</v>
      </c>
      <c r="H1519">
        <v>2745</v>
      </c>
      <c r="I1519">
        <v>2.2253392284420598E-2</v>
      </c>
      <c r="J1519">
        <v>129989.05</v>
      </c>
      <c r="K1519">
        <v>2.2160946403940701E-2</v>
      </c>
      <c r="L1519">
        <v>1745</v>
      </c>
      <c r="M1519">
        <v>2.8293019698589401E-2</v>
      </c>
      <c r="N1519">
        <v>47.4779656160459</v>
      </c>
      <c r="O1519">
        <v>82849.05</v>
      </c>
      <c r="P1519">
        <v>2.8248738741041599E-2</v>
      </c>
      <c r="Q1519">
        <v>1000</v>
      </c>
      <c r="R1519">
        <v>1.62137648702518E-2</v>
      </c>
      <c r="S1519">
        <v>47.14</v>
      </c>
      <c r="T1519">
        <v>47140</v>
      </c>
      <c r="U1519">
        <v>1.6073154064556599E-2</v>
      </c>
      <c r="V1519">
        <v>9</v>
      </c>
      <c r="W1519">
        <v>1.8655942954272201E-2</v>
      </c>
    </row>
    <row r="1520" spans="1:23" hidden="1" x14ac:dyDescent="0.25">
      <c r="A1520" t="s">
        <v>182</v>
      </c>
      <c r="B1520">
        <v>8</v>
      </c>
      <c r="C1520">
        <v>2025</v>
      </c>
      <c r="D1520" t="s">
        <v>110</v>
      </c>
      <c r="E1520" t="s">
        <v>111</v>
      </c>
      <c r="F1520">
        <v>1736</v>
      </c>
      <c r="G1520">
        <v>86454.380000000805</v>
      </c>
      <c r="H1520">
        <v>108612</v>
      </c>
      <c r="I1520">
        <v>0.88050471504389305</v>
      </c>
      <c r="J1520">
        <v>5156784.88</v>
      </c>
      <c r="K1520">
        <v>0.87914507677632903</v>
      </c>
      <c r="L1520">
        <v>55174</v>
      </c>
      <c r="M1520">
        <v>0.89457826295127196</v>
      </c>
      <c r="N1520">
        <v>47.515489723420501</v>
      </c>
      <c r="O1520">
        <v>2621619.63</v>
      </c>
      <c r="P1520">
        <v>0.89388409409952396</v>
      </c>
      <c r="Q1520">
        <v>53438</v>
      </c>
      <c r="R1520">
        <v>0.86643116713651402</v>
      </c>
      <c r="S1520">
        <v>47.441244994198897</v>
      </c>
      <c r="T1520">
        <v>2535165.25</v>
      </c>
      <c r="U1520">
        <v>0.86440605944760596</v>
      </c>
      <c r="V1520">
        <v>683</v>
      </c>
      <c r="W1520">
        <v>1.41577878197421</v>
      </c>
    </row>
    <row r="1521" spans="1:23" hidden="1" x14ac:dyDescent="0.25">
      <c r="A1521" t="s">
        <v>182</v>
      </c>
      <c r="B1521">
        <v>8</v>
      </c>
      <c r="C1521">
        <v>2025</v>
      </c>
      <c r="D1521" t="s">
        <v>112</v>
      </c>
      <c r="E1521" t="s">
        <v>113</v>
      </c>
      <c r="F1521">
        <v>3961</v>
      </c>
      <c r="G1521">
        <v>190113.02</v>
      </c>
      <c r="H1521">
        <v>7529</v>
      </c>
      <c r="I1521">
        <v>6.1036717854062797E-2</v>
      </c>
      <c r="J1521">
        <v>359089.1</v>
      </c>
      <c r="K1521">
        <v>6.1218651104376298E-2</v>
      </c>
      <c r="L1521">
        <v>5745</v>
      </c>
      <c r="M1521">
        <v>9.3148079179596499E-2</v>
      </c>
      <c r="N1521">
        <v>47.798269799825903</v>
      </c>
      <c r="O1521">
        <v>274601.06</v>
      </c>
      <c r="P1521">
        <v>9.3629722995654002E-2</v>
      </c>
      <c r="Q1521">
        <v>1784</v>
      </c>
      <c r="R1521">
        <v>2.8925356528529199E-2</v>
      </c>
      <c r="S1521">
        <v>47.3587668161435</v>
      </c>
      <c r="T1521">
        <v>84488.04</v>
      </c>
      <c r="U1521">
        <v>2.8807579200942301E-2</v>
      </c>
      <c r="V1521">
        <v>72</v>
      </c>
      <c r="W1521">
        <v>0.149247543634178</v>
      </c>
    </row>
    <row r="1522" spans="1:23" hidden="1" x14ac:dyDescent="0.25">
      <c r="A1522" t="s">
        <v>182</v>
      </c>
      <c r="B1522">
        <v>8</v>
      </c>
      <c r="C1522">
        <v>2025</v>
      </c>
      <c r="D1522" t="s">
        <v>169</v>
      </c>
      <c r="E1522" t="s">
        <v>170</v>
      </c>
      <c r="F1522">
        <v>2100</v>
      </c>
      <c r="G1522">
        <v>99981</v>
      </c>
      <c r="H1522">
        <v>2100</v>
      </c>
      <c r="I1522">
        <v>1.7024453113764399E-2</v>
      </c>
      <c r="J1522">
        <v>99981</v>
      </c>
      <c r="K1522">
        <v>1.70450786617211E-2</v>
      </c>
      <c r="L1522">
        <v>2100</v>
      </c>
      <c r="M1522">
        <v>3.4048906227528701E-2</v>
      </c>
      <c r="N1522">
        <v>47.61</v>
      </c>
      <c r="O1522">
        <v>99981</v>
      </c>
      <c r="P1522">
        <v>3.4090157317049299E-2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3</v>
      </c>
      <c r="W1522">
        <v>6.21864765142407E-3</v>
      </c>
    </row>
    <row r="1523" spans="1:23" hidden="1" x14ac:dyDescent="0.25">
      <c r="A1523" t="s">
        <v>182</v>
      </c>
      <c r="B1523">
        <v>8</v>
      </c>
      <c r="C1523">
        <v>2025</v>
      </c>
      <c r="D1523" t="s">
        <v>163</v>
      </c>
      <c r="E1523" t="s">
        <v>164</v>
      </c>
      <c r="F1523">
        <v>-920</v>
      </c>
      <c r="G1523">
        <v>-44769.85</v>
      </c>
      <c r="H1523">
        <v>5720</v>
      </c>
      <c r="I1523">
        <v>4.6371367528920099E-2</v>
      </c>
      <c r="J1523">
        <v>272169.84999999998</v>
      </c>
      <c r="K1523">
        <v>4.64003810983971E-2</v>
      </c>
      <c r="L1523">
        <v>2400</v>
      </c>
      <c r="M1523">
        <v>3.8913035688604297E-2</v>
      </c>
      <c r="N1523">
        <v>47.375</v>
      </c>
      <c r="O1523">
        <v>113700</v>
      </c>
      <c r="P1523">
        <v>3.8767874765690498E-2</v>
      </c>
      <c r="Q1523">
        <v>3320</v>
      </c>
      <c r="R1523">
        <v>5.38296993692359E-2</v>
      </c>
      <c r="S1523">
        <v>47.731882530120501</v>
      </c>
      <c r="T1523">
        <v>158469.85</v>
      </c>
      <c r="U1523">
        <v>5.4032887433966399E-2</v>
      </c>
      <c r="V1523">
        <v>20</v>
      </c>
      <c r="W1523">
        <v>4.14576510094938E-2</v>
      </c>
    </row>
    <row r="1524" spans="1:23" hidden="1" x14ac:dyDescent="0.25">
      <c r="A1524" t="s">
        <v>182</v>
      </c>
      <c r="B1524">
        <v>8</v>
      </c>
      <c r="C1524">
        <v>2025</v>
      </c>
      <c r="D1524" t="s">
        <v>116</v>
      </c>
      <c r="E1524" t="s">
        <v>117</v>
      </c>
      <c r="F1524">
        <v>-70199</v>
      </c>
      <c r="G1524">
        <v>-3335588.8499999801</v>
      </c>
      <c r="H1524">
        <v>2796259</v>
      </c>
      <c r="I1524">
        <v>22.6689429711627</v>
      </c>
      <c r="J1524">
        <v>133098984.89</v>
      </c>
      <c r="K1524">
        <v>22.6911379886707</v>
      </c>
      <c r="L1524">
        <v>1363030</v>
      </c>
      <c r="M1524">
        <v>22.099847931099301</v>
      </c>
      <c r="N1524">
        <v>47.6010784942371</v>
      </c>
      <c r="O1524">
        <v>64881698.020000003</v>
      </c>
      <c r="P1524">
        <v>22.122476195468</v>
      </c>
      <c r="Q1524">
        <v>1433229</v>
      </c>
      <c r="R1524">
        <v>23.238038011226099</v>
      </c>
      <c r="S1524">
        <v>47.596920568869301</v>
      </c>
      <c r="T1524">
        <v>68217286.870000005</v>
      </c>
      <c r="U1524">
        <v>23.259799782086599</v>
      </c>
      <c r="V1524">
        <v>1678</v>
      </c>
      <c r="W1524">
        <v>3.4782969196965299</v>
      </c>
    </row>
    <row r="1525" spans="1:23" hidden="1" x14ac:dyDescent="0.25">
      <c r="A1525" t="s">
        <v>182</v>
      </c>
      <c r="B1525">
        <v>8</v>
      </c>
      <c r="C1525">
        <v>2025</v>
      </c>
      <c r="D1525" t="s">
        <v>118</v>
      </c>
      <c r="E1525" t="s">
        <v>119</v>
      </c>
      <c r="F1525">
        <v>109207</v>
      </c>
      <c r="G1525">
        <v>5212291.93</v>
      </c>
      <c r="H1525">
        <v>375163</v>
      </c>
      <c r="I1525">
        <v>3.0414023350091299</v>
      </c>
      <c r="J1525">
        <v>17882358.350000001</v>
      </c>
      <c r="K1525">
        <v>3.0486412891732999</v>
      </c>
      <c r="L1525">
        <v>242185</v>
      </c>
      <c r="M1525">
        <v>3.9267306451019302</v>
      </c>
      <c r="N1525">
        <v>47.679770175692099</v>
      </c>
      <c r="O1525">
        <v>11547325.140000001</v>
      </c>
      <c r="P1525">
        <v>3.9372493835200499</v>
      </c>
      <c r="Q1525">
        <v>132978</v>
      </c>
      <c r="R1525">
        <v>2.1560740249163399</v>
      </c>
      <c r="S1525">
        <v>47.639708899216402</v>
      </c>
      <c r="T1525">
        <v>6335033.21</v>
      </c>
      <c r="U1525">
        <v>2.1600331944932698</v>
      </c>
      <c r="V1525">
        <v>1401</v>
      </c>
      <c r="W1525">
        <v>2.9041084532150401</v>
      </c>
    </row>
    <row r="1526" spans="1:23" hidden="1" x14ac:dyDescent="0.25">
      <c r="A1526" t="s">
        <v>182</v>
      </c>
      <c r="B1526">
        <v>8</v>
      </c>
      <c r="C1526">
        <v>2025</v>
      </c>
      <c r="D1526" t="s">
        <v>120</v>
      </c>
      <c r="E1526" t="s">
        <v>121</v>
      </c>
      <c r="F1526">
        <v>-30077</v>
      </c>
      <c r="G1526">
        <v>-1414546.43</v>
      </c>
      <c r="H1526">
        <v>49779</v>
      </c>
      <c r="I1526">
        <v>0.40355250073813198</v>
      </c>
      <c r="J1526">
        <v>2355878.19</v>
      </c>
      <c r="K1526">
        <v>0.40163760180417502</v>
      </c>
      <c r="L1526">
        <v>9851</v>
      </c>
      <c r="M1526">
        <v>0.15972179773685</v>
      </c>
      <c r="N1526">
        <v>47.778487463201699</v>
      </c>
      <c r="O1526">
        <v>470665.88</v>
      </c>
      <c r="P1526">
        <v>0.160481230363443</v>
      </c>
      <c r="Q1526">
        <v>39928</v>
      </c>
      <c r="R1526">
        <v>0.64738320373941305</v>
      </c>
      <c r="S1526">
        <v>47.215295281506698</v>
      </c>
      <c r="T1526">
        <v>1885212.31</v>
      </c>
      <c r="U1526">
        <v>0.64279397333535504</v>
      </c>
      <c r="V1526">
        <v>336</v>
      </c>
      <c r="W1526">
        <v>0.69648853695949597</v>
      </c>
    </row>
    <row r="1527" spans="1:23" hidden="1" x14ac:dyDescent="0.25">
      <c r="A1527" t="s">
        <v>182</v>
      </c>
      <c r="B1527">
        <v>8</v>
      </c>
      <c r="C1527">
        <v>2025</v>
      </c>
      <c r="D1527" t="s">
        <v>122</v>
      </c>
      <c r="E1527" t="s">
        <v>123</v>
      </c>
      <c r="F1527">
        <v>38013</v>
      </c>
      <c r="G1527">
        <v>1788485.95999999</v>
      </c>
      <c r="H1527">
        <v>1180961</v>
      </c>
      <c r="I1527">
        <v>9.5739119874686995</v>
      </c>
      <c r="J1527">
        <v>56158726.899999999</v>
      </c>
      <c r="K1527">
        <v>9.5741182579951598</v>
      </c>
      <c r="L1527">
        <v>609487</v>
      </c>
      <c r="M1527">
        <v>9.8820789094751493</v>
      </c>
      <c r="N1527">
        <v>47.537693880263198</v>
      </c>
      <c r="O1527">
        <v>28973606.43</v>
      </c>
      <c r="P1527">
        <v>9.8790250271648592</v>
      </c>
      <c r="Q1527">
        <v>571474</v>
      </c>
      <c r="R1527">
        <v>9.2657450654622693</v>
      </c>
      <c r="S1527">
        <v>47.570178993269998</v>
      </c>
      <c r="T1527">
        <v>27185120.469999999</v>
      </c>
      <c r="U1527">
        <v>9.2692114887111003</v>
      </c>
      <c r="V1527">
        <v>6018</v>
      </c>
      <c r="W1527">
        <v>12.4746071887567</v>
      </c>
    </row>
    <row r="1528" spans="1:23" hidden="1" x14ac:dyDescent="0.25">
      <c r="A1528" t="s">
        <v>182</v>
      </c>
      <c r="B1528">
        <v>8</v>
      </c>
      <c r="C1528">
        <v>2025</v>
      </c>
      <c r="D1528" t="s">
        <v>124</v>
      </c>
      <c r="E1528" t="s">
        <v>125</v>
      </c>
      <c r="F1528">
        <v>-4765</v>
      </c>
      <c r="G1528">
        <v>-224310.35</v>
      </c>
      <c r="H1528">
        <v>5235</v>
      </c>
      <c r="I1528">
        <v>4.2439529547883999E-2</v>
      </c>
      <c r="J1528">
        <v>246489.65</v>
      </c>
      <c r="K1528">
        <v>4.20223389799073E-2</v>
      </c>
      <c r="L1528">
        <v>235</v>
      </c>
      <c r="M1528">
        <v>3.81023474450917E-3</v>
      </c>
      <c r="N1528">
        <v>47.19</v>
      </c>
      <c r="O1528">
        <v>11089.65</v>
      </c>
      <c r="P1528">
        <v>3.7811975584462602E-3</v>
      </c>
      <c r="Q1528">
        <v>5000</v>
      </c>
      <c r="R1528">
        <v>8.1068824351258895E-2</v>
      </c>
      <c r="S1528">
        <v>47.08</v>
      </c>
      <c r="T1528">
        <v>235400</v>
      </c>
      <c r="U1528">
        <v>8.0263480415711103E-2</v>
      </c>
      <c r="V1528">
        <v>4</v>
      </c>
      <c r="W1528">
        <v>8.2915302018987599E-3</v>
      </c>
    </row>
    <row r="1529" spans="1:23" hidden="1" x14ac:dyDescent="0.25">
      <c r="A1529" t="s">
        <v>182</v>
      </c>
      <c r="B1529">
        <v>8</v>
      </c>
      <c r="C1529">
        <v>2025</v>
      </c>
      <c r="D1529" t="s">
        <v>126</v>
      </c>
      <c r="E1529" t="s">
        <v>127</v>
      </c>
      <c r="F1529">
        <v>12154</v>
      </c>
      <c r="G1529">
        <v>571845.15</v>
      </c>
      <c r="H1529">
        <v>53374</v>
      </c>
      <c r="I1529">
        <v>0.43269674309240902</v>
      </c>
      <c r="J1529">
        <v>2530472.29</v>
      </c>
      <c r="K1529">
        <v>0.43140295890574798</v>
      </c>
      <c r="L1529">
        <v>32764</v>
      </c>
      <c r="M1529">
        <v>0.53122779220892902</v>
      </c>
      <c r="N1529">
        <v>47.343386643877402</v>
      </c>
      <c r="O1529">
        <v>1551158.72</v>
      </c>
      <c r="P1529">
        <v>0.52889293754326105</v>
      </c>
      <c r="Q1529">
        <v>20610</v>
      </c>
      <c r="R1529">
        <v>0.33416569397588902</v>
      </c>
      <c r="S1529">
        <v>47.516427462396898</v>
      </c>
      <c r="T1529">
        <v>979313.57</v>
      </c>
      <c r="U1529">
        <v>0.33391298023166999</v>
      </c>
      <c r="V1529">
        <v>1294</v>
      </c>
      <c r="W1529">
        <v>2.68231002031425</v>
      </c>
    </row>
    <row r="1530" spans="1:23" hidden="1" x14ac:dyDescent="0.25">
      <c r="A1530" t="s">
        <v>182</v>
      </c>
      <c r="B1530">
        <v>8</v>
      </c>
      <c r="C1530">
        <v>2025</v>
      </c>
      <c r="D1530" t="s">
        <v>128</v>
      </c>
      <c r="E1530" t="s">
        <v>129</v>
      </c>
      <c r="F1530">
        <v>3519</v>
      </c>
      <c r="G1530">
        <v>166628.66</v>
      </c>
      <c r="H1530">
        <v>3747</v>
      </c>
      <c r="I1530">
        <v>3.0376488484416701E-2</v>
      </c>
      <c r="J1530">
        <v>177474.58</v>
      </c>
      <c r="K1530">
        <v>3.0256430487351799E-2</v>
      </c>
      <c r="L1530">
        <v>3633</v>
      </c>
      <c r="M1530">
        <v>5.8904607773624697E-2</v>
      </c>
      <c r="N1530">
        <v>47.358001651527701</v>
      </c>
      <c r="O1530">
        <v>172051.62</v>
      </c>
      <c r="P1530">
        <v>5.8663814049201103E-2</v>
      </c>
      <c r="Q1530">
        <v>114</v>
      </c>
      <c r="R1530">
        <v>1.8483691952087E-3</v>
      </c>
      <c r="S1530">
        <v>47.5698245614035</v>
      </c>
      <c r="T1530">
        <v>5422.96</v>
      </c>
      <c r="U1530">
        <v>1.8490469148478501E-3</v>
      </c>
      <c r="V1530">
        <v>28</v>
      </c>
      <c r="W1530">
        <v>5.8040711413291299E-2</v>
      </c>
    </row>
    <row r="1531" spans="1:23" hidden="1" x14ac:dyDescent="0.25">
      <c r="A1531" t="s">
        <v>182</v>
      </c>
      <c r="B1531">
        <v>8</v>
      </c>
      <c r="C1531">
        <v>2025</v>
      </c>
      <c r="D1531" t="s">
        <v>175</v>
      </c>
      <c r="E1531" t="s">
        <v>176</v>
      </c>
      <c r="F1531">
        <v>4038</v>
      </c>
      <c r="G1531">
        <v>193952.16</v>
      </c>
      <c r="H1531">
        <v>7898</v>
      </c>
      <c r="I1531">
        <v>6.4028157472624303E-2</v>
      </c>
      <c r="J1531">
        <v>376921.44</v>
      </c>
      <c r="K1531">
        <v>6.4258765106262203E-2</v>
      </c>
      <c r="L1531">
        <v>5968</v>
      </c>
      <c r="M1531">
        <v>9.6763748745662598E-2</v>
      </c>
      <c r="N1531">
        <v>47.827882037533499</v>
      </c>
      <c r="O1531">
        <v>285436.79999999999</v>
      </c>
      <c r="P1531">
        <v>9.7324345786450703E-2</v>
      </c>
      <c r="Q1531">
        <v>1930</v>
      </c>
      <c r="R1531">
        <v>3.1292566199585897E-2</v>
      </c>
      <c r="S1531">
        <v>47.401367875647701</v>
      </c>
      <c r="T1531">
        <v>91484.64</v>
      </c>
      <c r="U1531">
        <v>3.1193184413672002E-2</v>
      </c>
      <c r="V1531">
        <v>18</v>
      </c>
      <c r="W1531">
        <v>3.7311885908544402E-2</v>
      </c>
    </row>
    <row r="1532" spans="1:23" hidden="1" x14ac:dyDescent="0.25">
      <c r="A1532" t="s">
        <v>182</v>
      </c>
      <c r="B1532">
        <v>8</v>
      </c>
      <c r="C1532">
        <v>2025</v>
      </c>
      <c r="D1532" t="s">
        <v>130</v>
      </c>
      <c r="E1532" t="s">
        <v>131</v>
      </c>
      <c r="F1532">
        <v>-64226</v>
      </c>
      <c r="G1532">
        <v>-3060843.27</v>
      </c>
      <c r="H1532">
        <v>269948</v>
      </c>
      <c r="I1532">
        <v>2.1884366995973599</v>
      </c>
      <c r="J1532">
        <v>12833070.550000001</v>
      </c>
      <c r="K1532">
        <v>2.1878226562663601</v>
      </c>
      <c r="L1532">
        <v>102861</v>
      </c>
      <c r="M1532">
        <v>1.6677640683189701</v>
      </c>
      <c r="N1532">
        <v>47.502101282312999</v>
      </c>
      <c r="O1532">
        <v>4886113.6399999997</v>
      </c>
      <c r="P1532">
        <v>1.6660003666354599</v>
      </c>
      <c r="Q1532">
        <v>167087</v>
      </c>
      <c r="R1532">
        <v>2.7091093308757599</v>
      </c>
      <c r="S1532">
        <v>47.561790624046203</v>
      </c>
      <c r="T1532">
        <v>7946956.9100000001</v>
      </c>
      <c r="U1532">
        <v>2.7096449460929701</v>
      </c>
      <c r="V1532">
        <v>888</v>
      </c>
      <c r="W1532">
        <v>1.84071970482152</v>
      </c>
    </row>
    <row r="1533" spans="1:23" hidden="1" x14ac:dyDescent="0.25">
      <c r="A1533" t="s">
        <v>182</v>
      </c>
      <c r="B1533">
        <v>8</v>
      </c>
      <c r="C1533">
        <v>2025</v>
      </c>
      <c r="D1533" t="s">
        <v>132</v>
      </c>
      <c r="E1533" t="s">
        <v>133</v>
      </c>
      <c r="F1533">
        <v>21377</v>
      </c>
      <c r="G1533">
        <v>1016442.66</v>
      </c>
      <c r="H1533">
        <v>26707</v>
      </c>
      <c r="I1533">
        <v>0.216510509194907</v>
      </c>
      <c r="J1533">
        <v>1269873.1399999999</v>
      </c>
      <c r="K1533">
        <v>0.21649200909879701</v>
      </c>
      <c r="L1533">
        <v>24042</v>
      </c>
      <c r="M1533">
        <v>0.38981133501059301</v>
      </c>
      <c r="N1533">
        <v>47.548369520006602</v>
      </c>
      <c r="O1533">
        <v>1143157.8999999999</v>
      </c>
      <c r="P1533">
        <v>0.38977838438530998</v>
      </c>
      <c r="Q1533">
        <v>2665</v>
      </c>
      <c r="R1533">
        <v>4.3209683379221001E-2</v>
      </c>
      <c r="S1533">
        <v>47.547932457786096</v>
      </c>
      <c r="T1533">
        <v>126715.24</v>
      </c>
      <c r="U1533">
        <v>4.3205633747290299E-2</v>
      </c>
      <c r="V1533">
        <v>288</v>
      </c>
      <c r="W1533">
        <v>0.59699017453671099</v>
      </c>
    </row>
    <row r="1534" spans="1:23" hidden="1" x14ac:dyDescent="0.25">
      <c r="A1534" t="s">
        <v>182</v>
      </c>
      <c r="B1534">
        <v>8</v>
      </c>
      <c r="C1534">
        <v>2025</v>
      </c>
      <c r="D1534" t="s">
        <v>134</v>
      </c>
      <c r="E1534" t="s">
        <v>135</v>
      </c>
      <c r="F1534">
        <v>-7638</v>
      </c>
      <c r="G1534">
        <v>-363801.9</v>
      </c>
      <c r="H1534">
        <v>36342</v>
      </c>
      <c r="I1534">
        <v>0.29462032145734501</v>
      </c>
      <c r="J1534">
        <v>1731082.98</v>
      </c>
      <c r="K1534">
        <v>0.295120528541089</v>
      </c>
      <c r="L1534">
        <v>14352</v>
      </c>
      <c r="M1534">
        <v>0.23269995341785399</v>
      </c>
      <c r="N1534">
        <v>47.633816889632101</v>
      </c>
      <c r="O1534">
        <v>683640.54</v>
      </c>
      <c r="P1534">
        <v>0.23309842426973601</v>
      </c>
      <c r="Q1534">
        <v>21990</v>
      </c>
      <c r="R1534">
        <v>0.35654068949683698</v>
      </c>
      <c r="S1534">
        <v>47.632671214188299</v>
      </c>
      <c r="T1534">
        <v>1047442.44</v>
      </c>
      <c r="U1534">
        <v>0.35714263283570402</v>
      </c>
      <c r="V1534">
        <v>225</v>
      </c>
      <c r="W1534">
        <v>0.466398573856805</v>
      </c>
    </row>
    <row r="1535" spans="1:23" hidden="1" x14ac:dyDescent="0.25">
      <c r="A1535" t="s">
        <v>182</v>
      </c>
      <c r="B1535">
        <v>8</v>
      </c>
      <c r="C1535">
        <v>2025</v>
      </c>
      <c r="D1535" t="s">
        <v>136</v>
      </c>
      <c r="E1535" t="s">
        <v>137</v>
      </c>
      <c r="F1535">
        <v>12396</v>
      </c>
      <c r="G1535">
        <v>591557.85</v>
      </c>
      <c r="H1535">
        <v>53104</v>
      </c>
      <c r="I1535">
        <v>0.43050788483492503</v>
      </c>
      <c r="J1535">
        <v>2528088.4500000002</v>
      </c>
      <c r="K1535">
        <v>0.43099655428570099</v>
      </c>
      <c r="L1535">
        <v>32750</v>
      </c>
      <c r="M1535">
        <v>0.53100079950074597</v>
      </c>
      <c r="N1535">
        <v>47.628187786259502</v>
      </c>
      <c r="O1535">
        <v>1559823.15</v>
      </c>
      <c r="P1535">
        <v>0.53184721667392099</v>
      </c>
      <c r="Q1535">
        <v>20354</v>
      </c>
      <c r="R1535">
        <v>0.33001497016910503</v>
      </c>
      <c r="S1535">
        <v>47.571253807605402</v>
      </c>
      <c r="T1535">
        <v>968265.3</v>
      </c>
      <c r="U1535">
        <v>0.33014589185965398</v>
      </c>
      <c r="V1535">
        <v>158</v>
      </c>
      <c r="W1535">
        <v>0.32751544297500101</v>
      </c>
    </row>
    <row r="1536" spans="1:23" hidden="1" x14ac:dyDescent="0.25">
      <c r="A1536" t="s">
        <v>182</v>
      </c>
      <c r="B1536">
        <v>8</v>
      </c>
      <c r="C1536">
        <v>2025</v>
      </c>
      <c r="D1536" t="s">
        <v>138</v>
      </c>
      <c r="E1536" t="s">
        <v>139</v>
      </c>
      <c r="F1536">
        <v>-6546</v>
      </c>
      <c r="G1536">
        <v>-313632.21000000002</v>
      </c>
      <c r="H1536">
        <v>66084</v>
      </c>
      <c r="I1536">
        <v>0.53573521884285902</v>
      </c>
      <c r="J1536">
        <v>3143574.53</v>
      </c>
      <c r="K1536">
        <v>0.53592657747805095</v>
      </c>
      <c r="L1536">
        <v>29769</v>
      </c>
      <c r="M1536">
        <v>0.48266756642252501</v>
      </c>
      <c r="N1536">
        <v>47.531699418858601</v>
      </c>
      <c r="O1536">
        <v>1414971.16</v>
      </c>
      <c r="P1536">
        <v>0.482457561371538</v>
      </c>
      <c r="Q1536">
        <v>36315</v>
      </c>
      <c r="R1536">
        <v>0.58880287126319297</v>
      </c>
      <c r="S1536">
        <v>47.600258020101897</v>
      </c>
      <c r="T1536">
        <v>1728603.37</v>
      </c>
      <c r="U1536">
        <v>0.58939559360461902</v>
      </c>
      <c r="V1536">
        <v>153</v>
      </c>
      <c r="W1536">
        <v>0.31715103022262803</v>
      </c>
    </row>
    <row r="1537" spans="1:23" hidden="1" x14ac:dyDescent="0.25">
      <c r="A1537" t="s">
        <v>182</v>
      </c>
      <c r="B1537">
        <v>8</v>
      </c>
      <c r="C1537">
        <v>2025</v>
      </c>
      <c r="D1537" t="s">
        <v>140</v>
      </c>
      <c r="E1537" t="s">
        <v>141</v>
      </c>
      <c r="F1537">
        <v>1034</v>
      </c>
      <c r="G1537">
        <v>48980.25</v>
      </c>
      <c r="H1537">
        <v>2044</v>
      </c>
      <c r="I1537">
        <v>1.6570467697397302E-2</v>
      </c>
      <c r="J1537">
        <v>97208.35</v>
      </c>
      <c r="K1537">
        <v>1.6572388477071799E-2</v>
      </c>
      <c r="L1537">
        <v>1539</v>
      </c>
      <c r="M1537">
        <v>2.4952984135317501E-2</v>
      </c>
      <c r="N1537">
        <v>47.494671864847298</v>
      </c>
      <c r="O1537">
        <v>73094.3</v>
      </c>
      <c r="P1537">
        <v>2.4922697172258701E-2</v>
      </c>
      <c r="Q1537">
        <v>505</v>
      </c>
      <c r="R1537">
        <v>8.1879512594771504E-3</v>
      </c>
      <c r="S1537">
        <v>47.750594059405898</v>
      </c>
      <c r="T1537">
        <v>24114.05</v>
      </c>
      <c r="U1537">
        <v>8.2220797787531004E-3</v>
      </c>
      <c r="V1537">
        <v>17</v>
      </c>
      <c r="W1537">
        <v>3.5239003358069697E-2</v>
      </c>
    </row>
    <row r="1538" spans="1:23" hidden="1" x14ac:dyDescent="0.25">
      <c r="A1538" t="s">
        <v>182</v>
      </c>
      <c r="B1538">
        <v>8</v>
      </c>
      <c r="C1538">
        <v>2025</v>
      </c>
      <c r="D1538" t="s">
        <v>142</v>
      </c>
      <c r="E1538" t="s">
        <v>143</v>
      </c>
      <c r="F1538">
        <v>239357</v>
      </c>
      <c r="G1538">
        <v>11440021.49</v>
      </c>
      <c r="H1538">
        <v>827087</v>
      </c>
      <c r="I1538">
        <v>6.70509707262097</v>
      </c>
      <c r="J1538">
        <v>39282611.850000001</v>
      </c>
      <c r="K1538">
        <v>6.6970245248708098</v>
      </c>
      <c r="L1538">
        <v>533222</v>
      </c>
      <c r="M1538">
        <v>8.6455361316453896</v>
      </c>
      <c r="N1538">
        <v>47.562397406708698</v>
      </c>
      <c r="O1538">
        <v>25361316.670000002</v>
      </c>
      <c r="P1538">
        <v>8.6473557480701793</v>
      </c>
      <c r="Q1538">
        <v>293865</v>
      </c>
      <c r="R1538">
        <v>4.7646580135965397</v>
      </c>
      <c r="S1538">
        <v>47.373097102411002</v>
      </c>
      <c r="T1538">
        <v>13921295.18</v>
      </c>
      <c r="U1538">
        <v>4.7466933009399499</v>
      </c>
      <c r="V1538">
        <v>6780</v>
      </c>
      <c r="W1538">
        <v>14.0541436922184</v>
      </c>
    </row>
    <row r="1539" spans="1:23" hidden="1" x14ac:dyDescent="0.25">
      <c r="A1539" t="s">
        <v>182</v>
      </c>
      <c r="B1539">
        <v>8</v>
      </c>
      <c r="C1539">
        <v>2025</v>
      </c>
      <c r="D1539" t="s">
        <v>144</v>
      </c>
      <c r="E1539" t="s">
        <v>145</v>
      </c>
      <c r="F1539">
        <v>-38386</v>
      </c>
      <c r="G1539">
        <v>-1850305.48999999</v>
      </c>
      <c r="H1539">
        <v>1082438</v>
      </c>
      <c r="I1539">
        <v>8.7751976093127997</v>
      </c>
      <c r="J1539">
        <v>51487583.049999997</v>
      </c>
      <c r="K1539">
        <v>8.7777668075849409</v>
      </c>
      <c r="L1539">
        <v>522026</v>
      </c>
      <c r="M1539">
        <v>8.4640068201580601</v>
      </c>
      <c r="N1539">
        <v>47.542916981146497</v>
      </c>
      <c r="O1539">
        <v>24818638.780000001</v>
      </c>
      <c r="P1539">
        <v>8.4623208450127496</v>
      </c>
      <c r="Q1539">
        <v>560412</v>
      </c>
      <c r="R1539">
        <v>9.0863883984675393</v>
      </c>
      <c r="S1539">
        <v>47.588103520267197</v>
      </c>
      <c r="T1539">
        <v>26668944.27</v>
      </c>
      <c r="U1539">
        <v>9.0932127702754304</v>
      </c>
      <c r="V1539">
        <v>2656</v>
      </c>
      <c r="W1539">
        <v>5.5055760540607803</v>
      </c>
    </row>
    <row r="1540" spans="1:23" hidden="1" x14ac:dyDescent="0.25">
      <c r="A1540" t="s">
        <v>182</v>
      </c>
      <c r="B1540">
        <v>8</v>
      </c>
      <c r="C1540">
        <v>2025</v>
      </c>
      <c r="D1540" t="s">
        <v>146</v>
      </c>
      <c r="E1540" t="s">
        <v>147</v>
      </c>
      <c r="F1540">
        <v>48504</v>
      </c>
      <c r="G1540">
        <v>2309185.9</v>
      </c>
      <c r="H1540">
        <v>112100</v>
      </c>
      <c r="I1540">
        <v>0.908781520977612</v>
      </c>
      <c r="J1540">
        <v>5340490.8</v>
      </c>
      <c r="K1540">
        <v>0.91046384591270302</v>
      </c>
      <c r="L1540">
        <v>80302</v>
      </c>
      <c r="M1540">
        <v>1.30199774661096</v>
      </c>
      <c r="N1540">
        <v>47.630673582227097</v>
      </c>
      <c r="O1540">
        <v>3824838.35</v>
      </c>
      <c r="P1540">
        <v>1.3041411974653501</v>
      </c>
      <c r="Q1540">
        <v>31798</v>
      </c>
      <c r="R1540">
        <v>0.51556529534426598</v>
      </c>
      <c r="S1540">
        <v>47.665024529844601</v>
      </c>
      <c r="T1540">
        <v>1515652.45</v>
      </c>
      <c r="U1540">
        <v>0.51678649421240297</v>
      </c>
      <c r="V1540">
        <v>375</v>
      </c>
      <c r="W1540">
        <v>0.77733095642800898</v>
      </c>
    </row>
    <row r="1541" spans="1:23" x14ac:dyDescent="0.25">
      <c r="A1541" t="s">
        <v>182</v>
      </c>
      <c r="B1541">
        <v>8</v>
      </c>
      <c r="C1541">
        <v>2025</v>
      </c>
      <c r="D1541" t="s">
        <v>148</v>
      </c>
      <c r="E1541" t="s">
        <v>148</v>
      </c>
      <c r="F1541">
        <v>0</v>
      </c>
      <c r="G1541">
        <v>0.110000017375569</v>
      </c>
      <c r="H1541">
        <v>12335198</v>
      </c>
      <c r="I1541">
        <v>0</v>
      </c>
      <c r="J1541">
        <v>586568134.90999997</v>
      </c>
      <c r="K1541">
        <v>0</v>
      </c>
      <c r="L1541">
        <v>6167599</v>
      </c>
      <c r="M1541">
        <v>100</v>
      </c>
      <c r="N1541">
        <v>47.544746899375397</v>
      </c>
      <c r="O1541">
        <v>293284067.50999999</v>
      </c>
      <c r="P1541">
        <v>100</v>
      </c>
      <c r="Q1541">
        <v>6167599</v>
      </c>
      <c r="R1541">
        <v>100</v>
      </c>
      <c r="S1541">
        <v>47.521824426820999</v>
      </c>
      <c r="T1541">
        <v>293284067.39999998</v>
      </c>
      <c r="U1541">
        <v>100</v>
      </c>
      <c r="V1541">
        <v>48242</v>
      </c>
      <c r="W1541">
        <v>100</v>
      </c>
    </row>
    <row r="1542" spans="1:23" hidden="1" x14ac:dyDescent="0.25">
      <c r="A1542" t="s">
        <v>182</v>
      </c>
      <c r="B1542">
        <v>8</v>
      </c>
      <c r="C1542">
        <v>2025</v>
      </c>
      <c r="D1542" t="s">
        <v>149</v>
      </c>
      <c r="E1542" t="s">
        <v>150</v>
      </c>
      <c r="F1542">
        <v>-44296</v>
      </c>
      <c r="G1542">
        <v>-2093535.5</v>
      </c>
      <c r="H1542">
        <v>800760</v>
      </c>
      <c r="I1542">
        <v>6.4916671787514098</v>
      </c>
      <c r="J1542">
        <v>38069628.100000001</v>
      </c>
      <c r="K1542">
        <v>6.4902311997976501</v>
      </c>
      <c r="L1542">
        <v>378232</v>
      </c>
      <c r="M1542">
        <v>6.1325647144050697</v>
      </c>
      <c r="N1542">
        <v>47.558234892869997</v>
      </c>
      <c r="O1542">
        <v>17988046.300000001</v>
      </c>
      <c r="P1542">
        <v>6.1333186124700303</v>
      </c>
      <c r="Q1542">
        <v>422528</v>
      </c>
      <c r="R1542">
        <v>6.8507696430977401</v>
      </c>
      <c r="S1542">
        <v>47.527221391245099</v>
      </c>
      <c r="T1542">
        <v>20081581.800000001</v>
      </c>
      <c r="U1542">
        <v>6.8471437872591396</v>
      </c>
      <c r="V1542">
        <v>3876</v>
      </c>
      <c r="W1542">
        <v>8.0344927656399001</v>
      </c>
    </row>
    <row r="1543" spans="1:23" hidden="1" x14ac:dyDescent="0.25">
      <c r="A1543" t="s">
        <v>182</v>
      </c>
      <c r="B1543">
        <v>8</v>
      </c>
      <c r="C1543">
        <v>2025</v>
      </c>
      <c r="D1543" t="s">
        <v>183</v>
      </c>
      <c r="E1543" t="s">
        <v>184</v>
      </c>
      <c r="F1543">
        <v>6865</v>
      </c>
      <c r="G1543">
        <v>331847.82</v>
      </c>
      <c r="H1543">
        <v>33135</v>
      </c>
      <c r="I1543">
        <v>0.26862154948789602</v>
      </c>
      <c r="J1543">
        <v>1570020.6</v>
      </c>
      <c r="K1543">
        <v>0.26766210207461999</v>
      </c>
      <c r="L1543">
        <v>20000</v>
      </c>
      <c r="M1543">
        <v>0.32427529740503602</v>
      </c>
      <c r="N1543">
        <v>47.546710500000003</v>
      </c>
      <c r="O1543">
        <v>950934.21</v>
      </c>
      <c r="P1543">
        <v>0.32423657311953202</v>
      </c>
      <c r="Q1543">
        <v>13135</v>
      </c>
      <c r="R1543">
        <v>0.21296780157075701</v>
      </c>
      <c r="S1543">
        <v>47.132576322801697</v>
      </c>
      <c r="T1543">
        <v>619086.39</v>
      </c>
      <c r="U1543">
        <v>0.21108763100848901</v>
      </c>
      <c r="V1543">
        <v>67</v>
      </c>
      <c r="W1543">
        <v>0.13888313088180401</v>
      </c>
    </row>
    <row r="1544" spans="1:23" hidden="1" x14ac:dyDescent="0.25">
      <c r="A1544" t="s">
        <v>182</v>
      </c>
      <c r="B1544">
        <v>8</v>
      </c>
      <c r="C1544">
        <v>2025</v>
      </c>
      <c r="D1544" t="s">
        <v>151</v>
      </c>
      <c r="E1544" t="s">
        <v>152</v>
      </c>
      <c r="F1544">
        <v>-1036</v>
      </c>
      <c r="G1544">
        <v>-53284.880000002697</v>
      </c>
      <c r="H1544">
        <v>1517592</v>
      </c>
      <c r="I1544">
        <v>12.3029399284876</v>
      </c>
      <c r="J1544">
        <v>72131914.480000004</v>
      </c>
      <c r="K1544">
        <v>12.2972780461502</v>
      </c>
      <c r="L1544">
        <v>758278</v>
      </c>
      <c r="M1544">
        <v>12.294541198284801</v>
      </c>
      <c r="N1544">
        <v>47.527839130239798</v>
      </c>
      <c r="O1544">
        <v>36039314.799999997</v>
      </c>
      <c r="P1544">
        <v>12.288193868141599</v>
      </c>
      <c r="Q1544">
        <v>759314</v>
      </c>
      <c r="R1544">
        <v>12.311338658690399</v>
      </c>
      <c r="S1544">
        <v>47.533167675032999</v>
      </c>
      <c r="T1544">
        <v>36092599.68</v>
      </c>
      <c r="U1544">
        <v>12.3063622241622</v>
      </c>
      <c r="V1544">
        <v>5188</v>
      </c>
      <c r="W1544">
        <v>10.7541146718627</v>
      </c>
    </row>
    <row r="1545" spans="1:23" hidden="1" x14ac:dyDescent="0.25">
      <c r="A1545" t="s">
        <v>182</v>
      </c>
      <c r="B1545">
        <v>8</v>
      </c>
      <c r="C1545">
        <v>2025</v>
      </c>
      <c r="D1545" t="s">
        <v>153</v>
      </c>
      <c r="E1545" t="s">
        <v>154</v>
      </c>
      <c r="F1545">
        <v>-3238</v>
      </c>
      <c r="G1545">
        <v>-154026.6</v>
      </c>
      <c r="H1545">
        <v>33676</v>
      </c>
      <c r="I1545">
        <v>0.27300737288529903</v>
      </c>
      <c r="J1545">
        <v>1596992.14</v>
      </c>
      <c r="K1545">
        <v>0.27226029594073198</v>
      </c>
      <c r="L1545">
        <v>15219</v>
      </c>
      <c r="M1545">
        <v>0.246757287560362</v>
      </c>
      <c r="N1545">
        <v>47.406713318877699</v>
      </c>
      <c r="O1545">
        <v>721482.77</v>
      </c>
      <c r="P1545">
        <v>0.246001351565202</v>
      </c>
      <c r="Q1545">
        <v>18457</v>
      </c>
      <c r="R1545">
        <v>0.29925745821023703</v>
      </c>
      <c r="S1545">
        <v>47.435085333477801</v>
      </c>
      <c r="T1545">
        <v>875509.37</v>
      </c>
      <c r="U1545">
        <v>0.29851924032611099</v>
      </c>
      <c r="V1545">
        <v>400</v>
      </c>
      <c r="W1545">
        <v>0.82915302018987602</v>
      </c>
    </row>
    <row r="1546" spans="1:23" hidden="1" x14ac:dyDescent="0.25">
      <c r="A1546" t="s">
        <v>182</v>
      </c>
      <c r="B1546">
        <v>8</v>
      </c>
      <c r="C1546">
        <v>2025</v>
      </c>
      <c r="D1546" t="s">
        <v>155</v>
      </c>
      <c r="E1546" t="s">
        <v>156</v>
      </c>
      <c r="F1546">
        <v>25552</v>
      </c>
      <c r="G1546">
        <v>1213471.22</v>
      </c>
      <c r="H1546">
        <v>32890</v>
      </c>
      <c r="I1546">
        <v>0.26663536329129101</v>
      </c>
      <c r="J1546">
        <v>1561187.76</v>
      </c>
      <c r="K1546">
        <v>0.266156251436935</v>
      </c>
      <c r="L1546">
        <v>29221</v>
      </c>
      <c r="M1546">
        <v>0.47378242327362702</v>
      </c>
      <c r="N1546">
        <v>47.477139386057999</v>
      </c>
      <c r="O1546">
        <v>1387329.49</v>
      </c>
      <c r="P1546">
        <v>0.47303268185636999</v>
      </c>
      <c r="Q1546">
        <v>3669</v>
      </c>
      <c r="R1546">
        <v>5.9488303308953799E-2</v>
      </c>
      <c r="S1546">
        <v>47.385737258108499</v>
      </c>
      <c r="T1546">
        <v>173858.27</v>
      </c>
      <c r="U1546">
        <v>5.9279820939908301E-2</v>
      </c>
      <c r="V1546">
        <v>128</v>
      </c>
      <c r="W1546">
        <v>0.26532896646075999</v>
      </c>
    </row>
    <row r="1547" spans="1:23" hidden="1" x14ac:dyDescent="0.25">
      <c r="A1547" t="s">
        <v>182</v>
      </c>
      <c r="B1547">
        <v>9</v>
      </c>
      <c r="C1547">
        <v>2025</v>
      </c>
      <c r="D1547" t="s">
        <v>88</v>
      </c>
      <c r="E1547" t="s">
        <v>89</v>
      </c>
      <c r="F1547">
        <v>105688</v>
      </c>
      <c r="G1547">
        <v>5385156.0199999996</v>
      </c>
      <c r="H1547">
        <v>316874</v>
      </c>
      <c r="I1547">
        <v>2.3175437315939802</v>
      </c>
      <c r="J1547">
        <v>16093098.699999999</v>
      </c>
      <c r="K1547">
        <v>2.3212743321760301</v>
      </c>
      <c r="L1547">
        <v>211281</v>
      </c>
      <c r="M1547">
        <v>3.0905215142606099</v>
      </c>
      <c r="N1547">
        <v>50.828646967782198</v>
      </c>
      <c r="O1547">
        <v>10739127.359999999</v>
      </c>
      <c r="P1547">
        <v>3.09803116923616</v>
      </c>
      <c r="Q1547">
        <v>105593</v>
      </c>
      <c r="R1547">
        <v>1.54456594892736</v>
      </c>
      <c r="S1547">
        <v>50.703847224721301</v>
      </c>
      <c r="T1547">
        <v>5353971.34</v>
      </c>
      <c r="U1547">
        <v>1.54451749513832</v>
      </c>
      <c r="V1547">
        <v>1631</v>
      </c>
      <c r="W1547">
        <v>2.2982189155675798</v>
      </c>
    </row>
    <row r="1548" spans="1:23" hidden="1" x14ac:dyDescent="0.25">
      <c r="A1548" t="s">
        <v>182</v>
      </c>
      <c r="B1548">
        <v>9</v>
      </c>
      <c r="C1548">
        <v>2025</v>
      </c>
      <c r="D1548" t="s">
        <v>90</v>
      </c>
      <c r="E1548" t="s">
        <v>91</v>
      </c>
      <c r="F1548">
        <v>93433</v>
      </c>
      <c r="G1548">
        <v>4815660.7</v>
      </c>
      <c r="H1548">
        <v>555311</v>
      </c>
      <c r="I1548">
        <v>4.0614172419800498</v>
      </c>
      <c r="J1548">
        <v>28276457.800000001</v>
      </c>
      <c r="K1548">
        <v>4.0786064212729096</v>
      </c>
      <c r="L1548">
        <v>324372</v>
      </c>
      <c r="M1548">
        <v>4.7447647664661901</v>
      </c>
      <c r="N1548">
        <v>51.009517621743001</v>
      </c>
      <c r="O1548">
        <v>16546059.25</v>
      </c>
      <c r="P1548">
        <v>4.77321904901296</v>
      </c>
      <c r="Q1548">
        <v>230939</v>
      </c>
      <c r="R1548">
        <v>3.3780697174939101</v>
      </c>
      <c r="S1548">
        <v>50.794359332984001</v>
      </c>
      <c r="T1548">
        <v>11730398.550000001</v>
      </c>
      <c r="U1548">
        <v>3.3839937935529099</v>
      </c>
      <c r="V1548">
        <v>5491</v>
      </c>
      <c r="W1548">
        <v>7.7372900462180096</v>
      </c>
    </row>
    <row r="1549" spans="1:23" hidden="1" x14ac:dyDescent="0.25">
      <c r="A1549" t="s">
        <v>182</v>
      </c>
      <c r="B1549">
        <v>9</v>
      </c>
      <c r="C1549">
        <v>2025</v>
      </c>
      <c r="D1549" t="s">
        <v>92</v>
      </c>
      <c r="E1549" t="s">
        <v>93</v>
      </c>
      <c r="F1549">
        <v>72503</v>
      </c>
      <c r="G1549">
        <v>3669986.96</v>
      </c>
      <c r="H1549">
        <v>98541</v>
      </c>
      <c r="I1549">
        <v>0.72070626449315101</v>
      </c>
      <c r="J1549">
        <v>4960530.9800000004</v>
      </c>
      <c r="K1549">
        <v>0.71550876885121095</v>
      </c>
      <c r="L1549">
        <v>85522</v>
      </c>
      <c r="M1549">
        <v>1.25097657121367</v>
      </c>
      <c r="N1549">
        <v>50.457881831575499</v>
      </c>
      <c r="O1549">
        <v>4315258.97</v>
      </c>
      <c r="P1549">
        <v>1.24486900510936</v>
      </c>
      <c r="Q1549">
        <v>13019</v>
      </c>
      <c r="R1549">
        <v>0.19043595777262901</v>
      </c>
      <c r="S1549">
        <v>49.563868960749701</v>
      </c>
      <c r="T1549">
        <v>645272.01</v>
      </c>
      <c r="U1549">
        <v>0.186148532608332</v>
      </c>
      <c r="V1549">
        <v>158</v>
      </c>
      <c r="W1549">
        <v>0.22263555405253099</v>
      </c>
    </row>
    <row r="1550" spans="1:23" hidden="1" x14ac:dyDescent="0.25">
      <c r="A1550" t="s">
        <v>182</v>
      </c>
      <c r="B1550">
        <v>9</v>
      </c>
      <c r="C1550">
        <v>2025</v>
      </c>
      <c r="D1550" t="s">
        <v>94</v>
      </c>
      <c r="E1550" t="s">
        <v>95</v>
      </c>
      <c r="F1550">
        <v>-686773</v>
      </c>
      <c r="G1550">
        <v>-34600912.159999996</v>
      </c>
      <c r="H1550">
        <v>793715</v>
      </c>
      <c r="I1550">
        <v>5.8050493979377196</v>
      </c>
      <c r="J1550">
        <v>40007043.399999999</v>
      </c>
      <c r="K1550">
        <v>5.7706302982329003</v>
      </c>
      <c r="L1550">
        <v>53471</v>
      </c>
      <c r="M1550">
        <v>0.78214925094556098</v>
      </c>
      <c r="N1550">
        <v>50.551993042957903</v>
      </c>
      <c r="O1550">
        <v>2703065.62</v>
      </c>
      <c r="P1550">
        <v>0.77978231028732803</v>
      </c>
      <c r="Q1550">
        <v>740244</v>
      </c>
      <c r="R1550">
        <v>10.827949544929901</v>
      </c>
      <c r="S1550">
        <v>50.394164329599398</v>
      </c>
      <c r="T1550">
        <v>37303977.780000001</v>
      </c>
      <c r="U1550">
        <v>10.7614782860345</v>
      </c>
      <c r="V1550">
        <v>2762</v>
      </c>
      <c r="W1550">
        <v>3.8918949385638602</v>
      </c>
    </row>
    <row r="1551" spans="1:23" hidden="1" x14ac:dyDescent="0.25">
      <c r="A1551" t="s">
        <v>182</v>
      </c>
      <c r="B1551">
        <v>9</v>
      </c>
      <c r="C1551">
        <v>2025</v>
      </c>
      <c r="D1551" t="s">
        <v>96</v>
      </c>
      <c r="E1551" t="s">
        <v>97</v>
      </c>
      <c r="F1551">
        <v>25704</v>
      </c>
      <c r="G1551">
        <v>1347501.35</v>
      </c>
      <c r="H1551">
        <v>175068</v>
      </c>
      <c r="I1551">
        <v>1.2804071839365001</v>
      </c>
      <c r="J1551">
        <v>8844944.9900000002</v>
      </c>
      <c r="K1551">
        <v>1.27579803973961</v>
      </c>
      <c r="L1551">
        <v>100386</v>
      </c>
      <c r="M1551">
        <v>1.4684003423429699</v>
      </c>
      <c r="N1551">
        <v>50.7662738828123</v>
      </c>
      <c r="O1551">
        <v>5096223.17</v>
      </c>
      <c r="P1551">
        <v>1.4701621180925699</v>
      </c>
      <c r="Q1551">
        <v>74682</v>
      </c>
      <c r="R1551">
        <v>1.0924140255300301</v>
      </c>
      <c r="S1551">
        <v>50.1957877400177</v>
      </c>
      <c r="T1551">
        <v>3748721.82</v>
      </c>
      <c r="U1551">
        <v>1.0814339613922499</v>
      </c>
      <c r="V1551">
        <v>910</v>
      </c>
      <c r="W1551">
        <v>1.2822680644797699</v>
      </c>
    </row>
    <row r="1552" spans="1:23" hidden="1" x14ac:dyDescent="0.25">
      <c r="A1552" t="s">
        <v>182</v>
      </c>
      <c r="B1552">
        <v>9</v>
      </c>
      <c r="C1552">
        <v>2025</v>
      </c>
      <c r="D1552" t="s">
        <v>98</v>
      </c>
      <c r="E1552" t="s">
        <v>99</v>
      </c>
      <c r="F1552">
        <v>20627</v>
      </c>
      <c r="G1552">
        <v>1046745.01</v>
      </c>
      <c r="H1552">
        <v>20627</v>
      </c>
      <c r="I1552">
        <v>0.150861145286736</v>
      </c>
      <c r="J1552">
        <v>1046745.01</v>
      </c>
      <c r="K1552">
        <v>0.150982875911048</v>
      </c>
      <c r="L1552">
        <v>20627</v>
      </c>
      <c r="M1552">
        <v>0.301722290573471</v>
      </c>
      <c r="N1552">
        <v>50.746352353711202</v>
      </c>
      <c r="O1552">
        <v>1046745.01</v>
      </c>
      <c r="P1552">
        <v>0.30196575182645102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13</v>
      </c>
      <c r="W1552">
        <v>1.8318115206853801E-2</v>
      </c>
    </row>
    <row r="1553" spans="1:23" hidden="1" x14ac:dyDescent="0.25">
      <c r="A1553" t="s">
        <v>182</v>
      </c>
      <c r="B1553">
        <v>9</v>
      </c>
      <c r="C1553">
        <v>2025</v>
      </c>
      <c r="D1553" t="s">
        <v>100</v>
      </c>
      <c r="E1553" t="s">
        <v>101</v>
      </c>
      <c r="F1553">
        <v>400</v>
      </c>
      <c r="G1553">
        <v>24085.520000001401</v>
      </c>
      <c r="H1553">
        <v>381042</v>
      </c>
      <c r="I1553">
        <v>2.7868537607188801</v>
      </c>
      <c r="J1553">
        <v>19178548.5</v>
      </c>
      <c r="K1553">
        <v>2.76632071867198</v>
      </c>
      <c r="L1553">
        <v>190721</v>
      </c>
      <c r="M1553">
        <v>2.7897792689418202</v>
      </c>
      <c r="N1553">
        <v>50.342211974559703</v>
      </c>
      <c r="O1553">
        <v>9601317.0099999998</v>
      </c>
      <c r="P1553">
        <v>2.76979482276084</v>
      </c>
      <c r="Q1553">
        <v>190321</v>
      </c>
      <c r="R1553">
        <v>2.7839282524959299</v>
      </c>
      <c r="S1553">
        <v>50.321464735893599</v>
      </c>
      <c r="T1553">
        <v>9577231.4900000002</v>
      </c>
      <c r="U1553">
        <v>2.7628466145832302</v>
      </c>
      <c r="V1553">
        <v>339</v>
      </c>
      <c r="W1553">
        <v>0.47768008116334099</v>
      </c>
    </row>
    <row r="1554" spans="1:23" hidden="1" x14ac:dyDescent="0.25">
      <c r="A1554" t="s">
        <v>182</v>
      </c>
      <c r="B1554">
        <v>9</v>
      </c>
      <c r="C1554">
        <v>2025</v>
      </c>
      <c r="D1554" t="s">
        <v>159</v>
      </c>
      <c r="E1554" t="s">
        <v>160</v>
      </c>
      <c r="F1554">
        <v>-1329</v>
      </c>
      <c r="G1554">
        <v>-66996.820000000007</v>
      </c>
      <c r="H1554">
        <v>1339</v>
      </c>
      <c r="I1554">
        <v>9.7931387763096397E-3</v>
      </c>
      <c r="J1554">
        <v>67512</v>
      </c>
      <c r="K1554">
        <v>9.7379551095320305E-3</v>
      </c>
      <c r="L1554">
        <v>5</v>
      </c>
      <c r="M1554" s="4">
        <v>7.3137705573634405E-5</v>
      </c>
      <c r="N1554">
        <v>51.518000000000001</v>
      </c>
      <c r="O1554">
        <v>257.58999999999997</v>
      </c>
      <c r="P1554" s="4">
        <v>7.4309748095169399E-5</v>
      </c>
      <c r="Q1554">
        <v>1334</v>
      </c>
      <c r="R1554">
        <v>1.95131398470457E-2</v>
      </c>
      <c r="S1554">
        <v>50.415599700149897</v>
      </c>
      <c r="T1554">
        <v>67254.41</v>
      </c>
      <c r="U1554">
        <v>1.9401600470690099E-2</v>
      </c>
      <c r="V1554">
        <v>9</v>
      </c>
      <c r="W1554">
        <v>1.26817720662834E-2</v>
      </c>
    </row>
    <row r="1555" spans="1:23" hidden="1" x14ac:dyDescent="0.25">
      <c r="A1555" t="s">
        <v>182</v>
      </c>
      <c r="B1555">
        <v>9</v>
      </c>
      <c r="C1555">
        <v>2025</v>
      </c>
      <c r="D1555" t="s">
        <v>102</v>
      </c>
      <c r="E1555" t="s">
        <v>103</v>
      </c>
      <c r="F1555">
        <v>456966</v>
      </c>
      <c r="G1555">
        <v>23314834.079999998</v>
      </c>
      <c r="H1555">
        <v>1456152</v>
      </c>
      <c r="I1555">
        <v>10.649961624645901</v>
      </c>
      <c r="J1555">
        <v>74023497.640000001</v>
      </c>
      <c r="K1555">
        <v>10.677175866051501</v>
      </c>
      <c r="L1555">
        <v>956559</v>
      </c>
      <c r="M1555">
        <v>13.992106101161999</v>
      </c>
      <c r="N1555">
        <v>50.879418687190203</v>
      </c>
      <c r="O1555">
        <v>48669165.859999999</v>
      </c>
      <c r="P1555">
        <v>14.040115901466001</v>
      </c>
      <c r="Q1555">
        <v>499593</v>
      </c>
      <c r="R1555">
        <v>7.3078171481297396</v>
      </c>
      <c r="S1555">
        <v>50.749974038867599</v>
      </c>
      <c r="T1555">
        <v>25354331.780000001</v>
      </c>
      <c r="U1555">
        <v>7.3142358307340896</v>
      </c>
      <c r="V1555">
        <v>7935</v>
      </c>
      <c r="W1555">
        <v>11.1810957051065</v>
      </c>
    </row>
    <row r="1556" spans="1:23" hidden="1" x14ac:dyDescent="0.25">
      <c r="A1556" t="s">
        <v>182</v>
      </c>
      <c r="B1556">
        <v>9</v>
      </c>
      <c r="C1556">
        <v>2025</v>
      </c>
      <c r="D1556" t="s">
        <v>161</v>
      </c>
      <c r="E1556" t="s">
        <v>162</v>
      </c>
      <c r="F1556">
        <v>12898</v>
      </c>
      <c r="G1556">
        <v>658141.93999999994</v>
      </c>
      <c r="H1556">
        <v>25216</v>
      </c>
      <c r="I1556">
        <v>0.18442403837447599</v>
      </c>
      <c r="J1556">
        <v>1288214.72</v>
      </c>
      <c r="K1556">
        <v>0.18581255354305001</v>
      </c>
      <c r="L1556">
        <v>19057</v>
      </c>
      <c r="M1556">
        <v>0.27875705102335002</v>
      </c>
      <c r="N1556">
        <v>51.066711969355097</v>
      </c>
      <c r="O1556">
        <v>973178.33</v>
      </c>
      <c r="P1556">
        <v>0.28074318317472602</v>
      </c>
      <c r="Q1556">
        <v>6159</v>
      </c>
      <c r="R1556">
        <v>9.0091025725602805E-2</v>
      </c>
      <c r="S1556">
        <v>51.150574768631301</v>
      </c>
      <c r="T1556">
        <v>315036.39</v>
      </c>
      <c r="U1556">
        <v>9.08819239141124E-2</v>
      </c>
      <c r="V1556">
        <v>81</v>
      </c>
      <c r="W1556">
        <v>0.114135948596551</v>
      </c>
    </row>
    <row r="1557" spans="1:23" hidden="1" x14ac:dyDescent="0.25">
      <c r="A1557" t="s">
        <v>182</v>
      </c>
      <c r="B1557">
        <v>9</v>
      </c>
      <c r="C1557">
        <v>2025</v>
      </c>
      <c r="D1557" t="s">
        <v>104</v>
      </c>
      <c r="E1557" t="s">
        <v>105</v>
      </c>
      <c r="F1557">
        <v>132797</v>
      </c>
      <c r="G1557">
        <v>6832543.9000000004</v>
      </c>
      <c r="H1557">
        <v>385489</v>
      </c>
      <c r="I1557">
        <v>2.8193780983874701</v>
      </c>
      <c r="J1557">
        <v>19593570.5</v>
      </c>
      <c r="K1557">
        <v>2.8261836409001502</v>
      </c>
      <c r="L1557">
        <v>259143</v>
      </c>
      <c r="M1557">
        <v>3.7906248870936698</v>
      </c>
      <c r="N1557">
        <v>50.987513457820597</v>
      </c>
      <c r="O1557">
        <v>13213057.199999999</v>
      </c>
      <c r="P1557">
        <v>3.81171222523803</v>
      </c>
      <c r="Q1557">
        <v>126346</v>
      </c>
      <c r="R1557">
        <v>1.8481313096812799</v>
      </c>
      <c r="S1557">
        <v>50.500318965380799</v>
      </c>
      <c r="T1557">
        <v>6380513.2999999998</v>
      </c>
      <c r="U1557">
        <v>1.84065505659071</v>
      </c>
      <c r="V1557">
        <v>3974</v>
      </c>
      <c r="W1557">
        <v>5.5997069101566899</v>
      </c>
    </row>
    <row r="1558" spans="1:23" hidden="1" x14ac:dyDescent="0.25">
      <c r="A1558" t="s">
        <v>182</v>
      </c>
      <c r="B1558">
        <v>9</v>
      </c>
      <c r="C1558">
        <v>2025</v>
      </c>
      <c r="D1558" t="s">
        <v>187</v>
      </c>
      <c r="E1558" t="s">
        <v>188</v>
      </c>
      <c r="F1558">
        <v>19495</v>
      </c>
      <c r="G1558">
        <v>990607.86</v>
      </c>
      <c r="H1558">
        <v>19495</v>
      </c>
      <c r="I1558">
        <v>0.14258195701580001</v>
      </c>
      <c r="J1558">
        <v>990607.86</v>
      </c>
      <c r="K1558">
        <v>0.14288563324786099</v>
      </c>
      <c r="L1558">
        <v>19495</v>
      </c>
      <c r="M1558">
        <v>0.28516391403160002</v>
      </c>
      <c r="N1558">
        <v>50.813432162092802</v>
      </c>
      <c r="O1558">
        <v>990607.86</v>
      </c>
      <c r="P1558">
        <v>0.28577126649984402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77</v>
      </c>
      <c r="W1558">
        <v>0.10849960545598</v>
      </c>
    </row>
    <row r="1559" spans="1:23" hidden="1" x14ac:dyDescent="0.25">
      <c r="A1559" t="s">
        <v>182</v>
      </c>
      <c r="B1559">
        <v>9</v>
      </c>
      <c r="C1559">
        <v>2025</v>
      </c>
      <c r="D1559" t="s">
        <v>106</v>
      </c>
      <c r="E1559" t="s">
        <v>107</v>
      </c>
      <c r="F1559">
        <v>149536</v>
      </c>
      <c r="G1559">
        <v>7530790.7800000003</v>
      </c>
      <c r="H1559">
        <v>721162</v>
      </c>
      <c r="I1559">
        <v>5.2744134026893299</v>
      </c>
      <c r="J1559">
        <v>36630257.119999997</v>
      </c>
      <c r="K1559">
        <v>5.28356143330336</v>
      </c>
      <c r="L1559">
        <v>435349</v>
      </c>
      <c r="M1559">
        <v>6.3680853967552302</v>
      </c>
      <c r="N1559">
        <v>50.719133270089102</v>
      </c>
      <c r="O1559">
        <v>22080523.949999999</v>
      </c>
      <c r="P1559">
        <v>6.3698053982447096</v>
      </c>
      <c r="Q1559">
        <v>285813</v>
      </c>
      <c r="R1559">
        <v>4.1807414086234296</v>
      </c>
      <c r="S1559">
        <v>50.906477906883197</v>
      </c>
      <c r="T1559">
        <v>14549733.17</v>
      </c>
      <c r="U1559">
        <v>4.1973174683933401</v>
      </c>
      <c r="V1559">
        <v>1437</v>
      </c>
      <c r="W1559">
        <v>2.0248562732499198</v>
      </c>
    </row>
    <row r="1560" spans="1:23" hidden="1" x14ac:dyDescent="0.25">
      <c r="A1560" t="s">
        <v>182</v>
      </c>
      <c r="B1560">
        <v>9</v>
      </c>
      <c r="C1560">
        <v>2025</v>
      </c>
      <c r="D1560" t="s">
        <v>173</v>
      </c>
      <c r="E1560" t="s">
        <v>174</v>
      </c>
      <c r="F1560">
        <v>4400</v>
      </c>
      <c r="G1560">
        <v>217003.39</v>
      </c>
      <c r="H1560">
        <v>4400</v>
      </c>
      <c r="I1560">
        <v>3.2180590452399099E-2</v>
      </c>
      <c r="J1560">
        <v>217003.39</v>
      </c>
      <c r="K1560">
        <v>3.1300646854429903E-2</v>
      </c>
      <c r="L1560">
        <v>4400</v>
      </c>
      <c r="M1560">
        <v>6.4361180904798296E-2</v>
      </c>
      <c r="N1560">
        <v>49.318952272727302</v>
      </c>
      <c r="O1560">
        <v>217003.39</v>
      </c>
      <c r="P1560">
        <v>6.2601293709762806E-2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332</v>
      </c>
      <c r="W1560">
        <v>0.46781648066734299</v>
      </c>
    </row>
    <row r="1561" spans="1:23" hidden="1" x14ac:dyDescent="0.25">
      <c r="A1561" t="s">
        <v>182</v>
      </c>
      <c r="B1561">
        <v>9</v>
      </c>
      <c r="C1561">
        <v>2025</v>
      </c>
      <c r="D1561" t="s">
        <v>108</v>
      </c>
      <c r="E1561" t="s">
        <v>109</v>
      </c>
      <c r="F1561">
        <v>30640</v>
      </c>
      <c r="G1561">
        <v>1559478.92</v>
      </c>
      <c r="H1561">
        <v>30640</v>
      </c>
      <c r="I1561">
        <v>0.224093929877616</v>
      </c>
      <c r="J1561">
        <v>1559478.92</v>
      </c>
      <c r="K1561">
        <v>0.224939799105663</v>
      </c>
      <c r="L1561">
        <v>30640</v>
      </c>
      <c r="M1561">
        <v>0.44818785975523101</v>
      </c>
      <c r="N1561">
        <v>50.896831592689303</v>
      </c>
      <c r="O1561">
        <v>1559478.92</v>
      </c>
      <c r="P1561">
        <v>0.44987959821781498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58</v>
      </c>
      <c r="W1561">
        <v>8.1726975538270796E-2</v>
      </c>
    </row>
    <row r="1562" spans="1:23" hidden="1" x14ac:dyDescent="0.25">
      <c r="A1562" t="s">
        <v>182</v>
      </c>
      <c r="B1562">
        <v>9</v>
      </c>
      <c r="C1562">
        <v>2025</v>
      </c>
      <c r="D1562" t="s">
        <v>110</v>
      </c>
      <c r="E1562" t="s">
        <v>111</v>
      </c>
      <c r="F1562">
        <v>34893</v>
      </c>
      <c r="G1562">
        <v>1856505.6</v>
      </c>
      <c r="H1562">
        <v>205921</v>
      </c>
      <c r="I1562">
        <v>1.50605894694284</v>
      </c>
      <c r="J1562">
        <v>10468813.4</v>
      </c>
      <c r="K1562">
        <v>1.5100254019917601</v>
      </c>
      <c r="L1562">
        <v>120407</v>
      </c>
      <c r="M1562">
        <v>1.7612583430009201</v>
      </c>
      <c r="N1562">
        <v>51.181903876020499</v>
      </c>
      <c r="O1562">
        <v>6162659.5</v>
      </c>
      <c r="P1562">
        <v>1.77780843604683</v>
      </c>
      <c r="Q1562">
        <v>85514</v>
      </c>
      <c r="R1562">
        <v>1.25085955088475</v>
      </c>
      <c r="S1562">
        <v>50.356127651612603</v>
      </c>
      <c r="T1562">
        <v>4306153.9000000004</v>
      </c>
      <c r="U1562">
        <v>1.2422423679444099</v>
      </c>
      <c r="V1562">
        <v>989</v>
      </c>
      <c r="W1562">
        <v>1.39358584150603</v>
      </c>
    </row>
    <row r="1563" spans="1:23" hidden="1" x14ac:dyDescent="0.25">
      <c r="A1563" t="s">
        <v>182</v>
      </c>
      <c r="B1563">
        <v>9</v>
      </c>
      <c r="C1563">
        <v>2025</v>
      </c>
      <c r="D1563" t="s">
        <v>112</v>
      </c>
      <c r="E1563" t="s">
        <v>113</v>
      </c>
      <c r="F1563">
        <v>-26933</v>
      </c>
      <c r="G1563">
        <v>-1346141.55</v>
      </c>
      <c r="H1563">
        <v>40609</v>
      </c>
      <c r="I1563">
        <v>0.29700490856397199</v>
      </c>
      <c r="J1563">
        <v>2050719.57</v>
      </c>
      <c r="K1563">
        <v>0.295796526764114</v>
      </c>
      <c r="L1563">
        <v>6838</v>
      </c>
      <c r="M1563">
        <v>0.100023126142502</v>
      </c>
      <c r="N1563">
        <v>51.519305352442203</v>
      </c>
      <c r="O1563">
        <v>352289.01</v>
      </c>
      <c r="P1563">
        <v>0.101628586473841</v>
      </c>
      <c r="Q1563">
        <v>33771</v>
      </c>
      <c r="R1563">
        <v>0.49398669098544101</v>
      </c>
      <c r="S1563">
        <v>50.2925752864884</v>
      </c>
      <c r="T1563">
        <v>1698430.56</v>
      </c>
      <c r="U1563">
        <v>0.48996446704878499</v>
      </c>
      <c r="V1563">
        <v>206</v>
      </c>
      <c r="W1563">
        <v>0.29027167173937601</v>
      </c>
    </row>
    <row r="1564" spans="1:23" hidden="1" x14ac:dyDescent="0.25">
      <c r="A1564" t="s">
        <v>182</v>
      </c>
      <c r="B1564">
        <v>9</v>
      </c>
      <c r="C1564">
        <v>2025</v>
      </c>
      <c r="D1564" t="s">
        <v>167</v>
      </c>
      <c r="E1564" t="s">
        <v>168</v>
      </c>
      <c r="F1564">
        <v>3155</v>
      </c>
      <c r="G1564">
        <v>157391.88</v>
      </c>
      <c r="H1564">
        <v>4155</v>
      </c>
      <c r="I1564">
        <v>3.0388716665845101E-2</v>
      </c>
      <c r="J1564">
        <v>207941.88</v>
      </c>
      <c r="K1564">
        <v>2.9993611399924399E-2</v>
      </c>
      <c r="L1564">
        <v>3655</v>
      </c>
      <c r="M1564">
        <v>5.3463662774326702E-2</v>
      </c>
      <c r="N1564">
        <v>49.977258549931598</v>
      </c>
      <c r="O1564">
        <v>182666.88</v>
      </c>
      <c r="P1564">
        <v>5.2695872658606903E-2</v>
      </c>
      <c r="Q1564">
        <v>500</v>
      </c>
      <c r="R1564">
        <v>7.3137705573634399E-3</v>
      </c>
      <c r="S1564">
        <v>50.55</v>
      </c>
      <c r="T1564">
        <v>25275</v>
      </c>
      <c r="U1564">
        <v>7.2913501418969103E-3</v>
      </c>
      <c r="V1564">
        <v>10</v>
      </c>
      <c r="W1564">
        <v>1.4090857851425999E-2</v>
      </c>
    </row>
    <row r="1565" spans="1:23" hidden="1" x14ac:dyDescent="0.25">
      <c r="A1565" t="s">
        <v>182</v>
      </c>
      <c r="B1565">
        <v>9</v>
      </c>
      <c r="C1565">
        <v>2025</v>
      </c>
      <c r="D1565" t="s">
        <v>169</v>
      </c>
      <c r="E1565" t="s">
        <v>170</v>
      </c>
      <c r="F1565">
        <v>-3400</v>
      </c>
      <c r="G1565">
        <v>-171540.2</v>
      </c>
      <c r="H1565">
        <v>6400</v>
      </c>
      <c r="I1565">
        <v>4.6808131567126002E-2</v>
      </c>
      <c r="J1565">
        <v>324540.2</v>
      </c>
      <c r="K1565">
        <v>4.6811794922955202E-2</v>
      </c>
      <c r="L1565">
        <v>1500</v>
      </c>
      <c r="M1565">
        <v>2.1941311672090302E-2</v>
      </c>
      <c r="N1565">
        <v>51</v>
      </c>
      <c r="O1565">
        <v>76500</v>
      </c>
      <c r="P1565">
        <v>2.2068774910829099E-2</v>
      </c>
      <c r="Q1565">
        <v>4900</v>
      </c>
      <c r="R1565">
        <v>7.1674951462161698E-2</v>
      </c>
      <c r="S1565">
        <v>50.620448979591799</v>
      </c>
      <c r="T1565">
        <v>248040.2</v>
      </c>
      <c r="U1565">
        <v>7.1554814934367494E-2</v>
      </c>
      <c r="V1565">
        <v>38</v>
      </c>
      <c r="W1565">
        <v>5.3545259835418801E-2</v>
      </c>
    </row>
    <row r="1566" spans="1:23" hidden="1" x14ac:dyDescent="0.25">
      <c r="A1566" t="s">
        <v>182</v>
      </c>
      <c r="B1566">
        <v>9</v>
      </c>
      <c r="C1566">
        <v>2025</v>
      </c>
      <c r="D1566" t="s">
        <v>163</v>
      </c>
      <c r="E1566" t="s">
        <v>164</v>
      </c>
      <c r="F1566">
        <v>-1320</v>
      </c>
      <c r="G1566">
        <v>-42221.429999999702</v>
      </c>
      <c r="H1566">
        <v>44460</v>
      </c>
      <c r="I1566">
        <v>0.325170238980378</v>
      </c>
      <c r="J1566">
        <v>2284959.29</v>
      </c>
      <c r="K1566">
        <v>0.32958334804372802</v>
      </c>
      <c r="L1566">
        <v>21570</v>
      </c>
      <c r="M1566">
        <v>0.31551606184465902</v>
      </c>
      <c r="N1566">
        <v>51.987433008808502</v>
      </c>
      <c r="O1566">
        <v>1121368.93</v>
      </c>
      <c r="P1566">
        <v>0.32349331383225099</v>
      </c>
      <c r="Q1566">
        <v>22890</v>
      </c>
      <c r="R1566">
        <v>0.33482441611609798</v>
      </c>
      <c r="S1566">
        <v>50.834004368720002</v>
      </c>
      <c r="T1566">
        <v>1163590.3600000001</v>
      </c>
      <c r="U1566">
        <v>0.33567338225503002</v>
      </c>
      <c r="V1566">
        <v>179</v>
      </c>
      <c r="W1566">
        <v>0.25222635554052503</v>
      </c>
    </row>
    <row r="1567" spans="1:23" hidden="1" x14ac:dyDescent="0.25">
      <c r="A1567" t="s">
        <v>182</v>
      </c>
      <c r="B1567">
        <v>9</v>
      </c>
      <c r="C1567">
        <v>2025</v>
      </c>
      <c r="D1567" t="s">
        <v>116</v>
      </c>
      <c r="E1567" t="s">
        <v>117</v>
      </c>
      <c r="F1567">
        <v>-6380</v>
      </c>
      <c r="G1567">
        <v>-282971.19000000198</v>
      </c>
      <c r="H1567">
        <v>95638</v>
      </c>
      <c r="I1567">
        <v>0.699474388565125</v>
      </c>
      <c r="J1567">
        <v>4808391.09</v>
      </c>
      <c r="K1567">
        <v>0.69356405651578701</v>
      </c>
      <c r="L1567">
        <v>44629</v>
      </c>
      <c r="M1567">
        <v>0.65281253240914605</v>
      </c>
      <c r="N1567">
        <v>50.700440296668098</v>
      </c>
      <c r="O1567">
        <v>2262709.9500000002</v>
      </c>
      <c r="P1567">
        <v>0.65274819052344202</v>
      </c>
      <c r="Q1567">
        <v>51009</v>
      </c>
      <c r="R1567">
        <v>0.74613624472110296</v>
      </c>
      <c r="S1567">
        <v>49.9065094395107</v>
      </c>
      <c r="T1567">
        <v>2545681.14</v>
      </c>
      <c r="U1567">
        <v>0.73437992250695505</v>
      </c>
      <c r="V1567">
        <v>1079</v>
      </c>
      <c r="W1567">
        <v>1.5204035621688601</v>
      </c>
    </row>
    <row r="1568" spans="1:23" hidden="1" x14ac:dyDescent="0.25">
      <c r="A1568" t="s">
        <v>182</v>
      </c>
      <c r="B1568">
        <v>9</v>
      </c>
      <c r="C1568">
        <v>2025</v>
      </c>
      <c r="D1568" t="s">
        <v>118</v>
      </c>
      <c r="E1568" t="s">
        <v>119</v>
      </c>
      <c r="F1568">
        <v>151750</v>
      </c>
      <c r="G1568">
        <v>7716508.6200000001</v>
      </c>
      <c r="H1568">
        <v>256968</v>
      </c>
      <c r="I1568">
        <v>1.8794049925845699</v>
      </c>
      <c r="J1568">
        <v>13083827.52</v>
      </c>
      <c r="K1568">
        <v>1.8872159771688</v>
      </c>
      <c r="L1568">
        <v>204359</v>
      </c>
      <c r="M1568">
        <v>2.9892696746644698</v>
      </c>
      <c r="N1568">
        <v>50.891656692389397</v>
      </c>
      <c r="O1568">
        <v>10400168.07</v>
      </c>
      <c r="P1568">
        <v>3.0002479499558401</v>
      </c>
      <c r="Q1568">
        <v>52609</v>
      </c>
      <c r="R1568">
        <v>0.76954031050466598</v>
      </c>
      <c r="S1568">
        <v>51.011413446368501</v>
      </c>
      <c r="T1568">
        <v>2683659.4500000002</v>
      </c>
      <c r="U1568">
        <v>0.77418400441386703</v>
      </c>
      <c r="V1568">
        <v>1110</v>
      </c>
      <c r="W1568">
        <v>1.5640852215082901</v>
      </c>
    </row>
    <row r="1569" spans="1:23" hidden="1" x14ac:dyDescent="0.25">
      <c r="A1569" t="s">
        <v>182</v>
      </c>
      <c r="B1569">
        <v>9</v>
      </c>
      <c r="C1569">
        <v>2025</v>
      </c>
      <c r="D1569" t="s">
        <v>120</v>
      </c>
      <c r="E1569" t="s">
        <v>121</v>
      </c>
      <c r="F1569">
        <v>-114736</v>
      </c>
      <c r="G1569">
        <v>-5798711.0099999998</v>
      </c>
      <c r="H1569">
        <v>131660</v>
      </c>
      <c r="I1569">
        <v>0.96293103158246995</v>
      </c>
      <c r="J1569">
        <v>6660951.8300000001</v>
      </c>
      <c r="K1569">
        <v>0.96077808252303698</v>
      </c>
      <c r="L1569">
        <v>8462</v>
      </c>
      <c r="M1569">
        <v>0.12377825291281901</v>
      </c>
      <c r="N1569">
        <v>50.947814937367099</v>
      </c>
      <c r="O1569">
        <v>431120.41</v>
      </c>
      <c r="P1569">
        <v>0.12436992533012201</v>
      </c>
      <c r="Q1569">
        <v>123198</v>
      </c>
      <c r="R1569">
        <v>1.8020838102521199</v>
      </c>
      <c r="S1569">
        <v>50.567634377181498</v>
      </c>
      <c r="T1569">
        <v>6229831.4199999999</v>
      </c>
      <c r="U1569">
        <v>1.7971862396918199</v>
      </c>
      <c r="V1569">
        <v>718</v>
      </c>
      <c r="W1569">
        <v>1.0117235937323901</v>
      </c>
    </row>
    <row r="1570" spans="1:23" hidden="1" x14ac:dyDescent="0.25">
      <c r="A1570" t="s">
        <v>182</v>
      </c>
      <c r="B1570">
        <v>9</v>
      </c>
      <c r="C1570">
        <v>2025</v>
      </c>
      <c r="D1570" t="s">
        <v>122</v>
      </c>
      <c r="E1570" t="s">
        <v>123</v>
      </c>
      <c r="F1570">
        <v>-858398</v>
      </c>
      <c r="G1570">
        <v>-44699593.960000001</v>
      </c>
      <c r="H1570">
        <v>2702754</v>
      </c>
      <c r="I1570">
        <v>19.7673226289963</v>
      </c>
      <c r="J1570">
        <v>137390181.56</v>
      </c>
      <c r="K1570">
        <v>19.8172090964826</v>
      </c>
      <c r="L1570">
        <v>922178</v>
      </c>
      <c r="M1570">
        <v>13.489196610096601</v>
      </c>
      <c r="N1570">
        <v>50.256342918612198</v>
      </c>
      <c r="O1570">
        <v>46345293.799999997</v>
      </c>
      <c r="P1570">
        <v>13.3697236215483</v>
      </c>
      <c r="Q1570">
        <v>1780576</v>
      </c>
      <c r="R1570">
        <v>26.045448647895899</v>
      </c>
      <c r="S1570">
        <v>51.132267176464303</v>
      </c>
      <c r="T1570">
        <v>91044887.760000005</v>
      </c>
      <c r="U1570">
        <v>26.264694571231001</v>
      </c>
      <c r="V1570">
        <v>12615</v>
      </c>
      <c r="W1570">
        <v>17.775617179573899</v>
      </c>
    </row>
    <row r="1571" spans="1:23" hidden="1" x14ac:dyDescent="0.25">
      <c r="A1571" t="s">
        <v>182</v>
      </c>
      <c r="B1571">
        <v>9</v>
      </c>
      <c r="C1571">
        <v>2025</v>
      </c>
      <c r="D1571" t="s">
        <v>124</v>
      </c>
      <c r="E1571" t="s">
        <v>125</v>
      </c>
      <c r="F1571">
        <v>100</v>
      </c>
      <c r="G1571">
        <v>5087.6400000000003</v>
      </c>
      <c r="H1571">
        <v>534</v>
      </c>
      <c r="I1571">
        <v>3.9055534776320801E-3</v>
      </c>
      <c r="J1571">
        <v>27027.14</v>
      </c>
      <c r="K1571">
        <v>3.89840437343047E-3</v>
      </c>
      <c r="L1571">
        <v>317</v>
      </c>
      <c r="M1571">
        <v>4.6369305333684198E-3</v>
      </c>
      <c r="N1571">
        <v>50.654227129337499</v>
      </c>
      <c r="O1571">
        <v>16057.39</v>
      </c>
      <c r="P1571">
        <v>4.6322473930117299E-3</v>
      </c>
      <c r="Q1571">
        <v>217</v>
      </c>
      <c r="R1571">
        <v>3.1741764218957301E-3</v>
      </c>
      <c r="S1571">
        <v>50.551843317972299</v>
      </c>
      <c r="T1571">
        <v>10969.75</v>
      </c>
      <c r="U1571">
        <v>3.1645613538703698E-3</v>
      </c>
      <c r="V1571">
        <v>5</v>
      </c>
      <c r="W1571">
        <v>7.0454289257129996E-3</v>
      </c>
    </row>
    <row r="1572" spans="1:23" hidden="1" x14ac:dyDescent="0.25">
      <c r="A1572" t="s">
        <v>182</v>
      </c>
      <c r="B1572">
        <v>9</v>
      </c>
      <c r="C1572">
        <v>2025</v>
      </c>
      <c r="D1572" t="s">
        <v>126</v>
      </c>
      <c r="E1572" t="s">
        <v>127</v>
      </c>
      <c r="F1572">
        <v>24385</v>
      </c>
      <c r="G1572">
        <v>1241618.2</v>
      </c>
      <c r="H1572">
        <v>70547</v>
      </c>
      <c r="I1572">
        <v>0.51596457151031805</v>
      </c>
      <c r="J1572">
        <v>3561706.4</v>
      </c>
      <c r="K1572">
        <v>0.51374180940474201</v>
      </c>
      <c r="L1572">
        <v>47466</v>
      </c>
      <c r="M1572">
        <v>0.69431086655162599</v>
      </c>
      <c r="N1572">
        <v>50.597528757426403</v>
      </c>
      <c r="O1572">
        <v>2401662.2999999998</v>
      </c>
      <c r="P1572">
        <v>0.69283326418985702</v>
      </c>
      <c r="Q1572">
        <v>23081</v>
      </c>
      <c r="R1572">
        <v>0.33761827646901099</v>
      </c>
      <c r="S1572">
        <v>50.259698453273202</v>
      </c>
      <c r="T1572">
        <v>1160044.1000000001</v>
      </c>
      <c r="U1572">
        <v>0.33465035462479398</v>
      </c>
      <c r="V1572">
        <v>1828</v>
      </c>
      <c r="W1572">
        <v>2.57580881524067</v>
      </c>
    </row>
    <row r="1573" spans="1:23" hidden="1" x14ac:dyDescent="0.25">
      <c r="A1573" t="s">
        <v>182</v>
      </c>
      <c r="B1573">
        <v>9</v>
      </c>
      <c r="C1573">
        <v>2025</v>
      </c>
      <c r="D1573" t="s">
        <v>128</v>
      </c>
      <c r="E1573" t="s">
        <v>129</v>
      </c>
      <c r="F1573">
        <v>2999</v>
      </c>
      <c r="G1573">
        <v>151954.78</v>
      </c>
      <c r="H1573">
        <v>10199</v>
      </c>
      <c r="I1573">
        <v>7.4593145914549699E-2</v>
      </c>
      <c r="J1573">
        <v>519648.18</v>
      </c>
      <c r="K1573">
        <v>7.4954239980892595E-2</v>
      </c>
      <c r="L1573">
        <v>6599</v>
      </c>
      <c r="M1573">
        <v>9.6527143816082697E-2</v>
      </c>
      <c r="N1573">
        <v>50.886722230640999</v>
      </c>
      <c r="O1573">
        <v>335801.48</v>
      </c>
      <c r="P1573">
        <v>9.6872251984879296E-2</v>
      </c>
      <c r="Q1573">
        <v>3600</v>
      </c>
      <c r="R1573">
        <v>5.2659148013016799E-2</v>
      </c>
      <c r="S1573">
        <v>51.068527777777803</v>
      </c>
      <c r="T1573">
        <v>183846.7</v>
      </c>
      <c r="U1573">
        <v>5.3036227977538201E-2</v>
      </c>
      <c r="V1573">
        <v>32</v>
      </c>
      <c r="W1573">
        <v>4.5090745124563202E-2</v>
      </c>
    </row>
    <row r="1574" spans="1:23" hidden="1" x14ac:dyDescent="0.25">
      <c r="A1574" t="s">
        <v>182</v>
      </c>
      <c r="B1574">
        <v>9</v>
      </c>
      <c r="C1574">
        <v>2025</v>
      </c>
      <c r="D1574" t="s">
        <v>175</v>
      </c>
      <c r="E1574" t="s">
        <v>176</v>
      </c>
      <c r="F1574">
        <v>-4091</v>
      </c>
      <c r="G1574">
        <v>-205639.04000000001</v>
      </c>
      <c r="H1574">
        <v>16091</v>
      </c>
      <c r="I1574">
        <v>0.117685882038535</v>
      </c>
      <c r="J1574">
        <v>814159.04</v>
      </c>
      <c r="K1574">
        <v>0.117434592124951</v>
      </c>
      <c r="L1574">
        <v>6000</v>
      </c>
      <c r="M1574">
        <v>8.7765246688361304E-2</v>
      </c>
      <c r="N1574">
        <v>50.71</v>
      </c>
      <c r="O1574">
        <v>304260</v>
      </c>
      <c r="P1574">
        <v>8.7773143194364106E-2</v>
      </c>
      <c r="Q1574">
        <v>10091</v>
      </c>
      <c r="R1574">
        <v>0.147606517388709</v>
      </c>
      <c r="S1574">
        <v>50.530080269547099</v>
      </c>
      <c r="T1574">
        <v>509899.04</v>
      </c>
      <c r="U1574">
        <v>0.14709604105468199</v>
      </c>
      <c r="V1574">
        <v>32</v>
      </c>
      <c r="W1574">
        <v>4.5090745124563202E-2</v>
      </c>
    </row>
    <row r="1575" spans="1:23" hidden="1" x14ac:dyDescent="0.25">
      <c r="A1575" t="s">
        <v>182</v>
      </c>
      <c r="B1575">
        <v>9</v>
      </c>
      <c r="C1575">
        <v>2025</v>
      </c>
      <c r="D1575" t="s">
        <v>130</v>
      </c>
      <c r="E1575" t="s">
        <v>131</v>
      </c>
      <c r="F1575">
        <v>39554</v>
      </c>
      <c r="G1575">
        <v>2020360.58</v>
      </c>
      <c r="H1575">
        <v>419106</v>
      </c>
      <c r="I1575">
        <v>3.06524512321436</v>
      </c>
      <c r="J1575">
        <v>21247309.780000001</v>
      </c>
      <c r="K1575">
        <v>3.0647195881615299</v>
      </c>
      <c r="L1575">
        <v>229330</v>
      </c>
      <c r="M1575">
        <v>3.35453400384031</v>
      </c>
      <c r="N1575">
        <v>50.729669820782298</v>
      </c>
      <c r="O1575">
        <v>11633835.18</v>
      </c>
      <c r="P1575">
        <v>3.3561371233608401</v>
      </c>
      <c r="Q1575">
        <v>189776</v>
      </c>
      <c r="R1575">
        <v>2.7759562425884101</v>
      </c>
      <c r="S1575">
        <v>50.656956622544499</v>
      </c>
      <c r="T1575">
        <v>9613474.5999999996</v>
      </c>
      <c r="U1575">
        <v>2.77330205297062</v>
      </c>
      <c r="V1575">
        <v>1676</v>
      </c>
      <c r="W1575">
        <v>2.3616277758990001</v>
      </c>
    </row>
    <row r="1576" spans="1:23" hidden="1" x14ac:dyDescent="0.25">
      <c r="A1576" t="s">
        <v>182</v>
      </c>
      <c r="B1576">
        <v>9</v>
      </c>
      <c r="C1576">
        <v>2025</v>
      </c>
      <c r="D1576" t="s">
        <v>132</v>
      </c>
      <c r="E1576" t="s">
        <v>133</v>
      </c>
      <c r="F1576">
        <v>8406</v>
      </c>
      <c r="G1576">
        <v>442970.71</v>
      </c>
      <c r="H1576">
        <v>56614</v>
      </c>
      <c r="I1576">
        <v>0.41406180633457401</v>
      </c>
      <c r="J1576">
        <v>2862919.79</v>
      </c>
      <c r="K1576">
        <v>0.41294857798925899</v>
      </c>
      <c r="L1576">
        <v>32510</v>
      </c>
      <c r="M1576">
        <v>0.47554136163977101</v>
      </c>
      <c r="N1576">
        <v>50.844209474007997</v>
      </c>
      <c r="O1576">
        <v>1652945.25</v>
      </c>
      <c r="P1576">
        <v>0.47684283218528201</v>
      </c>
      <c r="Q1576">
        <v>24104</v>
      </c>
      <c r="R1576">
        <v>0.35258225102937701</v>
      </c>
      <c r="S1576">
        <v>50.198080816462003</v>
      </c>
      <c r="T1576">
        <v>1209974.54</v>
      </c>
      <c r="U1576">
        <v>0.34905432379508</v>
      </c>
      <c r="V1576">
        <v>563</v>
      </c>
      <c r="W1576">
        <v>0.79331529703528303</v>
      </c>
    </row>
    <row r="1577" spans="1:23" hidden="1" x14ac:dyDescent="0.25">
      <c r="A1577" t="s">
        <v>182</v>
      </c>
      <c r="B1577">
        <v>9</v>
      </c>
      <c r="C1577">
        <v>2025</v>
      </c>
      <c r="D1577" t="s">
        <v>134</v>
      </c>
      <c r="E1577" t="s">
        <v>135</v>
      </c>
      <c r="F1577">
        <v>-14082</v>
      </c>
      <c r="G1577">
        <v>-699493.88</v>
      </c>
      <c r="H1577">
        <v>44604</v>
      </c>
      <c r="I1577">
        <v>0.32622342194063902</v>
      </c>
      <c r="J1577">
        <v>2269667.62</v>
      </c>
      <c r="K1577">
        <v>0.32737767207486701</v>
      </c>
      <c r="L1577">
        <v>15261</v>
      </c>
      <c r="M1577">
        <v>0.223230904951847</v>
      </c>
      <c r="N1577">
        <v>51.443999082628899</v>
      </c>
      <c r="O1577">
        <v>785086.87</v>
      </c>
      <c r="P1577">
        <v>0.22648242378401701</v>
      </c>
      <c r="Q1577">
        <v>29343</v>
      </c>
      <c r="R1577">
        <v>0.429215938929431</v>
      </c>
      <c r="S1577">
        <v>50.594034352315703</v>
      </c>
      <c r="T1577">
        <v>1484580.75</v>
      </c>
      <c r="U1577">
        <v>0.42827292036280601</v>
      </c>
      <c r="V1577">
        <v>221</v>
      </c>
      <c r="W1577">
        <v>0.31140795851651398</v>
      </c>
    </row>
    <row r="1578" spans="1:23" hidden="1" x14ac:dyDescent="0.25">
      <c r="A1578" t="s">
        <v>182</v>
      </c>
      <c r="B1578">
        <v>9</v>
      </c>
      <c r="C1578">
        <v>2025</v>
      </c>
      <c r="D1578" t="s">
        <v>177</v>
      </c>
      <c r="E1578" t="s">
        <v>178</v>
      </c>
      <c r="F1578">
        <v>122</v>
      </c>
      <c r="G1578">
        <v>6179.74</v>
      </c>
      <c r="H1578">
        <v>122</v>
      </c>
      <c r="I1578">
        <v>8.9228000799834002E-4</v>
      </c>
      <c r="J1578">
        <v>6179.74</v>
      </c>
      <c r="K1578">
        <v>8.9136791546065098E-4</v>
      </c>
      <c r="L1578">
        <v>122</v>
      </c>
      <c r="M1578">
        <v>1.78456001599668E-3</v>
      </c>
      <c r="N1578">
        <v>50.653606557377003</v>
      </c>
      <c r="O1578">
        <v>6179.74</v>
      </c>
      <c r="P1578">
        <v>1.7827358309470201E-3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2</v>
      </c>
      <c r="W1578">
        <v>2.8181715702852001E-3</v>
      </c>
    </row>
    <row r="1579" spans="1:23" hidden="1" x14ac:dyDescent="0.25">
      <c r="A1579" t="s">
        <v>182</v>
      </c>
      <c r="B1579">
        <v>9</v>
      </c>
      <c r="C1579">
        <v>2025</v>
      </c>
      <c r="D1579" t="s">
        <v>136</v>
      </c>
      <c r="E1579" t="s">
        <v>137</v>
      </c>
      <c r="F1579">
        <v>46762</v>
      </c>
      <c r="G1579">
        <v>2383233.44</v>
      </c>
      <c r="H1579">
        <v>83866</v>
      </c>
      <c r="I1579">
        <v>0.61337668156384195</v>
      </c>
      <c r="J1579">
        <v>4271017.68</v>
      </c>
      <c r="K1579">
        <v>0.61605312299824699</v>
      </c>
      <c r="L1579">
        <v>65314</v>
      </c>
      <c r="M1579">
        <v>0.95538322036727097</v>
      </c>
      <c r="N1579">
        <v>50.9404654438558</v>
      </c>
      <c r="O1579">
        <v>3327125.56</v>
      </c>
      <c r="P1579">
        <v>0.95981156972164805</v>
      </c>
      <c r="Q1579">
        <v>18552</v>
      </c>
      <c r="R1579">
        <v>0.27137014276041299</v>
      </c>
      <c r="S1579">
        <v>50.878186718413097</v>
      </c>
      <c r="T1579">
        <v>943892.12</v>
      </c>
      <c r="U1579">
        <v>0.272294676284763</v>
      </c>
      <c r="V1579">
        <v>255</v>
      </c>
      <c r="W1579">
        <v>0.35931687521136302</v>
      </c>
    </row>
    <row r="1580" spans="1:23" hidden="1" x14ac:dyDescent="0.25">
      <c r="A1580" t="s">
        <v>182</v>
      </c>
      <c r="B1580">
        <v>9</v>
      </c>
      <c r="C1580">
        <v>2025</v>
      </c>
      <c r="D1580" t="s">
        <v>138</v>
      </c>
      <c r="E1580" t="s">
        <v>139</v>
      </c>
      <c r="F1580">
        <v>26020</v>
      </c>
      <c r="G1580">
        <v>1305010.83</v>
      </c>
      <c r="H1580">
        <v>55630</v>
      </c>
      <c r="I1580">
        <v>0.406865056106128</v>
      </c>
      <c r="J1580">
        <v>2811512.73</v>
      </c>
      <c r="K1580">
        <v>0.40553360520526499</v>
      </c>
      <c r="L1580">
        <v>40825</v>
      </c>
      <c r="M1580">
        <v>0.59716936600872506</v>
      </c>
      <c r="N1580">
        <v>50.416700061237002</v>
      </c>
      <c r="O1580">
        <v>2058261.78</v>
      </c>
      <c r="P1580">
        <v>0.59376883569127303</v>
      </c>
      <c r="Q1580">
        <v>14805</v>
      </c>
      <c r="R1580">
        <v>0.216560746203531</v>
      </c>
      <c r="S1580">
        <v>50.878145896656498</v>
      </c>
      <c r="T1580">
        <v>753250.95</v>
      </c>
      <c r="U1580">
        <v>0.21729837472468799</v>
      </c>
      <c r="V1580">
        <v>186</v>
      </c>
      <c r="W1580">
        <v>0.26208995603652402</v>
      </c>
    </row>
    <row r="1581" spans="1:23" hidden="1" x14ac:dyDescent="0.25">
      <c r="A1581" t="s">
        <v>182</v>
      </c>
      <c r="B1581">
        <v>9</v>
      </c>
      <c r="C1581">
        <v>2025</v>
      </c>
      <c r="D1581" t="s">
        <v>140</v>
      </c>
      <c r="E1581" t="s">
        <v>141</v>
      </c>
      <c r="F1581">
        <v>5429</v>
      </c>
      <c r="G1581">
        <v>272866.42</v>
      </c>
      <c r="H1581">
        <v>6029</v>
      </c>
      <c r="I1581">
        <v>4.4094722690344201E-2</v>
      </c>
      <c r="J1581">
        <v>303590.42</v>
      </c>
      <c r="K1581">
        <v>4.3789991137041899E-2</v>
      </c>
      <c r="L1581">
        <v>5729</v>
      </c>
      <c r="M1581">
        <v>8.3801183046270294E-2</v>
      </c>
      <c r="N1581">
        <v>50.310424157793697</v>
      </c>
      <c r="O1581">
        <v>288228.42</v>
      </c>
      <c r="P1581">
        <v>8.3148341488678501E-2</v>
      </c>
      <c r="Q1581">
        <v>300</v>
      </c>
      <c r="R1581">
        <v>4.3882623344180596E-3</v>
      </c>
      <c r="S1581">
        <v>51.206666666666699</v>
      </c>
      <c r="T1581">
        <v>15362</v>
      </c>
      <c r="U1581">
        <v>4.4316407865408599E-3</v>
      </c>
      <c r="V1581">
        <v>20</v>
      </c>
      <c r="W1581">
        <v>2.8181715702851998E-2</v>
      </c>
    </row>
    <row r="1582" spans="1:23" hidden="1" x14ac:dyDescent="0.25">
      <c r="A1582" t="s">
        <v>182</v>
      </c>
      <c r="B1582">
        <v>9</v>
      </c>
      <c r="C1582">
        <v>2025</v>
      </c>
      <c r="D1582" t="s">
        <v>142</v>
      </c>
      <c r="E1582" t="s">
        <v>143</v>
      </c>
      <c r="F1582">
        <v>511057</v>
      </c>
      <c r="G1582">
        <v>26073604.100000001</v>
      </c>
      <c r="H1582">
        <v>791477</v>
      </c>
      <c r="I1582">
        <v>5.7886811794303403</v>
      </c>
      <c r="J1582">
        <v>40398878.859999999</v>
      </c>
      <c r="K1582">
        <v>5.8271487856100102</v>
      </c>
      <c r="L1582">
        <v>651267</v>
      </c>
      <c r="M1582">
        <v>9.5264348191648303</v>
      </c>
      <c r="N1582">
        <v>51.033203709077902</v>
      </c>
      <c r="O1582">
        <v>33236241.48</v>
      </c>
      <c r="P1582">
        <v>9.5880147987461495</v>
      </c>
      <c r="Q1582">
        <v>140210</v>
      </c>
      <c r="R1582">
        <v>2.0509275396958602</v>
      </c>
      <c r="S1582">
        <v>51.085067969474402</v>
      </c>
      <c r="T1582">
        <v>7162637.3799999999</v>
      </c>
      <c r="U1582">
        <v>2.06628277258236</v>
      </c>
      <c r="V1582">
        <v>7509</v>
      </c>
      <c r="W1582">
        <v>10.580825160635801</v>
      </c>
    </row>
    <row r="1583" spans="1:23" hidden="1" x14ac:dyDescent="0.25">
      <c r="A1583" t="s">
        <v>182</v>
      </c>
      <c r="B1583">
        <v>9</v>
      </c>
      <c r="C1583">
        <v>2025</v>
      </c>
      <c r="D1583" t="s">
        <v>144</v>
      </c>
      <c r="E1583" t="s">
        <v>145</v>
      </c>
      <c r="F1583">
        <v>-551203</v>
      </c>
      <c r="G1583">
        <v>-27842836.120000001</v>
      </c>
      <c r="H1583">
        <v>1084507</v>
      </c>
      <c r="I1583">
        <v>7.9318353658545497</v>
      </c>
      <c r="J1583">
        <v>54423503.32</v>
      </c>
      <c r="K1583">
        <v>7.8500656510491096</v>
      </c>
      <c r="L1583">
        <v>266652</v>
      </c>
      <c r="M1583">
        <v>3.90046309332415</v>
      </c>
      <c r="N1583">
        <v>49.8414922820755</v>
      </c>
      <c r="O1583">
        <v>13290333.6</v>
      </c>
      <c r="P1583">
        <v>3.8340049765781501</v>
      </c>
      <c r="Q1583">
        <v>817855</v>
      </c>
      <c r="R1583">
        <v>11.963207638384899</v>
      </c>
      <c r="S1583">
        <v>50.293963746629899</v>
      </c>
      <c r="T1583">
        <v>41133169.719999999</v>
      </c>
      <c r="U1583">
        <v>11.866126325404201</v>
      </c>
      <c r="V1583">
        <v>2672</v>
      </c>
      <c r="W1583">
        <v>3.7650772179010299</v>
      </c>
    </row>
    <row r="1584" spans="1:23" hidden="1" x14ac:dyDescent="0.25">
      <c r="A1584" t="s">
        <v>182</v>
      </c>
      <c r="B1584">
        <v>9</v>
      </c>
      <c r="C1584">
        <v>2025</v>
      </c>
      <c r="D1584" t="s">
        <v>146</v>
      </c>
      <c r="E1584" t="s">
        <v>147</v>
      </c>
      <c r="F1584">
        <v>55519</v>
      </c>
      <c r="G1584">
        <v>2834303.4</v>
      </c>
      <c r="H1584">
        <v>124971</v>
      </c>
      <c r="I1584">
        <v>0.91400922032426601</v>
      </c>
      <c r="J1584">
        <v>6369828.7599999998</v>
      </c>
      <c r="K1584">
        <v>0.91878638642443</v>
      </c>
      <c r="L1584">
        <v>90245</v>
      </c>
      <c r="M1584">
        <v>1.3200624478985299</v>
      </c>
      <c r="N1584">
        <v>50.995247160507503</v>
      </c>
      <c r="O1584">
        <v>4602066.08</v>
      </c>
      <c r="P1584">
        <v>1.32760732606904</v>
      </c>
      <c r="Q1584">
        <v>34726</v>
      </c>
      <c r="R1584">
        <v>0.50795599275000503</v>
      </c>
      <c r="S1584">
        <v>50.906026608304998</v>
      </c>
      <c r="T1584">
        <v>1767762.68</v>
      </c>
      <c r="U1584">
        <v>0.50996544679161504</v>
      </c>
      <c r="V1584">
        <v>1528</v>
      </c>
      <c r="W1584">
        <v>2.1530830796978901</v>
      </c>
    </row>
    <row r="1585" spans="1:23" x14ac:dyDescent="0.25">
      <c r="A1585" t="s">
        <v>182</v>
      </c>
      <c r="B1585">
        <v>9</v>
      </c>
      <c r="C1585">
        <v>2025</v>
      </c>
      <c r="D1585" t="s">
        <v>148</v>
      </c>
      <c r="E1585" t="s">
        <v>148</v>
      </c>
      <c r="F1585">
        <v>0</v>
      </c>
      <c r="G1585">
        <v>-1.0000013984608799E-2</v>
      </c>
      <c r="H1585">
        <v>13672838</v>
      </c>
      <c r="I1585">
        <v>0</v>
      </c>
      <c r="J1585">
        <v>693287237.83000004</v>
      </c>
      <c r="K1585">
        <v>0</v>
      </c>
      <c r="L1585">
        <v>6836419</v>
      </c>
      <c r="M1585">
        <v>100</v>
      </c>
      <c r="N1585">
        <v>50.7662738828123</v>
      </c>
      <c r="O1585">
        <v>346643618.91000003</v>
      </c>
      <c r="P1585">
        <v>100</v>
      </c>
      <c r="Q1585">
        <v>6836419</v>
      </c>
      <c r="R1585">
        <v>100</v>
      </c>
      <c r="S1585">
        <v>50.551843317972299</v>
      </c>
      <c r="T1585">
        <v>346643618.92000002</v>
      </c>
      <c r="U1585">
        <v>100</v>
      </c>
      <c r="V1585">
        <v>70968</v>
      </c>
      <c r="W1585">
        <v>100</v>
      </c>
    </row>
    <row r="1586" spans="1:23" hidden="1" x14ac:dyDescent="0.25">
      <c r="A1586" t="s">
        <v>182</v>
      </c>
      <c r="B1586">
        <v>9</v>
      </c>
      <c r="C1586">
        <v>2025</v>
      </c>
      <c r="D1586" t="s">
        <v>149</v>
      </c>
      <c r="E1586" t="s">
        <v>150</v>
      </c>
      <c r="F1586">
        <v>251683</v>
      </c>
      <c r="G1586">
        <v>12771092.039999999</v>
      </c>
      <c r="H1586">
        <v>922325</v>
      </c>
      <c r="I1586">
        <v>6.7456734293202301</v>
      </c>
      <c r="J1586">
        <v>46728940.759999998</v>
      </c>
      <c r="K1586">
        <v>6.74019918587602</v>
      </c>
      <c r="L1586">
        <v>587004</v>
      </c>
      <c r="M1586">
        <v>8.5864251445091408</v>
      </c>
      <c r="N1586">
        <v>50.681113586960201</v>
      </c>
      <c r="O1586">
        <v>29750016.399999999</v>
      </c>
      <c r="P1586">
        <v>8.5823060852950803</v>
      </c>
      <c r="Q1586">
        <v>335321</v>
      </c>
      <c r="R1586">
        <v>4.9049217141313299</v>
      </c>
      <c r="S1586">
        <v>50.634837543726803</v>
      </c>
      <c r="T1586">
        <v>16978924.359999999</v>
      </c>
      <c r="U1586">
        <v>4.8980922865101002</v>
      </c>
      <c r="V1586">
        <v>6090</v>
      </c>
      <c r="W1586">
        <v>8.5813324315184296</v>
      </c>
    </row>
    <row r="1587" spans="1:23" hidden="1" x14ac:dyDescent="0.25">
      <c r="A1587" t="s">
        <v>182</v>
      </c>
      <c r="B1587">
        <v>9</v>
      </c>
      <c r="C1587">
        <v>2025</v>
      </c>
      <c r="D1587" t="s">
        <v>183</v>
      </c>
      <c r="E1587" t="s">
        <v>184</v>
      </c>
      <c r="F1587">
        <v>-5130</v>
      </c>
      <c r="G1587">
        <v>-228516.63</v>
      </c>
      <c r="H1587">
        <v>64130</v>
      </c>
      <c r="I1587">
        <v>0.46903210584371702</v>
      </c>
      <c r="J1587">
        <v>3237075.95</v>
      </c>
      <c r="K1587">
        <v>0.46691699678939702</v>
      </c>
      <c r="L1587">
        <v>29500</v>
      </c>
      <c r="M1587">
        <v>0.431512462884443</v>
      </c>
      <c r="N1587">
        <v>50.992530847457601</v>
      </c>
      <c r="O1587">
        <v>1504279.66</v>
      </c>
      <c r="P1587">
        <v>0.433955676071614</v>
      </c>
      <c r="Q1587">
        <v>34630</v>
      </c>
      <c r="R1587">
        <v>0.50655174880299203</v>
      </c>
      <c r="S1587">
        <v>50.037432572913701</v>
      </c>
      <c r="T1587">
        <v>1732796.29</v>
      </c>
      <c r="U1587">
        <v>0.49987831750622902</v>
      </c>
      <c r="V1587">
        <v>101</v>
      </c>
      <c r="W1587">
        <v>0.14231766429940301</v>
      </c>
    </row>
    <row r="1588" spans="1:23" hidden="1" x14ac:dyDescent="0.25">
      <c r="A1588" t="s">
        <v>182</v>
      </c>
      <c r="B1588">
        <v>9</v>
      </c>
      <c r="C1588">
        <v>2025</v>
      </c>
      <c r="D1588" t="s">
        <v>151</v>
      </c>
      <c r="E1588" t="s">
        <v>152</v>
      </c>
      <c r="F1588">
        <v>-36353</v>
      </c>
      <c r="G1588">
        <v>-1799530.51</v>
      </c>
      <c r="H1588">
        <v>1395723</v>
      </c>
      <c r="I1588">
        <v>10.207997783634999</v>
      </c>
      <c r="J1588">
        <v>70717536.189999998</v>
      </c>
      <c r="K1588">
        <v>10.2003228000197</v>
      </c>
      <c r="L1588">
        <v>679685</v>
      </c>
      <c r="M1588">
        <v>9.9421202825631401</v>
      </c>
      <c r="N1588">
        <v>50.698489506168301</v>
      </c>
      <c r="O1588">
        <v>34459002.840000004</v>
      </c>
      <c r="P1588">
        <v>9.9407578735631308</v>
      </c>
      <c r="Q1588">
        <v>716038</v>
      </c>
      <c r="R1588">
        <v>10.4738752847068</v>
      </c>
      <c r="S1588">
        <v>50.637722229825798</v>
      </c>
      <c r="T1588">
        <v>36258533.350000001</v>
      </c>
      <c r="U1588">
        <v>10.4598877264687</v>
      </c>
      <c r="V1588">
        <v>5439</v>
      </c>
      <c r="W1588">
        <v>7.6640175853906003</v>
      </c>
    </row>
    <row r="1589" spans="1:23" hidden="1" x14ac:dyDescent="0.25">
      <c r="A1589" t="s">
        <v>182</v>
      </c>
      <c r="B1589">
        <v>9</v>
      </c>
      <c r="C1589">
        <v>2025</v>
      </c>
      <c r="D1589" t="s">
        <v>153</v>
      </c>
      <c r="E1589" t="s">
        <v>154</v>
      </c>
      <c r="F1589">
        <v>5363</v>
      </c>
      <c r="G1589">
        <v>272760.21000000002</v>
      </c>
      <c r="H1589">
        <v>27247</v>
      </c>
      <c r="I1589">
        <v>0.199278306376482</v>
      </c>
      <c r="J1589">
        <v>1376691.39</v>
      </c>
      <c r="K1589">
        <v>0.19857446017743899</v>
      </c>
      <c r="L1589">
        <v>16305</v>
      </c>
      <c r="M1589">
        <v>0.23850205787562201</v>
      </c>
      <c r="N1589">
        <v>50.581159153633898</v>
      </c>
      <c r="O1589">
        <v>824725.8</v>
      </c>
      <c r="P1589">
        <v>0.23791749076279001</v>
      </c>
      <c r="Q1589">
        <v>10942</v>
      </c>
      <c r="R1589">
        <v>0.16005455487734099</v>
      </c>
      <c r="S1589">
        <v>50.444670992505898</v>
      </c>
      <c r="T1589">
        <v>551965.59</v>
      </c>
      <c r="U1589">
        <v>0.15923142959322301</v>
      </c>
      <c r="V1589">
        <v>573</v>
      </c>
      <c r="W1589">
        <v>0.80740615488670897</v>
      </c>
    </row>
    <row r="1590" spans="1:23" hidden="1" x14ac:dyDescent="0.25">
      <c r="A1590" t="s">
        <v>182</v>
      </c>
      <c r="B1590">
        <v>9</v>
      </c>
      <c r="C1590">
        <v>2025</v>
      </c>
      <c r="D1590" t="s">
        <v>155</v>
      </c>
      <c r="E1590" t="s">
        <v>156</v>
      </c>
      <c r="F1590">
        <v>17844</v>
      </c>
      <c r="G1590">
        <v>881119.87</v>
      </c>
      <c r="H1590">
        <v>25480</v>
      </c>
      <c r="I1590">
        <v>0.18635487380162</v>
      </c>
      <c r="J1590">
        <v>1282206.21</v>
      </c>
      <c r="K1590">
        <v>0.18494588390424199</v>
      </c>
      <c r="L1590">
        <v>21662</v>
      </c>
      <c r="M1590">
        <v>0.316861795627214</v>
      </c>
      <c r="N1590">
        <v>49.9336644815806</v>
      </c>
      <c r="O1590">
        <v>1081663.04</v>
      </c>
      <c r="P1590">
        <v>0.31203893018461598</v>
      </c>
      <c r="Q1590">
        <v>3818</v>
      </c>
      <c r="R1590">
        <v>5.5847951976027203E-2</v>
      </c>
      <c r="S1590">
        <v>52.525712414876899</v>
      </c>
      <c r="T1590">
        <v>200543.17</v>
      </c>
      <c r="U1590">
        <v>5.7852837627535299E-2</v>
      </c>
      <c r="V1590">
        <v>85</v>
      </c>
      <c r="W1590">
        <v>0.11977229173712101</v>
      </c>
    </row>
    <row r="1591" spans="1:23" hidden="1" x14ac:dyDescent="0.25">
      <c r="A1591" t="s">
        <v>182</v>
      </c>
      <c r="B1591">
        <v>10</v>
      </c>
      <c r="C1591">
        <v>2025</v>
      </c>
      <c r="D1591" t="s">
        <v>88</v>
      </c>
      <c r="E1591" t="s">
        <v>89</v>
      </c>
      <c r="F1591">
        <v>58534</v>
      </c>
      <c r="G1591">
        <v>3431194.4999999902</v>
      </c>
      <c r="H1591">
        <v>592518</v>
      </c>
      <c r="I1591">
        <v>2.1153838464271599</v>
      </c>
      <c r="J1591">
        <v>34036523.619999997</v>
      </c>
      <c r="K1591">
        <v>2.1157201174593201</v>
      </c>
      <c r="L1591">
        <v>325526</v>
      </c>
      <c r="M1591">
        <v>2.32435957048409</v>
      </c>
      <c r="N1591">
        <v>57.5495016066305</v>
      </c>
      <c r="O1591">
        <v>18733859.059999999</v>
      </c>
      <c r="P1591">
        <v>2.32900415620928</v>
      </c>
      <c r="Q1591">
        <v>266992</v>
      </c>
      <c r="R1591">
        <v>1.9064081223702201</v>
      </c>
      <c r="S1591">
        <v>57.3150677173848</v>
      </c>
      <c r="T1591">
        <v>15302664.560000001</v>
      </c>
      <c r="U1591">
        <v>1.9024360786669501</v>
      </c>
      <c r="V1591">
        <v>2906</v>
      </c>
      <c r="W1591">
        <v>2.0774652921748298</v>
      </c>
    </row>
    <row r="1592" spans="1:23" hidden="1" x14ac:dyDescent="0.25">
      <c r="A1592" t="s">
        <v>182</v>
      </c>
      <c r="B1592">
        <v>10</v>
      </c>
      <c r="C1592">
        <v>2025</v>
      </c>
      <c r="D1592" t="s">
        <v>90</v>
      </c>
      <c r="E1592" t="s">
        <v>91</v>
      </c>
      <c r="F1592">
        <v>-13212</v>
      </c>
      <c r="G1592">
        <v>-572668.32999999798</v>
      </c>
      <c r="H1592">
        <v>1193176</v>
      </c>
      <c r="I1592">
        <v>4.2598287922806897</v>
      </c>
      <c r="J1592">
        <v>68495147.609999999</v>
      </c>
      <c r="K1592">
        <v>4.2576781155661099</v>
      </c>
      <c r="L1592">
        <v>589982</v>
      </c>
      <c r="M1592">
        <v>4.2126598431871596</v>
      </c>
      <c r="N1592">
        <v>57.563179283435801</v>
      </c>
      <c r="O1592">
        <v>33961239.640000001</v>
      </c>
      <c r="P1592">
        <v>4.2220808867118302</v>
      </c>
      <c r="Q1592">
        <v>603194</v>
      </c>
      <c r="R1592">
        <v>4.30699774137421</v>
      </c>
      <c r="S1592">
        <v>57.251743170522303</v>
      </c>
      <c r="T1592">
        <v>34533907.969999999</v>
      </c>
      <c r="U1592">
        <v>4.2932753444274701</v>
      </c>
      <c r="V1592">
        <v>10898</v>
      </c>
      <c r="W1592">
        <v>7.79085228978711</v>
      </c>
    </row>
    <row r="1593" spans="1:23" hidden="1" x14ac:dyDescent="0.25">
      <c r="A1593" t="s">
        <v>182</v>
      </c>
      <c r="B1593">
        <v>10</v>
      </c>
      <c r="C1593">
        <v>2025</v>
      </c>
      <c r="D1593" t="s">
        <v>92</v>
      </c>
      <c r="E1593" t="s">
        <v>93</v>
      </c>
      <c r="F1593">
        <v>-133480</v>
      </c>
      <c r="G1593">
        <v>-7350733.1399999997</v>
      </c>
      <c r="H1593">
        <v>242634</v>
      </c>
      <c r="I1593">
        <v>0.86624211280333496</v>
      </c>
      <c r="J1593">
        <v>13695906.140000001</v>
      </c>
      <c r="K1593">
        <v>0.85134147278795103</v>
      </c>
      <c r="L1593">
        <v>54577</v>
      </c>
      <c r="M1593">
        <v>0.38969720476493502</v>
      </c>
      <c r="N1593">
        <v>58.130467046558103</v>
      </c>
      <c r="O1593">
        <v>3172586.5</v>
      </c>
      <c r="P1593">
        <v>0.39441778230360203</v>
      </c>
      <c r="Q1593">
        <v>188057</v>
      </c>
      <c r="R1593">
        <v>1.3427870208417401</v>
      </c>
      <c r="S1593">
        <v>55.958138436750602</v>
      </c>
      <c r="T1593">
        <v>10523319.640000001</v>
      </c>
      <c r="U1593">
        <v>1.3082651633631901</v>
      </c>
      <c r="V1593">
        <v>430</v>
      </c>
      <c r="W1593">
        <v>0.307401953074734</v>
      </c>
    </row>
    <row r="1594" spans="1:23" hidden="1" x14ac:dyDescent="0.25">
      <c r="A1594" t="s">
        <v>182</v>
      </c>
      <c r="B1594">
        <v>10</v>
      </c>
      <c r="C1594">
        <v>2025</v>
      </c>
      <c r="D1594" t="s">
        <v>94</v>
      </c>
      <c r="E1594" t="s">
        <v>95</v>
      </c>
      <c r="F1594">
        <v>-77608</v>
      </c>
      <c r="G1594">
        <v>-5510680.7699999996</v>
      </c>
      <c r="H1594">
        <v>1591572</v>
      </c>
      <c r="I1594">
        <v>5.68216611010258</v>
      </c>
      <c r="J1594">
        <v>92193924.150000006</v>
      </c>
      <c r="K1594">
        <v>5.7308008952200398</v>
      </c>
      <c r="L1594">
        <v>756982</v>
      </c>
      <c r="M1594">
        <v>5.4050931611735704</v>
      </c>
      <c r="N1594">
        <v>57.255815448716099</v>
      </c>
      <c r="O1594">
        <v>43341621.689999998</v>
      </c>
      <c r="P1594">
        <v>5.3882553898566599</v>
      </c>
      <c r="Q1594">
        <v>834590</v>
      </c>
      <c r="R1594">
        <v>5.9592390590315896</v>
      </c>
      <c r="S1594">
        <v>58.534492936651503</v>
      </c>
      <c r="T1594">
        <v>48852302.460000001</v>
      </c>
      <c r="U1594">
        <v>6.0733464006515501</v>
      </c>
      <c r="V1594">
        <v>5286</v>
      </c>
      <c r="W1594">
        <v>3.77889935803034</v>
      </c>
    </row>
    <row r="1595" spans="1:23" hidden="1" x14ac:dyDescent="0.25">
      <c r="A1595" t="s">
        <v>182</v>
      </c>
      <c r="B1595">
        <v>10</v>
      </c>
      <c r="C1595">
        <v>2025</v>
      </c>
      <c r="D1595" t="s">
        <v>96</v>
      </c>
      <c r="E1595" t="s">
        <v>97</v>
      </c>
      <c r="F1595">
        <v>-8742</v>
      </c>
      <c r="G1595">
        <v>-623780.43999999994</v>
      </c>
      <c r="H1595">
        <v>222600</v>
      </c>
      <c r="I1595">
        <v>0.79471753468195905</v>
      </c>
      <c r="J1595">
        <v>12730326.74</v>
      </c>
      <c r="K1595">
        <v>0.79132077900640696</v>
      </c>
      <c r="L1595">
        <v>106929</v>
      </c>
      <c r="M1595">
        <v>0.76350719915550003</v>
      </c>
      <c r="N1595">
        <v>56.610210045918301</v>
      </c>
      <c r="O1595">
        <v>6053273.1500000004</v>
      </c>
      <c r="P1595">
        <v>0.75254640700921405</v>
      </c>
      <c r="Q1595">
        <v>115671</v>
      </c>
      <c r="R1595">
        <v>0.82592787020841696</v>
      </c>
      <c r="S1595">
        <v>57.724525507689897</v>
      </c>
      <c r="T1595">
        <v>6677053.5899999999</v>
      </c>
      <c r="U1595">
        <v>0.83009515101131204</v>
      </c>
      <c r="V1595">
        <v>1370</v>
      </c>
      <c r="W1595">
        <v>0.97939692026136305</v>
      </c>
    </row>
    <row r="1596" spans="1:23" hidden="1" x14ac:dyDescent="0.25">
      <c r="A1596" t="s">
        <v>182</v>
      </c>
      <c r="B1596">
        <v>10</v>
      </c>
      <c r="C1596">
        <v>2025</v>
      </c>
      <c r="D1596" t="s">
        <v>98</v>
      </c>
      <c r="E1596" t="s">
        <v>99</v>
      </c>
      <c r="F1596">
        <v>5150</v>
      </c>
      <c r="G1596">
        <v>301132.64</v>
      </c>
      <c r="H1596">
        <v>6050</v>
      </c>
      <c r="I1596">
        <v>2.1599465789873502E-2</v>
      </c>
      <c r="J1596">
        <v>353001.84</v>
      </c>
      <c r="K1596">
        <v>2.1942696108638499E-2</v>
      </c>
      <c r="L1596">
        <v>5600</v>
      </c>
      <c r="M1596">
        <v>3.9985787908526201E-2</v>
      </c>
      <c r="N1596">
        <v>58.404864285714297</v>
      </c>
      <c r="O1596">
        <v>327067.24</v>
      </c>
      <c r="P1596">
        <v>4.0661187792660598E-2</v>
      </c>
      <c r="Q1596">
        <v>450</v>
      </c>
      <c r="R1596">
        <v>3.21314367122086E-3</v>
      </c>
      <c r="S1596">
        <v>57.632444444444403</v>
      </c>
      <c r="T1596">
        <v>25934.6</v>
      </c>
      <c r="U1596">
        <v>3.22420442089308E-3</v>
      </c>
      <c r="V1596">
        <v>20</v>
      </c>
      <c r="W1596">
        <v>1.429776525929E-2</v>
      </c>
    </row>
    <row r="1597" spans="1:23" hidden="1" x14ac:dyDescent="0.25">
      <c r="A1597" t="s">
        <v>182</v>
      </c>
      <c r="B1597">
        <v>10</v>
      </c>
      <c r="C1597">
        <v>2025</v>
      </c>
      <c r="D1597" t="s">
        <v>100</v>
      </c>
      <c r="E1597" t="s">
        <v>101</v>
      </c>
      <c r="F1597">
        <v>-28136</v>
      </c>
      <c r="G1597">
        <v>-1562343.32</v>
      </c>
      <c r="H1597">
        <v>43276</v>
      </c>
      <c r="I1597">
        <v>0.15450222835083799</v>
      </c>
      <c r="J1597">
        <v>2449961.2000000002</v>
      </c>
      <c r="K1597">
        <v>0.15229029426462901</v>
      </c>
      <c r="L1597">
        <v>7570</v>
      </c>
      <c r="M1597">
        <v>5.4052216869204202E-2</v>
      </c>
      <c r="N1597">
        <v>58.627336856010601</v>
      </c>
      <c r="O1597">
        <v>443808.94</v>
      </c>
      <c r="P1597">
        <v>5.5174583224543203E-2</v>
      </c>
      <c r="Q1597">
        <v>35706</v>
      </c>
      <c r="R1597">
        <v>0.25495223983247101</v>
      </c>
      <c r="S1597">
        <v>56.185298269198498</v>
      </c>
      <c r="T1597">
        <v>2006152.26</v>
      </c>
      <c r="U1597">
        <v>0.24940600532403201</v>
      </c>
      <c r="V1597">
        <v>535</v>
      </c>
      <c r="W1597">
        <v>0.38246522068600702</v>
      </c>
    </row>
    <row r="1598" spans="1:23" hidden="1" x14ac:dyDescent="0.25">
      <c r="A1598" t="s">
        <v>182</v>
      </c>
      <c r="B1598">
        <v>10</v>
      </c>
      <c r="C1598">
        <v>2025</v>
      </c>
      <c r="D1598" t="s">
        <v>159</v>
      </c>
      <c r="E1598" t="s">
        <v>160</v>
      </c>
      <c r="F1598">
        <v>21514</v>
      </c>
      <c r="G1598">
        <v>1294143.3700000001</v>
      </c>
      <c r="H1598">
        <v>23514</v>
      </c>
      <c r="I1598">
        <v>8.3948733650096904E-2</v>
      </c>
      <c r="J1598">
        <v>1407973.37</v>
      </c>
      <c r="K1598">
        <v>8.7520030453568404E-2</v>
      </c>
      <c r="L1598">
        <v>22514</v>
      </c>
      <c r="M1598">
        <v>0.16075714803081401</v>
      </c>
      <c r="N1598">
        <v>60.0096992982144</v>
      </c>
      <c r="O1598">
        <v>1351058.37</v>
      </c>
      <c r="P1598">
        <v>0.16796435528491299</v>
      </c>
      <c r="Q1598">
        <v>1000</v>
      </c>
      <c r="R1598">
        <v>7.14031926937968E-3</v>
      </c>
      <c r="S1598">
        <v>56.914999999999999</v>
      </c>
      <c r="T1598">
        <v>56915</v>
      </c>
      <c r="U1598">
        <v>7.0757056062221704E-3</v>
      </c>
      <c r="V1598">
        <v>81</v>
      </c>
      <c r="W1598">
        <v>5.7905949300124403E-2</v>
      </c>
    </row>
    <row r="1599" spans="1:23" hidden="1" x14ac:dyDescent="0.25">
      <c r="A1599" t="s">
        <v>182</v>
      </c>
      <c r="B1599">
        <v>10</v>
      </c>
      <c r="C1599">
        <v>2025</v>
      </c>
      <c r="D1599" t="s">
        <v>102</v>
      </c>
      <c r="E1599" t="s">
        <v>103</v>
      </c>
      <c r="F1599">
        <v>371296</v>
      </c>
      <c r="G1599">
        <v>21770923.789999999</v>
      </c>
      <c r="H1599">
        <v>3208034</v>
      </c>
      <c r="I1599">
        <v>11.4531934935126</v>
      </c>
      <c r="J1599">
        <v>184636661.15000001</v>
      </c>
      <c r="K1599">
        <v>11.4770680689033</v>
      </c>
      <c r="L1599">
        <v>1789665</v>
      </c>
      <c r="M1599">
        <v>12.7787794852344</v>
      </c>
      <c r="N1599">
        <v>57.666542324960197</v>
      </c>
      <c r="O1599">
        <v>103203792.47</v>
      </c>
      <c r="P1599">
        <v>12.8303549647389</v>
      </c>
      <c r="Q1599">
        <v>1418369</v>
      </c>
      <c r="R1599">
        <v>10.1276075017908</v>
      </c>
      <c r="S1599">
        <v>57.413034746247298</v>
      </c>
      <c r="T1599">
        <v>81432868.680000007</v>
      </c>
      <c r="U1599">
        <v>10.1237811727985</v>
      </c>
      <c r="V1599">
        <v>19188</v>
      </c>
      <c r="W1599">
        <v>13.7172759897628</v>
      </c>
    </row>
    <row r="1600" spans="1:23" hidden="1" x14ac:dyDescent="0.25">
      <c r="A1600" t="s">
        <v>182</v>
      </c>
      <c r="B1600">
        <v>10</v>
      </c>
      <c r="C1600">
        <v>2025</v>
      </c>
      <c r="D1600" t="s">
        <v>161</v>
      </c>
      <c r="E1600" t="s">
        <v>162</v>
      </c>
      <c r="F1600">
        <v>-13327</v>
      </c>
      <c r="G1600">
        <v>-750692.43</v>
      </c>
      <c r="H1600">
        <v>35175</v>
      </c>
      <c r="I1600">
        <v>0.12558036515021501</v>
      </c>
      <c r="J1600">
        <v>1999881.13</v>
      </c>
      <c r="K1600">
        <v>0.12431318740149</v>
      </c>
      <c r="L1600">
        <v>10924</v>
      </c>
      <c r="M1600">
        <v>7.8000847698703704E-2</v>
      </c>
      <c r="N1600">
        <v>57.176341083852101</v>
      </c>
      <c r="O1600">
        <v>624594.35</v>
      </c>
      <c r="P1600">
        <v>7.7649929597304795E-2</v>
      </c>
      <c r="Q1600">
        <v>24251</v>
      </c>
      <c r="R1600">
        <v>0.17315988260172699</v>
      </c>
      <c r="S1600">
        <v>56.710518329141102</v>
      </c>
      <c r="T1600">
        <v>1375286.78</v>
      </c>
      <c r="U1600">
        <v>0.170976445214956</v>
      </c>
      <c r="V1600">
        <v>115</v>
      </c>
      <c r="W1600">
        <v>8.2212150240917395E-2</v>
      </c>
    </row>
    <row r="1601" spans="1:23" hidden="1" x14ac:dyDescent="0.25">
      <c r="A1601" t="s">
        <v>182</v>
      </c>
      <c r="B1601">
        <v>10</v>
      </c>
      <c r="C1601">
        <v>2025</v>
      </c>
      <c r="D1601" t="s">
        <v>104</v>
      </c>
      <c r="E1601" t="s">
        <v>105</v>
      </c>
      <c r="F1601">
        <v>101239</v>
      </c>
      <c r="G1601">
        <v>5759546.6799999997</v>
      </c>
      <c r="H1601">
        <v>768609</v>
      </c>
      <c r="I1601">
        <v>2.7440568266593202</v>
      </c>
      <c r="J1601">
        <v>44325802.740000002</v>
      </c>
      <c r="K1601">
        <v>2.7553046729027701</v>
      </c>
      <c r="L1601">
        <v>434924</v>
      </c>
      <c r="M1601">
        <v>3.10549621791569</v>
      </c>
      <c r="N1601">
        <v>57.579427003338502</v>
      </c>
      <c r="O1601">
        <v>25042674.710000001</v>
      </c>
      <c r="P1601">
        <v>3.1133197541087401</v>
      </c>
      <c r="Q1601">
        <v>333685</v>
      </c>
      <c r="R1601">
        <v>2.3826174354029601</v>
      </c>
      <c r="S1601">
        <v>57.7884173097382</v>
      </c>
      <c r="T1601">
        <v>19283128.030000001</v>
      </c>
      <c r="U1601">
        <v>2.3972895916255998</v>
      </c>
      <c r="V1601">
        <v>9349</v>
      </c>
      <c r="W1601">
        <v>6.6834903704551003</v>
      </c>
    </row>
    <row r="1602" spans="1:23" hidden="1" x14ac:dyDescent="0.25">
      <c r="A1602" t="s">
        <v>182</v>
      </c>
      <c r="B1602">
        <v>10</v>
      </c>
      <c r="C1602">
        <v>2025</v>
      </c>
      <c r="D1602" t="s">
        <v>187</v>
      </c>
      <c r="E1602" t="s">
        <v>188</v>
      </c>
      <c r="F1602">
        <v>-12018</v>
      </c>
      <c r="G1602">
        <v>-728147.14</v>
      </c>
      <c r="H1602">
        <v>16018</v>
      </c>
      <c r="I1602">
        <v>5.71868170284619E-2</v>
      </c>
      <c r="J1602">
        <v>942369.14</v>
      </c>
      <c r="K1602">
        <v>5.8577937330805498E-2</v>
      </c>
      <c r="L1602">
        <v>2000</v>
      </c>
      <c r="M1602">
        <v>1.42806385387594E-2</v>
      </c>
      <c r="N1602">
        <v>53.555500000000002</v>
      </c>
      <c r="O1602">
        <v>107111</v>
      </c>
      <c r="P1602">
        <v>1.3316101256914899E-2</v>
      </c>
      <c r="Q1602">
        <v>14018</v>
      </c>
      <c r="R1602">
        <v>0.100092995518164</v>
      </c>
      <c r="S1602">
        <v>59.584686831216999</v>
      </c>
      <c r="T1602">
        <v>835258.14</v>
      </c>
      <c r="U1602">
        <v>0.103839773413699</v>
      </c>
      <c r="V1602">
        <v>86</v>
      </c>
      <c r="W1602">
        <v>6.1480390614946902E-2</v>
      </c>
    </row>
    <row r="1603" spans="1:23" hidden="1" x14ac:dyDescent="0.25">
      <c r="A1603" t="s">
        <v>182</v>
      </c>
      <c r="B1603">
        <v>10</v>
      </c>
      <c r="C1603">
        <v>2025</v>
      </c>
      <c r="D1603" t="s">
        <v>106</v>
      </c>
      <c r="E1603" t="s">
        <v>107</v>
      </c>
      <c r="F1603">
        <v>-595126</v>
      </c>
      <c r="G1603">
        <v>-33065781.940000001</v>
      </c>
      <c r="H1603">
        <v>1643722</v>
      </c>
      <c r="I1603">
        <v>5.8683499350516604</v>
      </c>
      <c r="J1603">
        <v>93649360.379999995</v>
      </c>
      <c r="K1603">
        <v>5.82127123072988</v>
      </c>
      <c r="L1603">
        <v>524298</v>
      </c>
      <c r="M1603">
        <v>3.7436551122972301</v>
      </c>
      <c r="N1603">
        <v>57.775900766358099</v>
      </c>
      <c r="O1603">
        <v>30291789.219999999</v>
      </c>
      <c r="P1603">
        <v>3.7658926954901202</v>
      </c>
      <c r="Q1603">
        <v>1119424</v>
      </c>
      <c r="R1603">
        <v>7.9930447578060804</v>
      </c>
      <c r="S1603">
        <v>56.598367696243798</v>
      </c>
      <c r="T1603">
        <v>63357571.159999996</v>
      </c>
      <c r="U1603">
        <v>7.87664976637849</v>
      </c>
      <c r="V1603">
        <v>3997</v>
      </c>
      <c r="W1603">
        <v>2.8574083870690998</v>
      </c>
    </row>
    <row r="1604" spans="1:23" hidden="1" x14ac:dyDescent="0.25">
      <c r="A1604" t="s">
        <v>182</v>
      </c>
      <c r="B1604">
        <v>10</v>
      </c>
      <c r="C1604">
        <v>2025</v>
      </c>
      <c r="D1604" t="s">
        <v>108</v>
      </c>
      <c r="E1604" t="s">
        <v>109</v>
      </c>
      <c r="F1604">
        <v>1103</v>
      </c>
      <c r="G1604">
        <v>57954.93</v>
      </c>
      <c r="H1604">
        <v>4753</v>
      </c>
      <c r="I1604">
        <v>1.6968968743680798E-2</v>
      </c>
      <c r="J1604">
        <v>260897.43</v>
      </c>
      <c r="K1604">
        <v>1.62174594387802E-2</v>
      </c>
      <c r="L1604">
        <v>2928</v>
      </c>
      <c r="M1604">
        <v>2.0906854820743701E-2</v>
      </c>
      <c r="N1604">
        <v>54.448831967213103</v>
      </c>
      <c r="O1604">
        <v>159426.18</v>
      </c>
      <c r="P1604">
        <v>1.98199545880734E-2</v>
      </c>
      <c r="Q1604">
        <v>1825</v>
      </c>
      <c r="R1604">
        <v>1.3031082666617899E-2</v>
      </c>
      <c r="S1604">
        <v>55.600684931506798</v>
      </c>
      <c r="T1604">
        <v>101471.25</v>
      </c>
      <c r="U1604">
        <v>1.26149642887705E-2</v>
      </c>
      <c r="V1604">
        <v>22</v>
      </c>
      <c r="W1604">
        <v>1.5727541785218999E-2</v>
      </c>
    </row>
    <row r="1605" spans="1:23" hidden="1" x14ac:dyDescent="0.25">
      <c r="A1605" t="s">
        <v>182</v>
      </c>
      <c r="B1605">
        <v>10</v>
      </c>
      <c r="C1605">
        <v>2025</v>
      </c>
      <c r="D1605" t="s">
        <v>110</v>
      </c>
      <c r="E1605" t="s">
        <v>111</v>
      </c>
      <c r="F1605">
        <v>56571</v>
      </c>
      <c r="G1605">
        <v>3328738</v>
      </c>
      <c r="H1605">
        <v>275827</v>
      </c>
      <c r="I1605">
        <v>0.98474642155759495</v>
      </c>
      <c r="J1605">
        <v>15729843.76</v>
      </c>
      <c r="K1605">
        <v>0.97777162142283403</v>
      </c>
      <c r="L1605">
        <v>166199</v>
      </c>
      <c r="M1605">
        <v>1.1867139222516301</v>
      </c>
      <c r="N1605">
        <v>57.336631869024501</v>
      </c>
      <c r="O1605">
        <v>9529290.8800000008</v>
      </c>
      <c r="P1605">
        <v>1.18468693471889</v>
      </c>
      <c r="Q1605">
        <v>109628</v>
      </c>
      <c r="R1605">
        <v>0.78277892086355605</v>
      </c>
      <c r="S1605">
        <v>56.559937972050903</v>
      </c>
      <c r="T1605">
        <v>6200552.8799999999</v>
      </c>
      <c r="U1605">
        <v>0.770856308085619</v>
      </c>
      <c r="V1605">
        <v>1973</v>
      </c>
      <c r="W1605">
        <v>1.41047454282896</v>
      </c>
    </row>
    <row r="1606" spans="1:23" hidden="1" x14ac:dyDescent="0.25">
      <c r="A1606" t="s">
        <v>182</v>
      </c>
      <c r="B1606">
        <v>10</v>
      </c>
      <c r="C1606">
        <v>2025</v>
      </c>
      <c r="D1606" t="s">
        <v>112</v>
      </c>
      <c r="E1606" t="s">
        <v>113</v>
      </c>
      <c r="F1606">
        <v>-1135</v>
      </c>
      <c r="G1606">
        <v>-35398.879999999997</v>
      </c>
      <c r="H1606">
        <v>27449</v>
      </c>
      <c r="I1606">
        <v>9.7997311812601504E-2</v>
      </c>
      <c r="J1606">
        <v>1559628.66</v>
      </c>
      <c r="K1606">
        <v>9.6946966986639793E-2</v>
      </c>
      <c r="L1606">
        <v>13157</v>
      </c>
      <c r="M1606">
        <v>9.3945180627228494E-2</v>
      </c>
      <c r="N1606">
        <v>57.924670517595203</v>
      </c>
      <c r="O1606">
        <v>762114.89</v>
      </c>
      <c r="P1606">
        <v>9.47465623945489E-2</v>
      </c>
      <c r="Q1606">
        <v>14292</v>
      </c>
      <c r="R1606">
        <v>0.102049442997974</v>
      </c>
      <c r="S1606">
        <v>55.801411279037197</v>
      </c>
      <c r="T1606">
        <v>797513.77</v>
      </c>
      <c r="U1606">
        <v>9.9147371579168503E-2</v>
      </c>
      <c r="V1606">
        <v>111</v>
      </c>
      <c r="W1606">
        <v>7.9352597189059307E-2</v>
      </c>
    </row>
    <row r="1607" spans="1:23" hidden="1" x14ac:dyDescent="0.25">
      <c r="A1607" t="s">
        <v>182</v>
      </c>
      <c r="B1607">
        <v>10</v>
      </c>
      <c r="C1607">
        <v>2025</v>
      </c>
      <c r="D1607" t="s">
        <v>167</v>
      </c>
      <c r="E1607" t="s">
        <v>168</v>
      </c>
      <c r="F1607">
        <v>64752</v>
      </c>
      <c r="G1607">
        <v>3978228.02</v>
      </c>
      <c r="H1607">
        <v>64848</v>
      </c>
      <c r="I1607">
        <v>0.231517711990367</v>
      </c>
      <c r="J1607">
        <v>3983893.94</v>
      </c>
      <c r="K1607">
        <v>0.24763999545856899</v>
      </c>
      <c r="L1607">
        <v>64800</v>
      </c>
      <c r="M1607">
        <v>0.46269268865580299</v>
      </c>
      <c r="N1607">
        <v>61.436126234567901</v>
      </c>
      <c r="O1607">
        <v>3981060.98</v>
      </c>
      <c r="P1607">
        <v>0.49492779564781098</v>
      </c>
      <c r="Q1607">
        <v>48</v>
      </c>
      <c r="R1607">
        <v>3.4273532493022502E-4</v>
      </c>
      <c r="S1607">
        <v>59.02</v>
      </c>
      <c r="T1607">
        <v>2832.96</v>
      </c>
      <c r="U1607">
        <v>3.5219522013885899E-4</v>
      </c>
      <c r="V1607">
        <v>377</v>
      </c>
      <c r="W1607">
        <v>0.26951287513761601</v>
      </c>
    </row>
    <row r="1608" spans="1:23" hidden="1" x14ac:dyDescent="0.25">
      <c r="A1608" t="s">
        <v>182</v>
      </c>
      <c r="B1608">
        <v>10</v>
      </c>
      <c r="C1608">
        <v>2025</v>
      </c>
      <c r="D1608" t="s">
        <v>169</v>
      </c>
      <c r="E1608" t="s">
        <v>170</v>
      </c>
      <c r="F1608">
        <v>532</v>
      </c>
      <c r="G1608">
        <v>30052.68</v>
      </c>
      <c r="H1608">
        <v>532</v>
      </c>
      <c r="I1608">
        <v>1.8993249256549999E-3</v>
      </c>
      <c r="J1608">
        <v>30052.68</v>
      </c>
      <c r="K1608">
        <v>1.8680832499064601E-3</v>
      </c>
      <c r="L1608">
        <v>532</v>
      </c>
      <c r="M1608">
        <v>3.7986498513099898E-3</v>
      </c>
      <c r="N1608">
        <v>56.49</v>
      </c>
      <c r="O1608">
        <v>30052.68</v>
      </c>
      <c r="P1608">
        <v>3.7361664994413298E-3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1</v>
      </c>
      <c r="W1608">
        <v>7.1488826296449903E-4</v>
      </c>
    </row>
    <row r="1609" spans="1:23" hidden="1" x14ac:dyDescent="0.25">
      <c r="A1609" t="s">
        <v>182</v>
      </c>
      <c r="B1609">
        <v>10</v>
      </c>
      <c r="C1609">
        <v>2025</v>
      </c>
      <c r="D1609" t="s">
        <v>163</v>
      </c>
      <c r="E1609" t="s">
        <v>164</v>
      </c>
      <c r="F1609">
        <v>-4024</v>
      </c>
      <c r="G1609">
        <v>-320350.40999999997</v>
      </c>
      <c r="H1609">
        <v>56844</v>
      </c>
      <c r="I1609">
        <v>0.20294215427430901</v>
      </c>
      <c r="J1609">
        <v>3256961.71</v>
      </c>
      <c r="K1609">
        <v>0.20245367854173699</v>
      </c>
      <c r="L1609">
        <v>26410</v>
      </c>
      <c r="M1609">
        <v>0.18857583190431701</v>
      </c>
      <c r="N1609">
        <v>55.5965789473684</v>
      </c>
      <c r="O1609">
        <v>1468305.65</v>
      </c>
      <c r="P1609">
        <v>0.18254060471380301</v>
      </c>
      <c r="Q1609">
        <v>30434</v>
      </c>
      <c r="R1609">
        <v>0.217308476644301</v>
      </c>
      <c r="S1609">
        <v>58.771638956430301</v>
      </c>
      <c r="T1609">
        <v>1788656.06</v>
      </c>
      <c r="U1609">
        <v>0.22236675237363199</v>
      </c>
      <c r="V1609">
        <v>288</v>
      </c>
      <c r="W1609">
        <v>0.20588781973377601</v>
      </c>
    </row>
    <row r="1610" spans="1:23" hidden="1" x14ac:dyDescent="0.25">
      <c r="A1610" t="s">
        <v>182</v>
      </c>
      <c r="B1610">
        <v>10</v>
      </c>
      <c r="C1610">
        <v>2025</v>
      </c>
      <c r="D1610" t="s">
        <v>116</v>
      </c>
      <c r="E1610" t="s">
        <v>117</v>
      </c>
      <c r="F1610">
        <v>-127415</v>
      </c>
      <c r="G1610">
        <v>-7151170.29</v>
      </c>
      <c r="H1610">
        <v>393147</v>
      </c>
      <c r="I1610">
        <v>1.40359754989941</v>
      </c>
      <c r="J1610">
        <v>22219592.609999999</v>
      </c>
      <c r="K1610">
        <v>1.3811762802680601</v>
      </c>
      <c r="L1610">
        <v>132866</v>
      </c>
      <c r="M1610">
        <v>0.94870566004540102</v>
      </c>
      <c r="N1610">
        <v>56.705335902337701</v>
      </c>
      <c r="O1610">
        <v>7534211.1600000001</v>
      </c>
      <c r="P1610">
        <v>0.93665747399929</v>
      </c>
      <c r="Q1610">
        <v>260281</v>
      </c>
      <c r="R1610">
        <v>1.85848943975341</v>
      </c>
      <c r="S1610">
        <v>56.421257986560697</v>
      </c>
      <c r="T1610">
        <v>14685381.449999999</v>
      </c>
      <c r="U1610">
        <v>1.8256950866252499</v>
      </c>
      <c r="V1610">
        <v>2266</v>
      </c>
      <c r="W1610">
        <v>1.6199368038775499</v>
      </c>
    </row>
    <row r="1611" spans="1:23" hidden="1" x14ac:dyDescent="0.25">
      <c r="A1611" t="s">
        <v>182</v>
      </c>
      <c r="B1611">
        <v>10</v>
      </c>
      <c r="C1611">
        <v>2025</v>
      </c>
      <c r="D1611" t="s">
        <v>118</v>
      </c>
      <c r="E1611" t="s">
        <v>119</v>
      </c>
      <c r="F1611">
        <v>18521</v>
      </c>
      <c r="G1611">
        <v>1011106.12</v>
      </c>
      <c r="H1611">
        <v>238363</v>
      </c>
      <c r="I1611">
        <v>0.85099396100357505</v>
      </c>
      <c r="J1611">
        <v>13597722.1</v>
      </c>
      <c r="K1611">
        <v>0.84523832456515802</v>
      </c>
      <c r="L1611">
        <v>128442</v>
      </c>
      <c r="M1611">
        <v>0.91711688759766496</v>
      </c>
      <c r="N1611">
        <v>56.869358231731098</v>
      </c>
      <c r="O1611">
        <v>7304414.1100000003</v>
      </c>
      <c r="P1611">
        <v>0.90808897229227303</v>
      </c>
      <c r="Q1611">
        <v>109921</v>
      </c>
      <c r="R1611">
        <v>0.78487103440948403</v>
      </c>
      <c r="S1611">
        <v>57.253008888201499</v>
      </c>
      <c r="T1611">
        <v>6293307.9900000002</v>
      </c>
      <c r="U1611">
        <v>0.782387676825542</v>
      </c>
      <c r="V1611">
        <v>1278</v>
      </c>
      <c r="W1611">
        <v>0.91362720006862896</v>
      </c>
    </row>
    <row r="1612" spans="1:23" hidden="1" x14ac:dyDescent="0.25">
      <c r="A1612" t="s">
        <v>182</v>
      </c>
      <c r="B1612">
        <v>10</v>
      </c>
      <c r="C1612">
        <v>2025</v>
      </c>
      <c r="D1612" t="s">
        <v>120</v>
      </c>
      <c r="E1612" t="s">
        <v>121</v>
      </c>
      <c r="F1612">
        <v>34936</v>
      </c>
      <c r="G1612">
        <v>1793720.98</v>
      </c>
      <c r="H1612">
        <v>208440</v>
      </c>
      <c r="I1612">
        <v>0.74416407425475095</v>
      </c>
      <c r="J1612">
        <v>11918394.460000001</v>
      </c>
      <c r="K1612">
        <v>0.74085083448477496</v>
      </c>
      <c r="L1612">
        <v>121688</v>
      </c>
      <c r="M1612">
        <v>0.868891171252275</v>
      </c>
      <c r="N1612">
        <v>56.3412803234501</v>
      </c>
      <c r="O1612">
        <v>6856057.7199999997</v>
      </c>
      <c r="P1612">
        <v>0.85234904746265805</v>
      </c>
      <c r="Q1612">
        <v>86752</v>
      </c>
      <c r="R1612">
        <v>0.61943697725722602</v>
      </c>
      <c r="S1612">
        <v>58.3541214035411</v>
      </c>
      <c r="T1612">
        <v>5062336.74</v>
      </c>
      <c r="U1612">
        <v>0.62935262148471305</v>
      </c>
      <c r="V1612">
        <v>546</v>
      </c>
      <c r="W1612">
        <v>0.390328991578616</v>
      </c>
    </row>
    <row r="1613" spans="1:23" hidden="1" x14ac:dyDescent="0.25">
      <c r="A1613" t="s">
        <v>182</v>
      </c>
      <c r="B1613">
        <v>10</v>
      </c>
      <c r="C1613">
        <v>2025</v>
      </c>
      <c r="D1613" t="s">
        <v>122</v>
      </c>
      <c r="E1613" t="s">
        <v>123</v>
      </c>
      <c r="F1613">
        <v>-210126</v>
      </c>
      <c r="G1613">
        <v>-12250677.99</v>
      </c>
      <c r="H1613">
        <v>4503960</v>
      </c>
      <c r="I1613">
        <v>16.0798561882577</v>
      </c>
      <c r="J1613">
        <v>256605146.59</v>
      </c>
      <c r="K1613">
        <v>15.9506498649894</v>
      </c>
      <c r="L1613">
        <v>2146917</v>
      </c>
      <c r="M1613">
        <v>15.3296728248588</v>
      </c>
      <c r="N1613">
        <v>56.908224351477003</v>
      </c>
      <c r="O1613">
        <v>122177234.3</v>
      </c>
      <c r="P1613">
        <v>15.1891441890059</v>
      </c>
      <c r="Q1613">
        <v>2357043</v>
      </c>
      <c r="R1613">
        <v>16.830039551656501</v>
      </c>
      <c r="S1613">
        <v>57.032439497285402</v>
      </c>
      <c r="T1613">
        <v>134427912.28999999</v>
      </c>
      <c r="U1613">
        <v>16.7121555411244</v>
      </c>
      <c r="V1613">
        <v>24462</v>
      </c>
      <c r="W1613">
        <v>17.487596688637598</v>
      </c>
    </row>
    <row r="1614" spans="1:23" hidden="1" x14ac:dyDescent="0.25">
      <c r="A1614" t="s">
        <v>182</v>
      </c>
      <c r="B1614">
        <v>10</v>
      </c>
      <c r="C1614">
        <v>2025</v>
      </c>
      <c r="D1614" t="s">
        <v>124</v>
      </c>
      <c r="E1614" t="s">
        <v>125</v>
      </c>
      <c r="F1614">
        <v>1583</v>
      </c>
      <c r="G1614">
        <v>83086.900000000402</v>
      </c>
      <c r="H1614">
        <v>119031</v>
      </c>
      <c r="I1614">
        <v>0.424959671476767</v>
      </c>
      <c r="J1614">
        <v>6913455.5</v>
      </c>
      <c r="K1614">
        <v>0.42974238632041001</v>
      </c>
      <c r="L1614">
        <v>60307</v>
      </c>
      <c r="M1614">
        <v>0.43061123417848102</v>
      </c>
      <c r="N1614">
        <v>58.007713864062197</v>
      </c>
      <c r="O1614">
        <v>3498271.2</v>
      </c>
      <c r="P1614">
        <v>0.43490709192659099</v>
      </c>
      <c r="Q1614">
        <v>58724</v>
      </c>
      <c r="R1614">
        <v>0.41930810877505298</v>
      </c>
      <c r="S1614">
        <v>58.156533955452602</v>
      </c>
      <c r="T1614">
        <v>3415184.3</v>
      </c>
      <c r="U1614">
        <v>0.42457768071320301</v>
      </c>
      <c r="V1614">
        <v>353</v>
      </c>
      <c r="W1614">
        <v>0.25235555682646799</v>
      </c>
    </row>
    <row r="1615" spans="1:23" hidden="1" x14ac:dyDescent="0.25">
      <c r="A1615" t="s">
        <v>182</v>
      </c>
      <c r="B1615">
        <v>10</v>
      </c>
      <c r="C1615">
        <v>2025</v>
      </c>
      <c r="D1615" t="s">
        <v>126</v>
      </c>
      <c r="E1615" t="s">
        <v>127</v>
      </c>
      <c r="F1615">
        <v>-13058</v>
      </c>
      <c r="G1615">
        <v>-786395.08</v>
      </c>
      <c r="H1615">
        <v>113916</v>
      </c>
      <c r="I1615">
        <v>0.40669830494532799</v>
      </c>
      <c r="J1615">
        <v>6607023.8799999999</v>
      </c>
      <c r="K1615">
        <v>0.41069450850839101</v>
      </c>
      <c r="L1615">
        <v>50429</v>
      </c>
      <c r="M1615">
        <v>0.360079160435548</v>
      </c>
      <c r="N1615">
        <v>57.711126534335399</v>
      </c>
      <c r="O1615">
        <v>2910314.4</v>
      </c>
      <c r="P1615">
        <v>0.36181196366253099</v>
      </c>
      <c r="Q1615">
        <v>63487</v>
      </c>
      <c r="R1615">
        <v>0.45331744945510799</v>
      </c>
      <c r="S1615">
        <v>58.227817978483799</v>
      </c>
      <c r="T1615">
        <v>3696709.48</v>
      </c>
      <c r="U1615">
        <v>0.45957705336397497</v>
      </c>
      <c r="V1615">
        <v>1395</v>
      </c>
      <c r="W1615">
        <v>0.99726912683547597</v>
      </c>
    </row>
    <row r="1616" spans="1:23" hidden="1" x14ac:dyDescent="0.25">
      <c r="A1616" t="s">
        <v>182</v>
      </c>
      <c r="B1616">
        <v>10</v>
      </c>
      <c r="C1616">
        <v>2025</v>
      </c>
      <c r="D1616" t="s">
        <v>128</v>
      </c>
      <c r="E1616" t="s">
        <v>129</v>
      </c>
      <c r="F1616">
        <v>-7160</v>
      </c>
      <c r="G1616">
        <v>-435854.04</v>
      </c>
      <c r="H1616">
        <v>27316</v>
      </c>
      <c r="I1616">
        <v>9.7522480581187704E-2</v>
      </c>
      <c r="J1616">
        <v>1601197.56</v>
      </c>
      <c r="K1616">
        <v>9.9530901790691795E-2</v>
      </c>
      <c r="L1616">
        <v>10078</v>
      </c>
      <c r="M1616">
        <v>7.1960137596808499E-2</v>
      </c>
      <c r="N1616">
        <v>57.816209565389997</v>
      </c>
      <c r="O1616">
        <v>582671.76</v>
      </c>
      <c r="P1616">
        <v>7.2438089045054097E-2</v>
      </c>
      <c r="Q1616">
        <v>17238</v>
      </c>
      <c r="R1616">
        <v>0.12308482356556701</v>
      </c>
      <c r="S1616">
        <v>59.0860772711452</v>
      </c>
      <c r="T1616">
        <v>1018525.8</v>
      </c>
      <c r="U1616">
        <v>0.126623714541719</v>
      </c>
      <c r="V1616">
        <v>70</v>
      </c>
      <c r="W1616">
        <v>5.0042178407514903E-2</v>
      </c>
    </row>
    <row r="1617" spans="1:23" hidden="1" x14ac:dyDescent="0.25">
      <c r="A1617" t="s">
        <v>182</v>
      </c>
      <c r="B1617">
        <v>10</v>
      </c>
      <c r="C1617">
        <v>2025</v>
      </c>
      <c r="D1617" t="s">
        <v>175</v>
      </c>
      <c r="E1617" t="s">
        <v>176</v>
      </c>
      <c r="F1617">
        <v>67324</v>
      </c>
      <c r="G1617">
        <v>3688612.4200000102</v>
      </c>
      <c r="H1617">
        <v>883796</v>
      </c>
      <c r="I1617">
        <v>3.1552928045003399</v>
      </c>
      <c r="J1617">
        <v>51241440.420000002</v>
      </c>
      <c r="K1617">
        <v>3.18518270416088</v>
      </c>
      <c r="L1617">
        <v>475560</v>
      </c>
      <c r="M1617">
        <v>3.3956502317461998</v>
      </c>
      <c r="N1617">
        <v>57.753020481116998</v>
      </c>
      <c r="O1617">
        <v>27465026.420000002</v>
      </c>
      <c r="P1617">
        <v>3.4144679148972701</v>
      </c>
      <c r="Q1617">
        <v>408236</v>
      </c>
      <c r="R1617">
        <v>2.9149353772544799</v>
      </c>
      <c r="S1617">
        <v>58.241835604895201</v>
      </c>
      <c r="T1617">
        <v>23776414</v>
      </c>
      <c r="U1617">
        <v>2.9558974933788802</v>
      </c>
      <c r="V1617">
        <v>2134</v>
      </c>
      <c r="W1617">
        <v>1.5255715531662399</v>
      </c>
    </row>
    <row r="1618" spans="1:23" hidden="1" x14ac:dyDescent="0.25">
      <c r="A1618" t="s">
        <v>182</v>
      </c>
      <c r="B1618">
        <v>10</v>
      </c>
      <c r="C1618">
        <v>2025</v>
      </c>
      <c r="D1618" t="s">
        <v>130</v>
      </c>
      <c r="E1618" t="s">
        <v>131</v>
      </c>
      <c r="F1618">
        <v>-87167</v>
      </c>
      <c r="G1618">
        <v>-5048859.1500000097</v>
      </c>
      <c r="H1618">
        <v>773453</v>
      </c>
      <c r="I1618">
        <v>2.7613506799297598</v>
      </c>
      <c r="J1618">
        <v>44584082.369999997</v>
      </c>
      <c r="K1618">
        <v>2.7713594091391101</v>
      </c>
      <c r="L1618">
        <v>343143</v>
      </c>
      <c r="M1618">
        <v>2.4501505750527501</v>
      </c>
      <c r="N1618">
        <v>57.607503606368198</v>
      </c>
      <c r="O1618">
        <v>19767611.609999999</v>
      </c>
      <c r="P1618">
        <v>2.4575208690622401</v>
      </c>
      <c r="Q1618">
        <v>430310</v>
      </c>
      <c r="R1618">
        <v>3.0725507848067699</v>
      </c>
      <c r="S1618">
        <v>57.671145825102798</v>
      </c>
      <c r="T1618">
        <v>24816470.760000002</v>
      </c>
      <c r="U1618">
        <v>3.0851979492784101</v>
      </c>
      <c r="V1618">
        <v>3068</v>
      </c>
      <c r="W1618">
        <v>2.1932771907750799</v>
      </c>
    </row>
    <row r="1619" spans="1:23" hidden="1" x14ac:dyDescent="0.25">
      <c r="A1619" t="s">
        <v>182</v>
      </c>
      <c r="B1619">
        <v>10</v>
      </c>
      <c r="C1619">
        <v>2025</v>
      </c>
      <c r="D1619" t="s">
        <v>132</v>
      </c>
      <c r="E1619" t="s">
        <v>133</v>
      </c>
      <c r="F1619">
        <v>13707</v>
      </c>
      <c r="G1619">
        <v>772758.97000000102</v>
      </c>
      <c r="H1619">
        <v>77501</v>
      </c>
      <c r="I1619">
        <v>0.27669094184809701</v>
      </c>
      <c r="J1619">
        <v>4441532.8099999996</v>
      </c>
      <c r="K1619">
        <v>0.276086959508136</v>
      </c>
      <c r="L1619">
        <v>45604</v>
      </c>
      <c r="M1619">
        <v>0.32562711996079102</v>
      </c>
      <c r="N1619">
        <v>57.169237128322102</v>
      </c>
      <c r="O1619">
        <v>2607145.89</v>
      </c>
      <c r="P1619">
        <v>0.32412187975828299</v>
      </c>
      <c r="Q1619">
        <v>31897</v>
      </c>
      <c r="R1619">
        <v>0.22775476373540399</v>
      </c>
      <c r="S1619">
        <v>57.509700598802397</v>
      </c>
      <c r="T1619">
        <v>1834386.92</v>
      </c>
      <c r="U1619">
        <v>0.22805203924843401</v>
      </c>
      <c r="V1619">
        <v>982</v>
      </c>
      <c r="W1619">
        <v>0.702020274231138</v>
      </c>
    </row>
    <row r="1620" spans="1:23" hidden="1" x14ac:dyDescent="0.25">
      <c r="A1620" t="s">
        <v>182</v>
      </c>
      <c r="B1620">
        <v>10</v>
      </c>
      <c r="C1620">
        <v>2025</v>
      </c>
      <c r="D1620" t="s">
        <v>134</v>
      </c>
      <c r="E1620" t="s">
        <v>135</v>
      </c>
      <c r="F1620">
        <v>8257</v>
      </c>
      <c r="G1620">
        <v>451081.390000001</v>
      </c>
      <c r="H1620">
        <v>112365</v>
      </c>
      <c r="I1620">
        <v>0.40116098735192401</v>
      </c>
      <c r="J1620">
        <v>6467534.3300000001</v>
      </c>
      <c r="K1620">
        <v>0.40202379787985498</v>
      </c>
      <c r="L1620">
        <v>60311</v>
      </c>
      <c r="M1620">
        <v>0.43063979545555803</v>
      </c>
      <c r="N1620">
        <v>57.3578262671818</v>
      </c>
      <c r="O1620">
        <v>3459307.86</v>
      </c>
      <c r="P1620">
        <v>0.43006314703999998</v>
      </c>
      <c r="Q1620">
        <v>52054</v>
      </c>
      <c r="R1620">
        <v>0.37168217924829</v>
      </c>
      <c r="S1620">
        <v>57.790495831252201</v>
      </c>
      <c r="T1620">
        <v>3008226.47</v>
      </c>
      <c r="U1620">
        <v>0.373984448714134</v>
      </c>
      <c r="V1620">
        <v>380</v>
      </c>
      <c r="W1620">
        <v>0.27165753992650898</v>
      </c>
    </row>
    <row r="1621" spans="1:23" hidden="1" x14ac:dyDescent="0.25">
      <c r="A1621" t="s">
        <v>182</v>
      </c>
      <c r="B1621">
        <v>10</v>
      </c>
      <c r="C1621">
        <v>2025</v>
      </c>
      <c r="D1621" t="s">
        <v>177</v>
      </c>
      <c r="E1621" t="s">
        <v>178</v>
      </c>
      <c r="F1621">
        <v>879</v>
      </c>
      <c r="G1621">
        <v>50968.1</v>
      </c>
      <c r="H1621">
        <v>879</v>
      </c>
      <c r="I1621">
        <v>3.13817031889237E-3</v>
      </c>
      <c r="J1621">
        <v>50968.1</v>
      </c>
      <c r="K1621">
        <v>3.1681917848776601E-3</v>
      </c>
      <c r="L1621">
        <v>879</v>
      </c>
      <c r="M1621">
        <v>6.27634063778474E-3</v>
      </c>
      <c r="N1621">
        <v>57.9841865756541</v>
      </c>
      <c r="O1621">
        <v>50968.1</v>
      </c>
      <c r="P1621">
        <v>6.33638356912513E-3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2</v>
      </c>
      <c r="W1621">
        <v>1.429776525929E-3</v>
      </c>
    </row>
    <row r="1622" spans="1:23" hidden="1" x14ac:dyDescent="0.25">
      <c r="A1622" t="s">
        <v>182</v>
      </c>
      <c r="B1622">
        <v>10</v>
      </c>
      <c r="C1622">
        <v>2025</v>
      </c>
      <c r="D1622" t="s">
        <v>136</v>
      </c>
      <c r="E1622" t="s">
        <v>137</v>
      </c>
      <c r="F1622">
        <v>-55026</v>
      </c>
      <c r="G1622">
        <v>-3157299.06</v>
      </c>
      <c r="H1622">
        <v>178212</v>
      </c>
      <c r="I1622">
        <v>0.63624528881734599</v>
      </c>
      <c r="J1622">
        <v>10096320.279999999</v>
      </c>
      <c r="K1622">
        <v>0.62759017833879904</v>
      </c>
      <c r="L1622">
        <v>61593</v>
      </c>
      <c r="M1622">
        <v>0.43979368475890301</v>
      </c>
      <c r="N1622">
        <v>56.329625282093701</v>
      </c>
      <c r="O1622">
        <v>3469510.61</v>
      </c>
      <c r="P1622">
        <v>0.43133155880068702</v>
      </c>
      <c r="Q1622">
        <v>116619</v>
      </c>
      <c r="R1622">
        <v>0.83269689287578896</v>
      </c>
      <c r="S1622">
        <v>56.824442586542503</v>
      </c>
      <c r="T1622">
        <v>6626809.6699999999</v>
      </c>
      <c r="U1622">
        <v>0.823848797915949</v>
      </c>
      <c r="V1622">
        <v>645</v>
      </c>
      <c r="W1622">
        <v>0.46110292961210197</v>
      </c>
    </row>
    <row r="1623" spans="1:23" hidden="1" x14ac:dyDescent="0.25">
      <c r="A1623" t="s">
        <v>182</v>
      </c>
      <c r="B1623">
        <v>10</v>
      </c>
      <c r="C1623">
        <v>2025</v>
      </c>
      <c r="D1623" t="s">
        <v>171</v>
      </c>
      <c r="E1623" t="s">
        <v>172</v>
      </c>
      <c r="F1623">
        <v>56134</v>
      </c>
      <c r="G1623">
        <v>3462285.98</v>
      </c>
      <c r="H1623">
        <v>56134</v>
      </c>
      <c r="I1623">
        <v>0.20040734093368001</v>
      </c>
      <c r="J1623">
        <v>3462285.98</v>
      </c>
      <c r="K1623">
        <v>0.215216694338873</v>
      </c>
      <c r="L1623">
        <v>56134</v>
      </c>
      <c r="M1623">
        <v>0.40081468186735902</v>
      </c>
      <c r="N1623">
        <v>61.6789464495671</v>
      </c>
      <c r="O1623">
        <v>3462285.98</v>
      </c>
      <c r="P1623">
        <v>0.43043338863493602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257</v>
      </c>
      <c r="W1623">
        <v>0.18372628358187601</v>
      </c>
    </row>
    <row r="1624" spans="1:23" hidden="1" x14ac:dyDescent="0.25">
      <c r="A1624" t="s">
        <v>182</v>
      </c>
      <c r="B1624">
        <v>10</v>
      </c>
      <c r="C1624">
        <v>2025</v>
      </c>
      <c r="D1624" t="s">
        <v>138</v>
      </c>
      <c r="E1624" t="s">
        <v>139</v>
      </c>
      <c r="F1624">
        <v>12533</v>
      </c>
      <c r="G1624">
        <v>699416.91000000201</v>
      </c>
      <c r="H1624">
        <v>118265</v>
      </c>
      <c r="I1624">
        <v>0.42222492919659399</v>
      </c>
      <c r="J1624">
        <v>6669116.7699999996</v>
      </c>
      <c r="K1624">
        <v>0.41455422044580498</v>
      </c>
      <c r="L1624">
        <v>65399</v>
      </c>
      <c r="M1624">
        <v>0.46696973989816198</v>
      </c>
      <c r="N1624">
        <v>56.335216746433503</v>
      </c>
      <c r="O1624">
        <v>3684266.84</v>
      </c>
      <c r="P1624">
        <v>0.45803017709603799</v>
      </c>
      <c r="Q1624">
        <v>52866</v>
      </c>
      <c r="R1624">
        <v>0.377480118495026</v>
      </c>
      <c r="S1624">
        <v>56.460672833200903</v>
      </c>
      <c r="T1624">
        <v>2984849.93</v>
      </c>
      <c r="U1624">
        <v>0.37107826378692499</v>
      </c>
      <c r="V1624">
        <v>245</v>
      </c>
      <c r="W1624">
        <v>0.175147624426302</v>
      </c>
    </row>
    <row r="1625" spans="1:23" hidden="1" x14ac:dyDescent="0.25">
      <c r="A1625" t="s">
        <v>182</v>
      </c>
      <c r="B1625">
        <v>10</v>
      </c>
      <c r="C1625">
        <v>2025</v>
      </c>
      <c r="D1625" t="s">
        <v>140</v>
      </c>
      <c r="E1625" t="s">
        <v>141</v>
      </c>
      <c r="F1625">
        <v>-6092</v>
      </c>
      <c r="G1625">
        <v>-339016.45</v>
      </c>
      <c r="H1625">
        <v>6692</v>
      </c>
      <c r="I1625">
        <v>2.3891508275344399E-2</v>
      </c>
      <c r="J1625">
        <v>372578.45</v>
      </c>
      <c r="K1625">
        <v>2.3159583828168101E-2</v>
      </c>
      <c r="L1625">
        <v>300</v>
      </c>
      <c r="M1625">
        <v>2.1420957808139002E-3</v>
      </c>
      <c r="N1625">
        <v>55.936666666666703</v>
      </c>
      <c r="O1625">
        <v>16781</v>
      </c>
      <c r="P1625">
        <v>2.0862235922761299E-3</v>
      </c>
      <c r="Q1625">
        <v>6392</v>
      </c>
      <c r="R1625">
        <v>4.5640920769874901E-2</v>
      </c>
      <c r="S1625">
        <v>55.662930225281599</v>
      </c>
      <c r="T1625">
        <v>355797.45</v>
      </c>
      <c r="U1625">
        <v>4.4232944068251803E-2</v>
      </c>
      <c r="V1625">
        <v>22</v>
      </c>
      <c r="W1625">
        <v>1.5727541785218999E-2</v>
      </c>
    </row>
    <row r="1626" spans="1:23" hidden="1" x14ac:dyDescent="0.25">
      <c r="A1626" t="s">
        <v>182</v>
      </c>
      <c r="B1626">
        <v>10</v>
      </c>
      <c r="C1626">
        <v>2025</v>
      </c>
      <c r="D1626" t="s">
        <v>142</v>
      </c>
      <c r="E1626" t="s">
        <v>143</v>
      </c>
      <c r="F1626">
        <v>235252</v>
      </c>
      <c r="G1626">
        <v>14104399.74</v>
      </c>
      <c r="H1626">
        <v>1588638</v>
      </c>
      <c r="I1626">
        <v>5.6716912617344004</v>
      </c>
      <c r="J1626">
        <v>91847640.879999995</v>
      </c>
      <c r="K1626">
        <v>5.7092758273588702</v>
      </c>
      <c r="L1626">
        <v>911945</v>
      </c>
      <c r="M1626">
        <v>6.5115784561144601</v>
      </c>
      <c r="N1626">
        <v>58.091244877706401</v>
      </c>
      <c r="O1626">
        <v>52976020.310000002</v>
      </c>
      <c r="P1626">
        <v>6.5860093793946302</v>
      </c>
      <c r="Q1626">
        <v>676693</v>
      </c>
      <c r="R1626">
        <v>4.8318040673543496</v>
      </c>
      <c r="S1626">
        <v>57.443509198410503</v>
      </c>
      <c r="T1626">
        <v>38871620.57</v>
      </c>
      <c r="U1626">
        <v>4.8325422751487297</v>
      </c>
      <c r="V1626">
        <v>14021</v>
      </c>
      <c r="W1626">
        <v>10.023448335025201</v>
      </c>
    </row>
    <row r="1627" spans="1:23" hidden="1" x14ac:dyDescent="0.25">
      <c r="A1627" t="s">
        <v>182</v>
      </c>
      <c r="B1627">
        <v>10</v>
      </c>
      <c r="C1627">
        <v>2025</v>
      </c>
      <c r="D1627" t="s">
        <v>144</v>
      </c>
      <c r="E1627" t="s">
        <v>145</v>
      </c>
      <c r="F1627">
        <v>343834</v>
      </c>
      <c r="G1627">
        <v>18372343.199999999</v>
      </c>
      <c r="H1627">
        <v>3599280</v>
      </c>
      <c r="I1627">
        <v>12.8500041699465</v>
      </c>
      <c r="J1627">
        <v>207137314.53999999</v>
      </c>
      <c r="K1627">
        <v>12.8757151682572</v>
      </c>
      <c r="L1627">
        <v>1971557</v>
      </c>
      <c r="M1627">
        <v>14.0775464377804</v>
      </c>
      <c r="N1627">
        <v>57.190752724876802</v>
      </c>
      <c r="O1627">
        <v>112754828.87</v>
      </c>
      <c r="P1627">
        <v>14.017745315037899</v>
      </c>
      <c r="Q1627">
        <v>1627723</v>
      </c>
      <c r="R1627">
        <v>11.6224619021125</v>
      </c>
      <c r="S1627">
        <v>57.984365687527898</v>
      </c>
      <c r="T1627">
        <v>94382485.670000002</v>
      </c>
      <c r="U1627">
        <v>11.7336850212493</v>
      </c>
      <c r="V1627">
        <v>7293</v>
      </c>
      <c r="W1627">
        <v>5.2136801018000902</v>
      </c>
    </row>
    <row r="1628" spans="1:23" hidden="1" x14ac:dyDescent="0.25">
      <c r="A1628" t="s">
        <v>182</v>
      </c>
      <c r="B1628">
        <v>10</v>
      </c>
      <c r="C1628">
        <v>2025</v>
      </c>
      <c r="D1628" t="s">
        <v>165</v>
      </c>
      <c r="E1628" t="s">
        <v>166</v>
      </c>
      <c r="F1628">
        <v>420</v>
      </c>
      <c r="G1628">
        <v>24780</v>
      </c>
      <c r="H1628">
        <v>420</v>
      </c>
      <c r="I1628">
        <v>1.49946704656973E-3</v>
      </c>
      <c r="J1628">
        <v>24780</v>
      </c>
      <c r="K1628">
        <v>1.5403319415334001E-3</v>
      </c>
      <c r="L1628">
        <v>420</v>
      </c>
      <c r="M1628">
        <v>2.9989340931394701E-3</v>
      </c>
      <c r="N1628">
        <v>59</v>
      </c>
      <c r="O1628">
        <v>24780</v>
      </c>
      <c r="P1628">
        <v>3.0806638827604099E-3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2</v>
      </c>
      <c r="W1628">
        <v>1.429776525929E-3</v>
      </c>
    </row>
    <row r="1629" spans="1:23" hidden="1" x14ac:dyDescent="0.25">
      <c r="A1629" t="s">
        <v>182</v>
      </c>
      <c r="B1629">
        <v>10</v>
      </c>
      <c r="C1629">
        <v>2025</v>
      </c>
      <c r="D1629" t="s">
        <v>146</v>
      </c>
      <c r="E1629" t="s">
        <v>147</v>
      </c>
      <c r="F1629">
        <v>-18454</v>
      </c>
      <c r="G1629">
        <v>-1193321.31</v>
      </c>
      <c r="H1629">
        <v>299504</v>
      </c>
      <c r="I1629">
        <v>1.06927709122815</v>
      </c>
      <c r="J1629">
        <v>17202059.23</v>
      </c>
      <c r="K1629">
        <v>1.0692849593268099</v>
      </c>
      <c r="L1629">
        <v>140525</v>
      </c>
      <c r="M1629">
        <v>1.0033933653295799</v>
      </c>
      <c r="N1629">
        <v>56.960462266500599</v>
      </c>
      <c r="O1629">
        <v>8004368.96</v>
      </c>
      <c r="P1629">
        <v>0.99510776268605705</v>
      </c>
      <c r="Q1629">
        <v>158979</v>
      </c>
      <c r="R1629">
        <v>1.13516081712671</v>
      </c>
      <c r="S1629">
        <v>57.854749809723302</v>
      </c>
      <c r="T1629">
        <v>9197690.2699999996</v>
      </c>
      <c r="U1629">
        <v>1.1434621559823299</v>
      </c>
      <c r="V1629">
        <v>1023</v>
      </c>
      <c r="W1629">
        <v>0.73133069301268205</v>
      </c>
    </row>
    <row r="1630" spans="1:23" x14ac:dyDescent="0.25">
      <c r="A1630" t="s">
        <v>182</v>
      </c>
      <c r="B1630">
        <v>10</v>
      </c>
      <c r="C1630">
        <v>2025</v>
      </c>
      <c r="D1630" t="s">
        <v>148</v>
      </c>
      <c r="E1630" t="s">
        <v>148</v>
      </c>
      <c r="F1630">
        <v>0</v>
      </c>
      <c r="G1630">
        <v>0.16000001746579101</v>
      </c>
      <c r="H1630">
        <v>28009952</v>
      </c>
      <c r="I1630">
        <v>0</v>
      </c>
      <c r="J1630">
        <v>1608744150</v>
      </c>
      <c r="K1630">
        <v>0</v>
      </c>
      <c r="L1630">
        <v>14004976</v>
      </c>
      <c r="M1630">
        <v>100</v>
      </c>
      <c r="N1630">
        <v>57.545189860532197</v>
      </c>
      <c r="O1630">
        <v>804372075.08000004</v>
      </c>
      <c r="P1630">
        <v>100</v>
      </c>
      <c r="Q1630">
        <v>14004976</v>
      </c>
      <c r="R1630">
        <v>100</v>
      </c>
      <c r="S1630">
        <v>57.364051231815999</v>
      </c>
      <c r="T1630">
        <v>804372074.91999996</v>
      </c>
      <c r="U1630">
        <v>100</v>
      </c>
      <c r="V1630">
        <v>139882</v>
      </c>
      <c r="W1630">
        <v>100</v>
      </c>
    </row>
    <row r="1631" spans="1:23" hidden="1" x14ac:dyDescent="0.25">
      <c r="A1631" t="s">
        <v>182</v>
      </c>
      <c r="B1631">
        <v>10</v>
      </c>
      <c r="C1631">
        <v>2025</v>
      </c>
      <c r="D1631" t="s">
        <v>149</v>
      </c>
      <c r="E1631" t="s">
        <v>150</v>
      </c>
      <c r="F1631">
        <v>-74375</v>
      </c>
      <c r="G1631">
        <v>-4192964.78</v>
      </c>
      <c r="H1631">
        <v>1597525</v>
      </c>
      <c r="I1631">
        <v>5.7034192704078901</v>
      </c>
      <c r="J1631">
        <v>91836353.280000001</v>
      </c>
      <c r="K1631">
        <v>5.7085741868898197</v>
      </c>
      <c r="L1631">
        <v>761575</v>
      </c>
      <c r="M1631">
        <v>5.4378886475778296</v>
      </c>
      <c r="N1631">
        <v>57.540878114433902</v>
      </c>
      <c r="O1631">
        <v>43821694.25</v>
      </c>
      <c r="P1631">
        <v>5.44793828722133</v>
      </c>
      <c r="Q1631">
        <v>835950</v>
      </c>
      <c r="R1631">
        <v>5.9689498932379497</v>
      </c>
      <c r="S1631">
        <v>57.437237908965798</v>
      </c>
      <c r="T1631">
        <v>48014659.030000001</v>
      </c>
      <c r="U1631">
        <v>5.9692100866101496</v>
      </c>
      <c r="V1631">
        <v>8967</v>
      </c>
      <c r="W1631">
        <v>6.4104030540026598</v>
      </c>
    </row>
    <row r="1632" spans="1:23" hidden="1" x14ac:dyDescent="0.25">
      <c r="A1632" t="s">
        <v>182</v>
      </c>
      <c r="B1632">
        <v>10</v>
      </c>
      <c r="C1632">
        <v>2025</v>
      </c>
      <c r="D1632" t="s">
        <v>183</v>
      </c>
      <c r="E1632" t="s">
        <v>184</v>
      </c>
      <c r="F1632">
        <v>-11770</v>
      </c>
      <c r="G1632">
        <v>-687543.9</v>
      </c>
      <c r="H1632">
        <v>61630</v>
      </c>
      <c r="I1632">
        <v>0.22002893828593501</v>
      </c>
      <c r="J1632">
        <v>3497994.44</v>
      </c>
      <c r="K1632">
        <v>0.217436342503561</v>
      </c>
      <c r="L1632">
        <v>24930</v>
      </c>
      <c r="M1632">
        <v>0.17800815938563599</v>
      </c>
      <c r="N1632">
        <v>56.366837946249497</v>
      </c>
      <c r="O1632">
        <v>1405225.27</v>
      </c>
      <c r="P1632">
        <v>0.17469841551377099</v>
      </c>
      <c r="Q1632">
        <v>36700</v>
      </c>
      <c r="R1632">
        <v>0.26204971718623399</v>
      </c>
      <c r="S1632">
        <v>57.023683106267001</v>
      </c>
      <c r="T1632">
        <v>2092769.17</v>
      </c>
      <c r="U1632">
        <v>0.26017426950185202</v>
      </c>
      <c r="V1632">
        <v>371</v>
      </c>
      <c r="W1632">
        <v>0.26522354555982902</v>
      </c>
    </row>
    <row r="1633" spans="1:23" hidden="1" x14ac:dyDescent="0.25">
      <c r="A1633" t="s">
        <v>182</v>
      </c>
      <c r="B1633">
        <v>10</v>
      </c>
      <c r="C1633">
        <v>2025</v>
      </c>
      <c r="D1633" t="s">
        <v>151</v>
      </c>
      <c r="E1633" t="s">
        <v>152</v>
      </c>
      <c r="F1633">
        <v>15848</v>
      </c>
      <c r="G1633">
        <v>857773.74000001</v>
      </c>
      <c r="H1633">
        <v>2943712</v>
      </c>
      <c r="I1633">
        <v>10.509521758552101</v>
      </c>
      <c r="J1633">
        <v>169375459.66</v>
      </c>
      <c r="K1633">
        <v>10.5284273860452</v>
      </c>
      <c r="L1633">
        <v>1479780</v>
      </c>
      <c r="M1633">
        <v>10.5661016484427</v>
      </c>
      <c r="N1633">
        <v>57.519777737231202</v>
      </c>
      <c r="O1633">
        <v>85116616.700000003</v>
      </c>
      <c r="P1633">
        <v>10.581746847879399</v>
      </c>
      <c r="Q1633">
        <v>1463932</v>
      </c>
      <c r="R1633">
        <v>10.452941868661499</v>
      </c>
      <c r="S1633">
        <v>57.556527871513197</v>
      </c>
      <c r="T1633">
        <v>84258842.959999993</v>
      </c>
      <c r="U1633">
        <v>10.475107924200399</v>
      </c>
      <c r="V1633">
        <v>11711</v>
      </c>
      <c r="W1633">
        <v>8.3720564475772399</v>
      </c>
    </row>
    <row r="1634" spans="1:23" hidden="1" x14ac:dyDescent="0.25">
      <c r="A1634" t="s">
        <v>182</v>
      </c>
      <c r="B1634">
        <v>10</v>
      </c>
      <c r="C1634">
        <v>2025</v>
      </c>
      <c r="D1634" t="s">
        <v>153</v>
      </c>
      <c r="E1634" t="s">
        <v>154</v>
      </c>
      <c r="F1634">
        <v>13883</v>
      </c>
      <c r="G1634">
        <v>796463.54</v>
      </c>
      <c r="H1634">
        <v>65691</v>
      </c>
      <c r="I1634">
        <v>0.23452735656241</v>
      </c>
      <c r="J1634">
        <v>3807041.68</v>
      </c>
      <c r="K1634">
        <v>0.236646808008595</v>
      </c>
      <c r="L1634">
        <v>39787</v>
      </c>
      <c r="M1634">
        <v>0.28409188277080899</v>
      </c>
      <c r="N1634">
        <v>57.851876492321601</v>
      </c>
      <c r="O1634">
        <v>2301752.61</v>
      </c>
      <c r="P1634">
        <v>0.286155211165315</v>
      </c>
      <c r="Q1634">
        <v>25904</v>
      </c>
      <c r="R1634">
        <v>0.18496283035401101</v>
      </c>
      <c r="S1634">
        <v>58.110294549104403</v>
      </c>
      <c r="T1634">
        <v>1505289.07</v>
      </c>
      <c r="U1634">
        <v>0.18713840484202701</v>
      </c>
      <c r="V1634">
        <v>1294</v>
      </c>
      <c r="W1634">
        <v>0.92506541227606098</v>
      </c>
    </row>
    <row r="1635" spans="1:23" hidden="1" x14ac:dyDescent="0.25">
      <c r="A1635" t="s">
        <v>182</v>
      </c>
      <c r="B1635">
        <v>10</v>
      </c>
      <c r="C1635">
        <v>2025</v>
      </c>
      <c r="D1635" t="s">
        <v>155</v>
      </c>
      <c r="E1635" t="s">
        <v>156</v>
      </c>
      <c r="F1635">
        <v>-6351</v>
      </c>
      <c r="G1635">
        <v>-357033.59</v>
      </c>
      <c r="H1635">
        <v>24931</v>
      </c>
      <c r="I1635">
        <v>8.9007649852452506E-2</v>
      </c>
      <c r="J1635">
        <v>1428996.69</v>
      </c>
      <c r="K1635">
        <v>8.8826846083636099E-2</v>
      </c>
      <c r="L1635">
        <v>9290</v>
      </c>
      <c r="M1635">
        <v>6.6333566012537301E-2</v>
      </c>
      <c r="N1635">
        <v>57.694461786867599</v>
      </c>
      <c r="O1635">
        <v>535981.55000000005</v>
      </c>
      <c r="P1635">
        <v>6.6633535226430299E-2</v>
      </c>
      <c r="Q1635">
        <v>15641</v>
      </c>
      <c r="R1635">
        <v>0.111681733692368</v>
      </c>
      <c r="S1635">
        <v>57.094504187711799</v>
      </c>
      <c r="T1635">
        <v>893015.14</v>
      </c>
      <c r="U1635">
        <v>0.11102015694525599</v>
      </c>
      <c r="V1635">
        <v>62</v>
      </c>
      <c r="W1635">
        <v>4.4323072303798901E-2</v>
      </c>
    </row>
    <row r="1636" spans="1:23" hidden="1" x14ac:dyDescent="0.25">
      <c r="A1636" t="s">
        <v>182</v>
      </c>
      <c r="B1636">
        <v>11</v>
      </c>
      <c r="C1636">
        <v>2025</v>
      </c>
      <c r="D1636" t="s">
        <v>88</v>
      </c>
      <c r="E1636" t="s">
        <v>89</v>
      </c>
      <c r="F1636">
        <v>17678</v>
      </c>
      <c r="G1636">
        <v>971803.90000000095</v>
      </c>
      <c r="H1636">
        <v>301650</v>
      </c>
      <c r="I1636">
        <v>2.4955507800116301</v>
      </c>
      <c r="J1636">
        <v>17380197.739999998</v>
      </c>
      <c r="K1636">
        <v>2.5014801375990401</v>
      </c>
      <c r="L1636">
        <v>159664</v>
      </c>
      <c r="M1636">
        <v>2.6418008933517498</v>
      </c>
      <c r="N1636">
        <v>57.470693581521203</v>
      </c>
      <c r="O1636">
        <v>9176000.8200000003</v>
      </c>
      <c r="P1636">
        <v>2.64134898062906</v>
      </c>
      <c r="Q1636">
        <v>141986</v>
      </c>
      <c r="R1636">
        <v>2.3493006666715202</v>
      </c>
      <c r="S1636">
        <v>57.7817314383108</v>
      </c>
      <c r="T1636">
        <v>8204196.9199999999</v>
      </c>
      <c r="U1636">
        <v>2.3616112945448502</v>
      </c>
      <c r="V1636">
        <v>1663</v>
      </c>
      <c r="W1636">
        <v>2.3352149858173998</v>
      </c>
    </row>
    <row r="1637" spans="1:23" hidden="1" x14ac:dyDescent="0.25">
      <c r="A1637" t="s">
        <v>182</v>
      </c>
      <c r="B1637">
        <v>11</v>
      </c>
      <c r="C1637">
        <v>2025</v>
      </c>
      <c r="D1637" t="s">
        <v>90</v>
      </c>
      <c r="E1637" t="s">
        <v>91</v>
      </c>
      <c r="F1637">
        <v>-107707</v>
      </c>
      <c r="G1637">
        <v>-6223847.6599999899</v>
      </c>
      <c r="H1637">
        <v>557199</v>
      </c>
      <c r="I1637">
        <v>4.60970793658778</v>
      </c>
      <c r="J1637">
        <v>32043890.18</v>
      </c>
      <c r="K1637">
        <v>4.6119817516342501</v>
      </c>
      <c r="L1637">
        <v>224746</v>
      </c>
      <c r="M1637">
        <v>3.7186478077539902</v>
      </c>
      <c r="N1637">
        <v>57.442718713570002</v>
      </c>
      <c r="O1637">
        <v>12910021.26</v>
      </c>
      <c r="P1637">
        <v>3.7162018796550802</v>
      </c>
      <c r="Q1637">
        <v>332453</v>
      </c>
      <c r="R1637">
        <v>5.5007680654215703</v>
      </c>
      <c r="S1637">
        <v>57.553605833005001</v>
      </c>
      <c r="T1637">
        <v>19133868.920000002</v>
      </c>
      <c r="U1637">
        <v>5.5077616237681299</v>
      </c>
      <c r="V1637">
        <v>4725</v>
      </c>
      <c r="W1637">
        <v>6.6349313337265103</v>
      </c>
    </row>
    <row r="1638" spans="1:23" hidden="1" x14ac:dyDescent="0.25">
      <c r="A1638" t="s">
        <v>182</v>
      </c>
      <c r="B1638">
        <v>11</v>
      </c>
      <c r="C1638">
        <v>2025</v>
      </c>
      <c r="D1638" t="s">
        <v>92</v>
      </c>
      <c r="E1638" t="s">
        <v>93</v>
      </c>
      <c r="F1638">
        <v>3981</v>
      </c>
      <c r="G1638">
        <v>235450.11</v>
      </c>
      <c r="H1638">
        <v>23693</v>
      </c>
      <c r="I1638">
        <v>0.19601221492065499</v>
      </c>
      <c r="J1638">
        <v>1372110.75</v>
      </c>
      <c r="K1638">
        <v>0.19748381687348501</v>
      </c>
      <c r="L1638">
        <v>13837</v>
      </c>
      <c r="M1638">
        <v>0.228947032275956</v>
      </c>
      <c r="N1638">
        <v>58.089212256992099</v>
      </c>
      <c r="O1638">
        <v>803780.43</v>
      </c>
      <c r="P1638">
        <v>0.23137145049100899</v>
      </c>
      <c r="Q1638">
        <v>9856</v>
      </c>
      <c r="R1638">
        <v>0.163077397565355</v>
      </c>
      <c r="S1638">
        <v>57.663384740259701</v>
      </c>
      <c r="T1638">
        <v>568330.31999999995</v>
      </c>
      <c r="U1638">
        <v>0.163596183250108</v>
      </c>
      <c r="V1638">
        <v>81</v>
      </c>
      <c r="W1638">
        <v>0.11374168000674</v>
      </c>
    </row>
    <row r="1639" spans="1:23" hidden="1" x14ac:dyDescent="0.25">
      <c r="A1639" t="s">
        <v>182</v>
      </c>
      <c r="B1639">
        <v>11</v>
      </c>
      <c r="C1639">
        <v>2025</v>
      </c>
      <c r="D1639" t="s">
        <v>94</v>
      </c>
      <c r="E1639" t="s">
        <v>95</v>
      </c>
      <c r="F1639">
        <v>-119944</v>
      </c>
      <c r="G1639">
        <v>-6873852.5700000003</v>
      </c>
      <c r="H1639">
        <v>537808</v>
      </c>
      <c r="I1639">
        <v>4.4492861723735997</v>
      </c>
      <c r="J1639">
        <v>30918231.329999998</v>
      </c>
      <c r="K1639">
        <v>4.4499690232918603</v>
      </c>
      <c r="L1639">
        <v>208932</v>
      </c>
      <c r="M1639">
        <v>3.45698932915227</v>
      </c>
      <c r="N1639">
        <v>57.541158750215402</v>
      </c>
      <c r="O1639">
        <v>12022189.380000001</v>
      </c>
      <c r="P1639">
        <v>3.46063587904001</v>
      </c>
      <c r="Q1639">
        <v>328876</v>
      </c>
      <c r="R1639">
        <v>5.4415830155949401</v>
      </c>
      <c r="S1639">
        <v>57.456433275763501</v>
      </c>
      <c r="T1639">
        <v>18896041.949999999</v>
      </c>
      <c r="U1639">
        <v>5.4393021677145796</v>
      </c>
      <c r="V1639">
        <v>1419</v>
      </c>
      <c r="W1639">
        <v>1.9925857275254899</v>
      </c>
    </row>
    <row r="1640" spans="1:23" hidden="1" x14ac:dyDescent="0.25">
      <c r="A1640" t="s">
        <v>182</v>
      </c>
      <c r="B1640">
        <v>11</v>
      </c>
      <c r="C1640">
        <v>2025</v>
      </c>
      <c r="D1640" t="s">
        <v>96</v>
      </c>
      <c r="E1640" t="s">
        <v>97</v>
      </c>
      <c r="F1640">
        <v>-38315</v>
      </c>
      <c r="G1640">
        <v>-2235596.86</v>
      </c>
      <c r="H1640">
        <v>184979</v>
      </c>
      <c r="I1640">
        <v>1.5303314693710299</v>
      </c>
      <c r="J1640">
        <v>10687996.34</v>
      </c>
      <c r="K1640">
        <v>1.5382915059539</v>
      </c>
      <c r="L1640">
        <v>73332</v>
      </c>
      <c r="M1640">
        <v>1.2133514324535899</v>
      </c>
      <c r="N1640">
        <v>57.631044291714403</v>
      </c>
      <c r="O1640">
        <v>4226199.74</v>
      </c>
      <c r="P1640">
        <v>1.21652870288037</v>
      </c>
      <c r="Q1640">
        <v>111647</v>
      </c>
      <c r="R1640">
        <v>1.84731150628847</v>
      </c>
      <c r="S1640">
        <v>57.877028491585101</v>
      </c>
      <c r="T1640">
        <v>6461796.5999999996</v>
      </c>
      <c r="U1640">
        <v>1.8600543090830099</v>
      </c>
      <c r="V1640">
        <v>1070</v>
      </c>
      <c r="W1640">
        <v>1.5025135507063201</v>
      </c>
    </row>
    <row r="1641" spans="1:23" hidden="1" x14ac:dyDescent="0.25">
      <c r="A1641" t="s">
        <v>182</v>
      </c>
      <c r="B1641">
        <v>11</v>
      </c>
      <c r="C1641">
        <v>2025</v>
      </c>
      <c r="D1641" t="s">
        <v>98</v>
      </c>
      <c r="E1641" t="s">
        <v>99</v>
      </c>
      <c r="F1641">
        <v>-5534</v>
      </c>
      <c r="G1641">
        <v>-313667.37</v>
      </c>
      <c r="H1641">
        <v>5534</v>
      </c>
      <c r="I1641">
        <v>4.5782788054315897E-2</v>
      </c>
      <c r="J1641">
        <v>313667.37</v>
      </c>
      <c r="K1641">
        <v>4.5145211096310998E-2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5534</v>
      </c>
      <c r="R1641">
        <v>9.1565576108631794E-2</v>
      </c>
      <c r="S1641">
        <v>56.6800451752801</v>
      </c>
      <c r="T1641">
        <v>313667.37</v>
      </c>
      <c r="U1641">
        <v>9.0290422200419204E-2</v>
      </c>
      <c r="V1641">
        <v>11</v>
      </c>
      <c r="W1641">
        <v>1.5446400988569701E-2</v>
      </c>
    </row>
    <row r="1642" spans="1:23" hidden="1" x14ac:dyDescent="0.25">
      <c r="A1642" t="s">
        <v>182</v>
      </c>
      <c r="B1642">
        <v>11</v>
      </c>
      <c r="C1642">
        <v>2025</v>
      </c>
      <c r="D1642" t="s">
        <v>100</v>
      </c>
      <c r="E1642" t="s">
        <v>101</v>
      </c>
      <c r="F1642">
        <v>11167</v>
      </c>
      <c r="G1642">
        <v>639421.55000000005</v>
      </c>
      <c r="H1642">
        <v>21181</v>
      </c>
      <c r="I1642">
        <v>0.175230436172473</v>
      </c>
      <c r="J1642">
        <v>1218787.5900000001</v>
      </c>
      <c r="K1642">
        <v>0.17541647074132799</v>
      </c>
      <c r="L1642">
        <v>16174</v>
      </c>
      <c r="M1642">
        <v>0.267615039389413</v>
      </c>
      <c r="N1642">
        <v>57.444328551997003</v>
      </c>
      <c r="O1642">
        <v>929104.57</v>
      </c>
      <c r="P1642">
        <v>0.26744651150405002</v>
      </c>
      <c r="Q1642">
        <v>5007</v>
      </c>
      <c r="R1642">
        <v>8.2845832955532994E-2</v>
      </c>
      <c r="S1642">
        <v>57.855606151388102</v>
      </c>
      <c r="T1642">
        <v>289683.02</v>
      </c>
      <c r="U1642">
        <v>8.3386429962710104E-2</v>
      </c>
      <c r="V1642">
        <v>91</v>
      </c>
      <c r="W1642">
        <v>0.12778386272362199</v>
      </c>
    </row>
    <row r="1643" spans="1:23" hidden="1" x14ac:dyDescent="0.25">
      <c r="A1643" t="s">
        <v>182</v>
      </c>
      <c r="B1643">
        <v>11</v>
      </c>
      <c r="C1643">
        <v>2025</v>
      </c>
      <c r="D1643" t="s">
        <v>159</v>
      </c>
      <c r="E1643" t="s">
        <v>160</v>
      </c>
      <c r="F1643">
        <v>3400</v>
      </c>
      <c r="G1643">
        <v>196060</v>
      </c>
      <c r="H1643">
        <v>3400</v>
      </c>
      <c r="I1643">
        <v>2.81282037196737E-2</v>
      </c>
      <c r="J1643">
        <v>196060</v>
      </c>
      <c r="K1643">
        <v>2.82183323293804E-2</v>
      </c>
      <c r="L1643">
        <v>3400</v>
      </c>
      <c r="M1643">
        <v>5.6256407439347303E-2</v>
      </c>
      <c r="N1643">
        <v>57.664705882352898</v>
      </c>
      <c r="O1643">
        <v>196060</v>
      </c>
      <c r="P1643">
        <v>5.6436664653887199E-2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8</v>
      </c>
      <c r="W1643">
        <v>1.1233746173505201E-2</v>
      </c>
    </row>
    <row r="1644" spans="1:23" hidden="1" x14ac:dyDescent="0.25">
      <c r="A1644" t="s">
        <v>182</v>
      </c>
      <c r="B1644">
        <v>11</v>
      </c>
      <c r="C1644">
        <v>2025</v>
      </c>
      <c r="D1644" t="s">
        <v>102</v>
      </c>
      <c r="E1644" t="s">
        <v>103</v>
      </c>
      <c r="F1644">
        <v>137130</v>
      </c>
      <c r="G1644">
        <v>7977545.1799999997</v>
      </c>
      <c r="H1644">
        <v>856662</v>
      </c>
      <c r="I1644">
        <v>7.0871656632067896</v>
      </c>
      <c r="J1644">
        <v>49334629.439999998</v>
      </c>
      <c r="K1644">
        <v>7.1005863964335196</v>
      </c>
      <c r="L1644">
        <v>496896</v>
      </c>
      <c r="M1644">
        <v>8.2216423032299808</v>
      </c>
      <c r="N1644">
        <v>57.670191166763303</v>
      </c>
      <c r="O1644">
        <v>28656087.309999999</v>
      </c>
      <c r="P1644">
        <v>8.2487707324644699</v>
      </c>
      <c r="Q1644">
        <v>359766</v>
      </c>
      <c r="R1644">
        <v>5.9526890231836003</v>
      </c>
      <c r="S1644">
        <v>57.477755346530799</v>
      </c>
      <c r="T1644">
        <v>20678542.129999999</v>
      </c>
      <c r="U1644">
        <v>5.9524020602042702</v>
      </c>
      <c r="V1644">
        <v>6383</v>
      </c>
      <c r="W1644">
        <v>8.9631252281854703</v>
      </c>
    </row>
    <row r="1645" spans="1:23" hidden="1" x14ac:dyDescent="0.25">
      <c r="A1645" t="s">
        <v>182</v>
      </c>
      <c r="B1645">
        <v>11</v>
      </c>
      <c r="C1645">
        <v>2025</v>
      </c>
      <c r="D1645" t="s">
        <v>189</v>
      </c>
      <c r="E1645" t="s">
        <v>190</v>
      </c>
      <c r="F1645">
        <v>6636</v>
      </c>
      <c r="G1645">
        <v>386871.82</v>
      </c>
      <c r="H1645">
        <v>15312</v>
      </c>
      <c r="I1645">
        <v>0.12667619275166001</v>
      </c>
      <c r="J1645">
        <v>892859.16</v>
      </c>
      <c r="K1645">
        <v>0.128506561767885</v>
      </c>
      <c r="L1645">
        <v>10974</v>
      </c>
      <c r="M1645">
        <v>0.181575828011588</v>
      </c>
      <c r="N1645">
        <v>58.307407508656802</v>
      </c>
      <c r="O1645">
        <v>639865.49</v>
      </c>
      <c r="P1645">
        <v>0.18418787148181801</v>
      </c>
      <c r="Q1645">
        <v>4338</v>
      </c>
      <c r="R1645">
        <v>7.1776557491731993E-2</v>
      </c>
      <c r="S1645">
        <v>58.320348086675899</v>
      </c>
      <c r="T1645">
        <v>252993.67</v>
      </c>
      <c r="U1645">
        <v>7.2825252044334501E-2</v>
      </c>
      <c r="V1645">
        <v>43</v>
      </c>
      <c r="W1645">
        <v>6.0381385682590501E-2</v>
      </c>
    </row>
    <row r="1646" spans="1:23" hidden="1" x14ac:dyDescent="0.25">
      <c r="A1646" t="s">
        <v>182</v>
      </c>
      <c r="B1646">
        <v>11</v>
      </c>
      <c r="C1646">
        <v>2025</v>
      </c>
      <c r="D1646" t="s">
        <v>161</v>
      </c>
      <c r="E1646" t="s">
        <v>162</v>
      </c>
      <c r="F1646">
        <v>-4661</v>
      </c>
      <c r="G1646">
        <v>-269230.82</v>
      </c>
      <c r="H1646">
        <v>11723</v>
      </c>
      <c r="I1646">
        <v>9.6984391825215996E-2</v>
      </c>
      <c r="J1646">
        <v>675441.2</v>
      </c>
      <c r="K1646">
        <v>9.7214241816563907E-2</v>
      </c>
      <c r="L1646">
        <v>3531</v>
      </c>
      <c r="M1646">
        <v>5.8423933725981002E-2</v>
      </c>
      <c r="N1646">
        <v>57.520586236193701</v>
      </c>
      <c r="O1646">
        <v>203105.19</v>
      </c>
      <c r="P1646">
        <v>5.84646511144244E-2</v>
      </c>
      <c r="Q1646">
        <v>8192</v>
      </c>
      <c r="R1646">
        <v>0.13554484992445101</v>
      </c>
      <c r="S1646">
        <v>57.658204345703098</v>
      </c>
      <c r="T1646">
        <v>472336.01</v>
      </c>
      <c r="U1646">
        <v>0.13596383252539601</v>
      </c>
      <c r="V1646">
        <v>46</v>
      </c>
      <c r="W1646">
        <v>6.4594040497655006E-2</v>
      </c>
    </row>
    <row r="1647" spans="1:23" hidden="1" x14ac:dyDescent="0.25">
      <c r="A1647" t="s">
        <v>182</v>
      </c>
      <c r="B1647">
        <v>11</v>
      </c>
      <c r="C1647">
        <v>2025</v>
      </c>
      <c r="D1647" t="s">
        <v>104</v>
      </c>
      <c r="E1647" t="s">
        <v>105</v>
      </c>
      <c r="F1647">
        <v>29772</v>
      </c>
      <c r="G1647">
        <v>1691804.37</v>
      </c>
      <c r="H1647">
        <v>385464</v>
      </c>
      <c r="I1647">
        <v>3.1889440937059699</v>
      </c>
      <c r="J1647">
        <v>22128917.27</v>
      </c>
      <c r="K1647">
        <v>3.1849492074580499</v>
      </c>
      <c r="L1647">
        <v>207618</v>
      </c>
      <c r="M1647">
        <v>3.4352478822771801</v>
      </c>
      <c r="N1647">
        <v>57.366706258609597</v>
      </c>
      <c r="O1647">
        <v>11910360.82</v>
      </c>
      <c r="P1647">
        <v>3.4284455753602798</v>
      </c>
      <c r="Q1647">
        <v>177846</v>
      </c>
      <c r="R1647">
        <v>2.9426403051347498</v>
      </c>
      <c r="S1647">
        <v>57.457330780562998</v>
      </c>
      <c r="T1647">
        <v>10218556.449999999</v>
      </c>
      <c r="U1647">
        <v>2.94145283951377</v>
      </c>
      <c r="V1647">
        <v>3689</v>
      </c>
      <c r="W1647">
        <v>5.1801612042575904</v>
      </c>
    </row>
    <row r="1648" spans="1:23" hidden="1" x14ac:dyDescent="0.25">
      <c r="A1648" t="s">
        <v>182</v>
      </c>
      <c r="B1648">
        <v>11</v>
      </c>
      <c r="C1648">
        <v>2025</v>
      </c>
      <c r="D1648" t="s">
        <v>187</v>
      </c>
      <c r="E1648" t="s">
        <v>188</v>
      </c>
      <c r="F1648">
        <v>3000</v>
      </c>
      <c r="G1648">
        <v>174150</v>
      </c>
      <c r="H1648">
        <v>5000</v>
      </c>
      <c r="I1648">
        <v>4.1365005470108303E-2</v>
      </c>
      <c r="J1648">
        <v>289450</v>
      </c>
      <c r="K1648">
        <v>4.16596771026174E-2</v>
      </c>
      <c r="L1648">
        <v>4000</v>
      </c>
      <c r="M1648">
        <v>6.6184008752173298E-2</v>
      </c>
      <c r="N1648">
        <v>57.95</v>
      </c>
      <c r="O1648">
        <v>231800</v>
      </c>
      <c r="P1648">
        <v>6.6724568329955394E-2</v>
      </c>
      <c r="Q1648">
        <v>1000</v>
      </c>
      <c r="R1648">
        <v>1.65460021880433E-2</v>
      </c>
      <c r="S1648">
        <v>57.65</v>
      </c>
      <c r="T1648">
        <v>57650</v>
      </c>
      <c r="U1648">
        <v>1.6594785870950399E-2</v>
      </c>
      <c r="V1648">
        <v>16</v>
      </c>
      <c r="W1648">
        <v>2.2467492347010402E-2</v>
      </c>
    </row>
    <row r="1649" spans="1:23" hidden="1" x14ac:dyDescent="0.25">
      <c r="A1649" t="s">
        <v>182</v>
      </c>
      <c r="B1649">
        <v>11</v>
      </c>
      <c r="C1649">
        <v>2025</v>
      </c>
      <c r="D1649" t="s">
        <v>106</v>
      </c>
      <c r="E1649" t="s">
        <v>107</v>
      </c>
      <c r="F1649">
        <v>46839</v>
      </c>
      <c r="G1649">
        <v>2651469.04</v>
      </c>
      <c r="H1649">
        <v>365965</v>
      </c>
      <c r="I1649">
        <v>3.02762884537364</v>
      </c>
      <c r="J1649">
        <v>21140964.300000001</v>
      </c>
      <c r="K1649">
        <v>3.0427560766141402</v>
      </c>
      <c r="L1649">
        <v>206402</v>
      </c>
      <c r="M1649">
        <v>3.4151279436165201</v>
      </c>
      <c r="N1649">
        <v>57.636150182653303</v>
      </c>
      <c r="O1649">
        <v>11896216.67</v>
      </c>
      <c r="P1649">
        <v>3.4243741245270498</v>
      </c>
      <c r="Q1649">
        <v>159563</v>
      </c>
      <c r="R1649">
        <v>2.6401297471307599</v>
      </c>
      <c r="S1649">
        <v>57.937915619535801</v>
      </c>
      <c r="T1649">
        <v>9244747.6300000008</v>
      </c>
      <c r="U1649">
        <v>2.6611380286353201</v>
      </c>
      <c r="V1649">
        <v>1128</v>
      </c>
      <c r="W1649">
        <v>1.58395821046423</v>
      </c>
    </row>
    <row r="1650" spans="1:23" hidden="1" x14ac:dyDescent="0.25">
      <c r="A1650" t="s">
        <v>182</v>
      </c>
      <c r="B1650">
        <v>11</v>
      </c>
      <c r="C1650">
        <v>2025</v>
      </c>
      <c r="D1650" t="s">
        <v>108</v>
      </c>
      <c r="E1650" t="s">
        <v>109</v>
      </c>
      <c r="F1650">
        <v>-67</v>
      </c>
      <c r="G1650">
        <v>-3616.95</v>
      </c>
      <c r="H1650">
        <v>167</v>
      </c>
      <c r="I1650">
        <v>1.38159118270162E-3</v>
      </c>
      <c r="J1650">
        <v>9505.77</v>
      </c>
      <c r="K1650">
        <v>1.3681371871195299E-3</v>
      </c>
      <c r="L1650">
        <v>50</v>
      </c>
      <c r="M1650">
        <v>8.2730010940216603E-4</v>
      </c>
      <c r="N1650">
        <v>58.888199999999998</v>
      </c>
      <c r="O1650">
        <v>2944.41</v>
      </c>
      <c r="P1650">
        <v>8.4756033751684295E-4</v>
      </c>
      <c r="Q1650">
        <v>117</v>
      </c>
      <c r="R1650">
        <v>1.93588225600107E-3</v>
      </c>
      <c r="S1650">
        <v>56.08</v>
      </c>
      <c r="T1650">
        <v>6561.36</v>
      </c>
      <c r="U1650">
        <v>1.8887140368121301E-3</v>
      </c>
      <c r="V1650">
        <v>3</v>
      </c>
      <c r="W1650">
        <v>4.2126548150644497E-3</v>
      </c>
    </row>
    <row r="1651" spans="1:23" hidden="1" x14ac:dyDescent="0.25">
      <c r="A1651" t="s">
        <v>182</v>
      </c>
      <c r="B1651">
        <v>11</v>
      </c>
      <c r="C1651">
        <v>2025</v>
      </c>
      <c r="D1651" t="s">
        <v>110</v>
      </c>
      <c r="E1651" t="s">
        <v>111</v>
      </c>
      <c r="F1651">
        <v>47</v>
      </c>
      <c r="G1651">
        <v>5014.98000000091</v>
      </c>
      <c r="H1651">
        <v>116305</v>
      </c>
      <c r="I1651">
        <v>0.96219139224019001</v>
      </c>
      <c r="J1651">
        <v>6704332.3399999999</v>
      </c>
      <c r="K1651">
        <v>0.96493460173790102</v>
      </c>
      <c r="L1651">
        <v>58176</v>
      </c>
      <c r="M1651">
        <v>0.96258022329160897</v>
      </c>
      <c r="N1651">
        <v>57.664219953245301</v>
      </c>
      <c r="O1651">
        <v>3354673.66</v>
      </c>
      <c r="P1651">
        <v>0.96565639280143101</v>
      </c>
      <c r="Q1651">
        <v>58129</v>
      </c>
      <c r="R1651">
        <v>0.96180256118877105</v>
      </c>
      <c r="S1651">
        <v>57.6245708682413</v>
      </c>
      <c r="T1651">
        <v>3349658.68</v>
      </c>
      <c r="U1651">
        <v>0.96421281067424702</v>
      </c>
      <c r="V1651">
        <v>802</v>
      </c>
      <c r="W1651">
        <v>1.1261830538938999</v>
      </c>
    </row>
    <row r="1652" spans="1:23" hidden="1" x14ac:dyDescent="0.25">
      <c r="A1652" t="s">
        <v>182</v>
      </c>
      <c r="B1652">
        <v>11</v>
      </c>
      <c r="C1652">
        <v>2025</v>
      </c>
      <c r="D1652" t="s">
        <v>112</v>
      </c>
      <c r="E1652" t="s">
        <v>113</v>
      </c>
      <c r="F1652">
        <v>3034</v>
      </c>
      <c r="G1652">
        <v>177927.37</v>
      </c>
      <c r="H1652">
        <v>9656</v>
      </c>
      <c r="I1652">
        <v>7.9884098563873199E-2</v>
      </c>
      <c r="J1652">
        <v>554950.32999999996</v>
      </c>
      <c r="K1652">
        <v>7.9872349475871393E-2</v>
      </c>
      <c r="L1652">
        <v>6345</v>
      </c>
      <c r="M1652">
        <v>0.104984383883135</v>
      </c>
      <c r="N1652">
        <v>57.752379826635099</v>
      </c>
      <c r="O1652">
        <v>366438.85</v>
      </c>
      <c r="P1652">
        <v>0.105480906322585</v>
      </c>
      <c r="Q1652">
        <v>3311</v>
      </c>
      <c r="R1652">
        <v>5.4783813244611498E-2</v>
      </c>
      <c r="S1652">
        <v>56.934907882814898</v>
      </c>
      <c r="T1652">
        <v>188511.48</v>
      </c>
      <c r="U1652">
        <v>5.4263792624734498E-2</v>
      </c>
      <c r="V1652">
        <v>107</v>
      </c>
      <c r="W1652">
        <v>0.150251355070632</v>
      </c>
    </row>
    <row r="1653" spans="1:23" hidden="1" x14ac:dyDescent="0.25">
      <c r="A1653" t="s">
        <v>182</v>
      </c>
      <c r="B1653">
        <v>11</v>
      </c>
      <c r="C1653">
        <v>2025</v>
      </c>
      <c r="D1653" t="s">
        <v>167</v>
      </c>
      <c r="E1653" t="s">
        <v>168</v>
      </c>
      <c r="F1653">
        <v>1575</v>
      </c>
      <c r="G1653">
        <v>90820.29</v>
      </c>
      <c r="H1653">
        <v>3841</v>
      </c>
      <c r="I1653">
        <v>3.17765972021372E-2</v>
      </c>
      <c r="J1653">
        <v>222217.91</v>
      </c>
      <c r="K1653">
        <v>3.1983162470266002E-2</v>
      </c>
      <c r="L1653">
        <v>2708</v>
      </c>
      <c r="M1653">
        <v>4.4806573925221298E-2</v>
      </c>
      <c r="N1653">
        <v>57.798781388478602</v>
      </c>
      <c r="O1653">
        <v>156519.1</v>
      </c>
      <c r="P1653">
        <v>4.5054656526717599E-2</v>
      </c>
      <c r="Q1653">
        <v>1133</v>
      </c>
      <c r="R1653">
        <v>1.8746620479053101E-2</v>
      </c>
      <c r="S1653">
        <v>57.986593115622199</v>
      </c>
      <c r="T1653">
        <v>65698.81</v>
      </c>
      <c r="U1653">
        <v>1.8911668411556899E-2</v>
      </c>
      <c r="V1653">
        <v>54</v>
      </c>
      <c r="W1653">
        <v>7.5827786671160205E-2</v>
      </c>
    </row>
    <row r="1654" spans="1:23" hidden="1" x14ac:dyDescent="0.25">
      <c r="A1654" t="s">
        <v>182</v>
      </c>
      <c r="B1654">
        <v>11</v>
      </c>
      <c r="C1654">
        <v>2025</v>
      </c>
      <c r="D1654" t="s">
        <v>169</v>
      </c>
      <c r="E1654" t="s">
        <v>170</v>
      </c>
      <c r="F1654">
        <v>2274</v>
      </c>
      <c r="G1654">
        <v>131759.73000000001</v>
      </c>
      <c r="H1654">
        <v>2274</v>
      </c>
      <c r="I1654">
        <v>1.8812804487805299E-2</v>
      </c>
      <c r="J1654">
        <v>131759.73000000001</v>
      </c>
      <c r="K1654">
        <v>1.89637858245916E-2</v>
      </c>
      <c r="L1654">
        <v>2274</v>
      </c>
      <c r="M1654">
        <v>3.76256089756105E-2</v>
      </c>
      <c r="N1654">
        <v>57.941833773087097</v>
      </c>
      <c r="O1654">
        <v>131759.73000000001</v>
      </c>
      <c r="P1654">
        <v>3.7927571645908001E-2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7</v>
      </c>
      <c r="W1654">
        <v>9.8295279018170596E-3</v>
      </c>
    </row>
    <row r="1655" spans="1:23" hidden="1" x14ac:dyDescent="0.25">
      <c r="A1655" t="s">
        <v>182</v>
      </c>
      <c r="B1655">
        <v>11</v>
      </c>
      <c r="C1655">
        <v>2025</v>
      </c>
      <c r="D1655" t="s">
        <v>163</v>
      </c>
      <c r="E1655" t="s">
        <v>164</v>
      </c>
      <c r="F1655">
        <v>1882</v>
      </c>
      <c r="G1655">
        <v>109207.57</v>
      </c>
      <c r="H1655">
        <v>4060</v>
      </c>
      <c r="I1655">
        <v>3.3588384441728E-2</v>
      </c>
      <c r="J1655">
        <v>233825.03</v>
      </c>
      <c r="K1655">
        <v>3.3653740709310202E-2</v>
      </c>
      <c r="L1655">
        <v>2971</v>
      </c>
      <c r="M1655">
        <v>4.9158172500676701E-2</v>
      </c>
      <c r="N1655">
        <v>57.730158195893601</v>
      </c>
      <c r="O1655">
        <v>171516.3</v>
      </c>
      <c r="P1655">
        <v>4.9371661255613201E-2</v>
      </c>
      <c r="Q1655">
        <v>1089</v>
      </c>
      <c r="R1655">
        <v>1.8018596382779199E-2</v>
      </c>
      <c r="S1655">
        <v>57.216464646464701</v>
      </c>
      <c r="T1655">
        <v>62308.73</v>
      </c>
      <c r="U1655">
        <v>1.79358201602925E-2</v>
      </c>
      <c r="V1655">
        <v>22</v>
      </c>
      <c r="W1655">
        <v>3.0892801977139301E-2</v>
      </c>
    </row>
    <row r="1656" spans="1:23" hidden="1" x14ac:dyDescent="0.25">
      <c r="A1656" t="s">
        <v>182</v>
      </c>
      <c r="B1656">
        <v>11</v>
      </c>
      <c r="C1656">
        <v>2025</v>
      </c>
      <c r="D1656" t="s">
        <v>116</v>
      </c>
      <c r="E1656" t="s">
        <v>117</v>
      </c>
      <c r="F1656">
        <v>-23220</v>
      </c>
      <c r="G1656">
        <v>-1333222.3999999999</v>
      </c>
      <c r="H1656">
        <v>160528</v>
      </c>
      <c r="I1656">
        <v>1.3280483196211099</v>
      </c>
      <c r="J1656">
        <v>9173232.2400000002</v>
      </c>
      <c r="K1656">
        <v>1.32027601694842</v>
      </c>
      <c r="L1656">
        <v>68654</v>
      </c>
      <c r="M1656">
        <v>1.13594923421793</v>
      </c>
      <c r="N1656">
        <v>57.097982928889799</v>
      </c>
      <c r="O1656">
        <v>3920004.92</v>
      </c>
      <c r="P1656">
        <v>1.12838928446204</v>
      </c>
      <c r="Q1656">
        <v>91874</v>
      </c>
      <c r="R1656">
        <v>1.52014740502429</v>
      </c>
      <c r="S1656">
        <v>57.178606787556902</v>
      </c>
      <c r="T1656">
        <v>5253227.32</v>
      </c>
      <c r="U1656">
        <v>1.5121627494679399</v>
      </c>
      <c r="V1656">
        <v>1662</v>
      </c>
      <c r="W1656">
        <v>2.3338107675457098</v>
      </c>
    </row>
    <row r="1657" spans="1:23" hidden="1" x14ac:dyDescent="0.25">
      <c r="A1657" t="s">
        <v>182</v>
      </c>
      <c r="B1657">
        <v>11</v>
      </c>
      <c r="C1657">
        <v>2025</v>
      </c>
      <c r="D1657" t="s">
        <v>118</v>
      </c>
      <c r="E1657" t="s">
        <v>119</v>
      </c>
      <c r="F1657">
        <v>-90555</v>
      </c>
      <c r="G1657">
        <v>-5280685.33</v>
      </c>
      <c r="H1657">
        <v>230223</v>
      </c>
      <c r="I1657">
        <v>1.90463513086895</v>
      </c>
      <c r="J1657">
        <v>13319103.43</v>
      </c>
      <c r="K1657">
        <v>1.91697891929578</v>
      </c>
      <c r="L1657">
        <v>69834</v>
      </c>
      <c r="M1657">
        <v>1.15547351679982</v>
      </c>
      <c r="N1657">
        <v>57.553756766045197</v>
      </c>
      <c r="O1657">
        <v>4019209.05</v>
      </c>
      <c r="P1657">
        <v>1.1569455948623799</v>
      </c>
      <c r="Q1657">
        <v>160389</v>
      </c>
      <c r="R1657">
        <v>2.6537967449380799</v>
      </c>
      <c r="S1657">
        <v>57.983367812007003</v>
      </c>
      <c r="T1657">
        <v>9299894.3800000008</v>
      </c>
      <c r="U1657">
        <v>2.67701224386045</v>
      </c>
      <c r="V1657">
        <v>1106</v>
      </c>
      <c r="W1657">
        <v>1.5530654084871001</v>
      </c>
    </row>
    <row r="1658" spans="1:23" hidden="1" x14ac:dyDescent="0.25">
      <c r="A1658" t="s">
        <v>182</v>
      </c>
      <c r="B1658">
        <v>11</v>
      </c>
      <c r="C1658">
        <v>2025</v>
      </c>
      <c r="D1658" t="s">
        <v>120</v>
      </c>
      <c r="E1658" t="s">
        <v>121</v>
      </c>
      <c r="F1658">
        <v>29163</v>
      </c>
      <c r="G1658">
        <v>1688162.25</v>
      </c>
      <c r="H1658">
        <v>84875</v>
      </c>
      <c r="I1658">
        <v>0.70217096785508903</v>
      </c>
      <c r="J1658">
        <v>4944148.3899999997</v>
      </c>
      <c r="K1658">
        <v>0.71159656408645999</v>
      </c>
      <c r="L1658">
        <v>57019</v>
      </c>
      <c r="M1658">
        <v>0.94343649876004299</v>
      </c>
      <c r="N1658">
        <v>58.158777249688697</v>
      </c>
      <c r="O1658">
        <v>3316155.32</v>
      </c>
      <c r="P1658">
        <v>0.95456873270959997</v>
      </c>
      <c r="Q1658">
        <v>27856</v>
      </c>
      <c r="R1658">
        <v>0.46090543695013497</v>
      </c>
      <c r="S1658">
        <v>58.443174540493999</v>
      </c>
      <c r="T1658">
        <v>1627993.07</v>
      </c>
      <c r="U1658">
        <v>0.46862439542135498</v>
      </c>
      <c r="V1658">
        <v>265</v>
      </c>
      <c r="W1658">
        <v>0.37211784199735998</v>
      </c>
    </row>
    <row r="1659" spans="1:23" hidden="1" x14ac:dyDescent="0.25">
      <c r="A1659" t="s">
        <v>182</v>
      </c>
      <c r="B1659">
        <v>11</v>
      </c>
      <c r="C1659">
        <v>2025</v>
      </c>
      <c r="D1659" t="s">
        <v>122</v>
      </c>
      <c r="E1659" t="s">
        <v>123</v>
      </c>
      <c r="F1659">
        <v>81764</v>
      </c>
      <c r="G1659">
        <v>4605574.1100000003</v>
      </c>
      <c r="H1659">
        <v>2446734</v>
      </c>
      <c r="I1659">
        <v>20.241833058779999</v>
      </c>
      <c r="J1659">
        <v>140591239.37</v>
      </c>
      <c r="K1659">
        <v>20.2348786858214</v>
      </c>
      <c r="L1659">
        <v>1264249</v>
      </c>
      <c r="M1659">
        <v>20.9182667202316</v>
      </c>
      <c r="N1659">
        <v>57.424136178869801</v>
      </c>
      <c r="O1659">
        <v>72598406.739999995</v>
      </c>
      <c r="P1659">
        <v>20.897745259573</v>
      </c>
      <c r="Q1659">
        <v>1182485</v>
      </c>
      <c r="R1659">
        <v>19.565399397328399</v>
      </c>
      <c r="S1659">
        <v>57.499953597720101</v>
      </c>
      <c r="T1659">
        <v>67992832.629999995</v>
      </c>
      <c r="U1659">
        <v>19.5720121119552</v>
      </c>
      <c r="V1659">
        <v>14699</v>
      </c>
      <c r="W1659">
        <v>20.6406043755441</v>
      </c>
    </row>
    <row r="1660" spans="1:23" hidden="1" x14ac:dyDescent="0.25">
      <c r="A1660" t="s">
        <v>182</v>
      </c>
      <c r="B1660">
        <v>11</v>
      </c>
      <c r="C1660">
        <v>2025</v>
      </c>
      <c r="D1660" t="s">
        <v>124</v>
      </c>
      <c r="E1660" t="s">
        <v>125</v>
      </c>
      <c r="F1660">
        <v>2278</v>
      </c>
      <c r="G1660">
        <v>131396.010000001</v>
      </c>
      <c r="H1660">
        <v>156208</v>
      </c>
      <c r="I1660">
        <v>1.29230895489494</v>
      </c>
      <c r="J1660">
        <v>8998352.1699999999</v>
      </c>
      <c r="K1660">
        <v>1.2951060489128901</v>
      </c>
      <c r="L1660">
        <v>79243</v>
      </c>
      <c r="M1660">
        <v>1.3111548513871201</v>
      </c>
      <c r="N1660">
        <v>57.6060231187613</v>
      </c>
      <c r="O1660">
        <v>4564874.09</v>
      </c>
      <c r="P1660">
        <v>1.3140174854868301</v>
      </c>
      <c r="Q1660">
        <v>76965</v>
      </c>
      <c r="R1660">
        <v>1.27346305840275</v>
      </c>
      <c r="S1660">
        <v>57.603820957578101</v>
      </c>
      <c r="T1660">
        <v>4433478.08</v>
      </c>
      <c r="U1660">
        <v>1.27619461233569</v>
      </c>
      <c r="V1660">
        <v>476</v>
      </c>
      <c r="W1660">
        <v>0.66840789732355999</v>
      </c>
    </row>
    <row r="1661" spans="1:23" hidden="1" x14ac:dyDescent="0.25">
      <c r="A1661" t="s">
        <v>182</v>
      </c>
      <c r="B1661">
        <v>11</v>
      </c>
      <c r="C1661">
        <v>2025</v>
      </c>
      <c r="D1661" t="s">
        <v>126</v>
      </c>
      <c r="E1661" t="s">
        <v>127</v>
      </c>
      <c r="F1661">
        <v>-12609</v>
      </c>
      <c r="G1661">
        <v>-768138.73</v>
      </c>
      <c r="H1661">
        <v>173401</v>
      </c>
      <c r="I1661">
        <v>1.4345466627044501</v>
      </c>
      <c r="J1661">
        <v>10010274.529999999</v>
      </c>
      <c r="K1661">
        <v>1.44074902272709</v>
      </c>
      <c r="L1661">
        <v>80396</v>
      </c>
      <c r="M1661">
        <v>1.3302323919099299</v>
      </c>
      <c r="N1661">
        <v>57.478828548684</v>
      </c>
      <c r="O1661">
        <v>4621067.9000000004</v>
      </c>
      <c r="P1661">
        <v>1.33019310116874</v>
      </c>
      <c r="Q1661">
        <v>93005</v>
      </c>
      <c r="R1661">
        <v>1.53886093349897</v>
      </c>
      <c r="S1661">
        <v>57.9453430460728</v>
      </c>
      <c r="T1661">
        <v>5389206.6299999999</v>
      </c>
      <c r="U1661">
        <v>1.5513049443045299</v>
      </c>
      <c r="V1661">
        <v>1284</v>
      </c>
      <c r="W1661">
        <v>1.8030162608475899</v>
      </c>
    </row>
    <row r="1662" spans="1:23" hidden="1" x14ac:dyDescent="0.25">
      <c r="A1662" t="s">
        <v>182</v>
      </c>
      <c r="B1662">
        <v>11</v>
      </c>
      <c r="C1662">
        <v>2025</v>
      </c>
      <c r="D1662" t="s">
        <v>128</v>
      </c>
      <c r="E1662" t="s">
        <v>129</v>
      </c>
      <c r="F1662">
        <v>9468</v>
      </c>
      <c r="G1662">
        <v>544420.96</v>
      </c>
      <c r="H1662">
        <v>16536</v>
      </c>
      <c r="I1662">
        <v>0.13680234609074199</v>
      </c>
      <c r="J1662">
        <v>955761.92</v>
      </c>
      <c r="K1662">
        <v>0.13755996881733501</v>
      </c>
      <c r="L1662">
        <v>13002</v>
      </c>
      <c r="M1662">
        <v>0.21513112044893901</v>
      </c>
      <c r="N1662">
        <v>57.690466082141199</v>
      </c>
      <c r="O1662">
        <v>750091.44</v>
      </c>
      <c r="P1662">
        <v>0.215916857385654</v>
      </c>
      <c r="Q1662">
        <v>3534</v>
      </c>
      <c r="R1662">
        <v>5.8473571732545103E-2</v>
      </c>
      <c r="S1662">
        <v>58.1976457272213</v>
      </c>
      <c r="T1662">
        <v>205670.48</v>
      </c>
      <c r="U1662">
        <v>5.9203080235482798E-2</v>
      </c>
      <c r="V1662">
        <v>131</v>
      </c>
      <c r="W1662">
        <v>0.18395259359114799</v>
      </c>
    </row>
    <row r="1663" spans="1:23" hidden="1" x14ac:dyDescent="0.25">
      <c r="A1663" t="s">
        <v>182</v>
      </c>
      <c r="B1663">
        <v>11</v>
      </c>
      <c r="C1663">
        <v>2025</v>
      </c>
      <c r="D1663" t="s">
        <v>175</v>
      </c>
      <c r="E1663" t="s">
        <v>176</v>
      </c>
      <c r="F1663">
        <v>16345</v>
      </c>
      <c r="G1663">
        <v>915341.93000001099</v>
      </c>
      <c r="H1663">
        <v>685793</v>
      </c>
      <c r="I1663">
        <v>5.6735662392724002</v>
      </c>
      <c r="J1663">
        <v>39213993.829999998</v>
      </c>
      <c r="K1663">
        <v>5.6439534318943902</v>
      </c>
      <c r="L1663">
        <v>351069</v>
      </c>
      <c r="M1663">
        <v>5.8087884421541798</v>
      </c>
      <c r="N1663">
        <v>57.1530607373479</v>
      </c>
      <c r="O1663">
        <v>20064667.879999999</v>
      </c>
      <c r="P1663">
        <v>5.7756958713413402</v>
      </c>
      <c r="Q1663">
        <v>334724</v>
      </c>
      <c r="R1663">
        <v>5.5383440363906198</v>
      </c>
      <c r="S1663">
        <v>57.209300647697802</v>
      </c>
      <c r="T1663">
        <v>19149325.949999999</v>
      </c>
      <c r="U1663">
        <v>5.5122109924246896</v>
      </c>
      <c r="V1663">
        <v>1831</v>
      </c>
      <c r="W1663">
        <v>2.5711236554610002</v>
      </c>
    </row>
    <row r="1664" spans="1:23" hidden="1" x14ac:dyDescent="0.25">
      <c r="A1664" t="s">
        <v>182</v>
      </c>
      <c r="B1664">
        <v>11</v>
      </c>
      <c r="C1664">
        <v>2025</v>
      </c>
      <c r="D1664" t="s">
        <v>130</v>
      </c>
      <c r="E1664" t="s">
        <v>131</v>
      </c>
      <c r="F1664">
        <v>-63541</v>
      </c>
      <c r="G1664">
        <v>-3637460.04</v>
      </c>
      <c r="H1664">
        <v>389525</v>
      </c>
      <c r="I1664">
        <v>3.2225407511487898</v>
      </c>
      <c r="J1664">
        <v>22323180.260000002</v>
      </c>
      <c r="K1664">
        <v>3.2129089014860002</v>
      </c>
      <c r="L1664">
        <v>162992</v>
      </c>
      <c r="M1664">
        <v>2.6968659886335602</v>
      </c>
      <c r="N1664">
        <v>57.320973483361101</v>
      </c>
      <c r="O1664">
        <v>9342860.1099999994</v>
      </c>
      <c r="P1664">
        <v>2.6893801027045301</v>
      </c>
      <c r="Q1664">
        <v>226533</v>
      </c>
      <c r="R1664">
        <v>3.7482155136640198</v>
      </c>
      <c r="S1664">
        <v>57.299908401866404</v>
      </c>
      <c r="T1664">
        <v>12980320.15</v>
      </c>
      <c r="U1664">
        <v>3.7364377003579001</v>
      </c>
      <c r="V1664">
        <v>1384</v>
      </c>
      <c r="W1664">
        <v>1.9434380880163999</v>
      </c>
    </row>
    <row r="1665" spans="1:23" hidden="1" x14ac:dyDescent="0.25">
      <c r="A1665" t="s">
        <v>182</v>
      </c>
      <c r="B1665">
        <v>11</v>
      </c>
      <c r="C1665">
        <v>2025</v>
      </c>
      <c r="D1665" t="s">
        <v>132</v>
      </c>
      <c r="E1665" t="s">
        <v>133</v>
      </c>
      <c r="F1665">
        <v>16673</v>
      </c>
      <c r="G1665">
        <v>970724.1</v>
      </c>
      <c r="H1665">
        <v>39343</v>
      </c>
      <c r="I1665">
        <v>0.32548468204209402</v>
      </c>
      <c r="J1665">
        <v>2274380.3199999998</v>
      </c>
      <c r="K1665">
        <v>0.32734479094747898</v>
      </c>
      <c r="L1665">
        <v>28008</v>
      </c>
      <c r="M1665">
        <v>0.46342042928271798</v>
      </c>
      <c r="N1665">
        <v>57.931741288203398</v>
      </c>
      <c r="O1665">
        <v>1622552.21</v>
      </c>
      <c r="P1665">
        <v>0.46705822176473299</v>
      </c>
      <c r="Q1665">
        <v>11335</v>
      </c>
      <c r="R1665">
        <v>0.187548934801471</v>
      </c>
      <c r="S1665">
        <v>57.505788266431402</v>
      </c>
      <c r="T1665">
        <v>651828.11</v>
      </c>
      <c r="U1665">
        <v>0.18763136010609399</v>
      </c>
      <c r="V1665">
        <v>443</v>
      </c>
      <c r="W1665">
        <v>0.62206869435785095</v>
      </c>
    </row>
    <row r="1666" spans="1:23" hidden="1" x14ac:dyDescent="0.25">
      <c r="A1666" t="s">
        <v>182</v>
      </c>
      <c r="B1666">
        <v>11</v>
      </c>
      <c r="C1666">
        <v>2025</v>
      </c>
      <c r="D1666" t="s">
        <v>134</v>
      </c>
      <c r="E1666" t="s">
        <v>135</v>
      </c>
      <c r="F1666">
        <v>-2022</v>
      </c>
      <c r="G1666">
        <v>-111800.14</v>
      </c>
      <c r="H1666">
        <v>42136</v>
      </c>
      <c r="I1666">
        <v>0.34859117409769702</v>
      </c>
      <c r="J1666">
        <v>2410472.52</v>
      </c>
      <c r="K1666">
        <v>0.34693213628582698</v>
      </c>
      <c r="L1666">
        <v>20057</v>
      </c>
      <c r="M1666">
        <v>0.33186316588558501</v>
      </c>
      <c r="N1666">
        <v>57.303494540559399</v>
      </c>
      <c r="O1666">
        <v>1149336.19</v>
      </c>
      <c r="P1666">
        <v>0.33084107482202602</v>
      </c>
      <c r="Q1666">
        <v>22079</v>
      </c>
      <c r="R1666">
        <v>0.36531918230980898</v>
      </c>
      <c r="S1666">
        <v>57.119268535712699</v>
      </c>
      <c r="T1666">
        <v>1261136.33</v>
      </c>
      <c r="U1666">
        <v>0.36302319775240599</v>
      </c>
      <c r="V1666">
        <v>142</v>
      </c>
      <c r="W1666">
        <v>0.19939899457971699</v>
      </c>
    </row>
    <row r="1667" spans="1:23" hidden="1" x14ac:dyDescent="0.25">
      <c r="A1667" t="s">
        <v>182</v>
      </c>
      <c r="B1667">
        <v>11</v>
      </c>
      <c r="C1667">
        <v>2025</v>
      </c>
      <c r="D1667" t="s">
        <v>177</v>
      </c>
      <c r="E1667" t="s">
        <v>178</v>
      </c>
      <c r="F1667">
        <v>173</v>
      </c>
      <c r="G1667">
        <v>9905.98</v>
      </c>
      <c r="H1667">
        <v>173</v>
      </c>
      <c r="I1667">
        <v>1.43122918926575E-3</v>
      </c>
      <c r="J1667">
        <v>9905.98</v>
      </c>
      <c r="K1667">
        <v>1.42573822140261E-3</v>
      </c>
      <c r="L1667">
        <v>173</v>
      </c>
      <c r="M1667">
        <v>2.8624583785315E-3</v>
      </c>
      <c r="N1667">
        <v>57.26</v>
      </c>
      <c r="O1667">
        <v>9905.98</v>
      </c>
      <c r="P1667">
        <v>2.8514764425589798E-3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3</v>
      </c>
      <c r="W1667">
        <v>4.2126548150644497E-3</v>
      </c>
    </row>
    <row r="1668" spans="1:23" hidden="1" x14ac:dyDescent="0.25">
      <c r="A1668" t="s">
        <v>182</v>
      </c>
      <c r="B1668">
        <v>11</v>
      </c>
      <c r="C1668">
        <v>2025</v>
      </c>
      <c r="D1668" t="s">
        <v>136</v>
      </c>
      <c r="E1668" t="s">
        <v>137</v>
      </c>
      <c r="F1668">
        <v>-2856</v>
      </c>
      <c r="G1668">
        <v>-169242.41</v>
      </c>
      <c r="H1668">
        <v>40604</v>
      </c>
      <c r="I1668">
        <v>0.33591693642165599</v>
      </c>
      <c r="J1668">
        <v>2355406.13</v>
      </c>
      <c r="K1668">
        <v>0.33900659464959598</v>
      </c>
      <c r="L1668">
        <v>18874</v>
      </c>
      <c r="M1668">
        <v>0.31228924529712998</v>
      </c>
      <c r="N1668">
        <v>57.914690049804001</v>
      </c>
      <c r="O1668">
        <v>1093081.8600000001</v>
      </c>
      <c r="P1668">
        <v>0.31464803821313497</v>
      </c>
      <c r="Q1668">
        <v>21730</v>
      </c>
      <c r="R1668">
        <v>0.35954462754618199</v>
      </c>
      <c r="S1668">
        <v>58.091314772204299</v>
      </c>
      <c r="T1668">
        <v>1262324.27</v>
      </c>
      <c r="U1668">
        <v>0.36336515109026502</v>
      </c>
      <c r="V1668">
        <v>307</v>
      </c>
      <c r="W1668">
        <v>0.43109500940826201</v>
      </c>
    </row>
    <row r="1669" spans="1:23" hidden="1" x14ac:dyDescent="0.25">
      <c r="A1669" t="s">
        <v>182</v>
      </c>
      <c r="B1669">
        <v>11</v>
      </c>
      <c r="C1669">
        <v>2025</v>
      </c>
      <c r="D1669" t="s">
        <v>171</v>
      </c>
      <c r="E1669" t="s">
        <v>172</v>
      </c>
      <c r="F1669">
        <v>-4690</v>
      </c>
      <c r="G1669">
        <v>-262593.09999999998</v>
      </c>
      <c r="H1669">
        <v>4690</v>
      </c>
      <c r="I1669">
        <v>3.8800375130961601E-2</v>
      </c>
      <c r="J1669">
        <v>262593.09999999998</v>
      </c>
      <c r="K1669">
        <v>3.7794243411212E-2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4690</v>
      </c>
      <c r="R1669">
        <v>7.7600750261923201E-2</v>
      </c>
      <c r="S1669">
        <v>55.99</v>
      </c>
      <c r="T1669">
        <v>262593.09999999998</v>
      </c>
      <c r="U1669">
        <v>7.5588486828951598E-2</v>
      </c>
      <c r="V1669">
        <v>3</v>
      </c>
      <c r="W1669">
        <v>4.2126548150644497E-3</v>
      </c>
    </row>
    <row r="1670" spans="1:23" hidden="1" x14ac:dyDescent="0.25">
      <c r="A1670" t="s">
        <v>182</v>
      </c>
      <c r="B1670">
        <v>11</v>
      </c>
      <c r="C1670">
        <v>2025</v>
      </c>
      <c r="D1670" t="s">
        <v>138</v>
      </c>
      <c r="E1670" t="s">
        <v>139</v>
      </c>
      <c r="F1670">
        <v>-24423</v>
      </c>
      <c r="G1670">
        <v>-1378335.7</v>
      </c>
      <c r="H1670">
        <v>52931</v>
      </c>
      <c r="I1670">
        <v>0.43789822090766101</v>
      </c>
      <c r="J1670">
        <v>3010303.18</v>
      </c>
      <c r="K1670">
        <v>0.43326397809563799</v>
      </c>
      <c r="L1670">
        <v>14254</v>
      </c>
      <c r="M1670">
        <v>0.23584671518837</v>
      </c>
      <c r="N1670">
        <v>57.245947804125201</v>
      </c>
      <c r="O1670">
        <v>815983.74</v>
      </c>
      <c r="P1670">
        <v>0.23488422267369499</v>
      </c>
      <c r="Q1670">
        <v>38677</v>
      </c>
      <c r="R1670">
        <v>0.63994972662695204</v>
      </c>
      <c r="S1670">
        <v>56.734478889262299</v>
      </c>
      <c r="T1670">
        <v>2194319.44</v>
      </c>
      <c r="U1670">
        <v>0.631643733551843</v>
      </c>
      <c r="V1670">
        <v>139</v>
      </c>
      <c r="W1670">
        <v>0.19518633976465299</v>
      </c>
    </row>
    <row r="1671" spans="1:23" hidden="1" x14ac:dyDescent="0.25">
      <c r="A1671" t="s">
        <v>182</v>
      </c>
      <c r="B1671">
        <v>11</v>
      </c>
      <c r="C1671">
        <v>2025</v>
      </c>
      <c r="D1671" t="s">
        <v>140</v>
      </c>
      <c r="E1671" t="s">
        <v>141</v>
      </c>
      <c r="F1671">
        <v>360</v>
      </c>
      <c r="G1671">
        <v>20361.05</v>
      </c>
      <c r="H1671">
        <v>2510</v>
      </c>
      <c r="I1671">
        <v>2.07652327459944E-2</v>
      </c>
      <c r="J1671">
        <v>146494.04999999999</v>
      </c>
      <c r="K1671">
        <v>2.1084452653151502E-2</v>
      </c>
      <c r="L1671">
        <v>1435</v>
      </c>
      <c r="M1671">
        <v>2.3743513139842201E-2</v>
      </c>
      <c r="N1671">
        <v>58.137665505226501</v>
      </c>
      <c r="O1671">
        <v>83427.55</v>
      </c>
      <c r="P1671">
        <v>2.4014957983501999E-2</v>
      </c>
      <c r="Q1671">
        <v>1075</v>
      </c>
      <c r="R1671">
        <v>1.7786952352146598E-2</v>
      </c>
      <c r="S1671">
        <v>58.666511627906999</v>
      </c>
      <c r="T1671">
        <v>63066.5</v>
      </c>
      <c r="U1671">
        <v>1.8153947322294799E-2</v>
      </c>
      <c r="V1671">
        <v>7</v>
      </c>
      <c r="W1671">
        <v>9.8295279018170596E-3</v>
      </c>
    </row>
    <row r="1672" spans="1:23" hidden="1" x14ac:dyDescent="0.25">
      <c r="A1672" t="s">
        <v>182</v>
      </c>
      <c r="B1672">
        <v>11</v>
      </c>
      <c r="C1672">
        <v>2025</v>
      </c>
      <c r="D1672" t="s">
        <v>142</v>
      </c>
      <c r="E1672" t="s">
        <v>143</v>
      </c>
      <c r="F1672">
        <v>80251</v>
      </c>
      <c r="G1672">
        <v>4713911.98999999</v>
      </c>
      <c r="H1672">
        <v>785061</v>
      </c>
      <c r="I1672">
        <v>6.49481051187374</v>
      </c>
      <c r="J1672">
        <v>45121601.310000002</v>
      </c>
      <c r="K1672">
        <v>6.4942177955696598</v>
      </c>
      <c r="L1672">
        <v>432656</v>
      </c>
      <c r="M1672">
        <v>7.1587271226700704</v>
      </c>
      <c r="N1672">
        <v>57.5925369115417</v>
      </c>
      <c r="O1672">
        <v>24917756.649999999</v>
      </c>
      <c r="P1672">
        <v>7.1726771191636196</v>
      </c>
      <c r="Q1672">
        <v>352405</v>
      </c>
      <c r="R1672">
        <v>5.8308939010774097</v>
      </c>
      <c r="S1672">
        <v>57.331322370568003</v>
      </c>
      <c r="T1672">
        <v>20203844.66</v>
      </c>
      <c r="U1672">
        <v>5.8157584718585298</v>
      </c>
      <c r="V1672">
        <v>10659</v>
      </c>
      <c r="W1672">
        <v>14.967562557923999</v>
      </c>
    </row>
    <row r="1673" spans="1:23" hidden="1" x14ac:dyDescent="0.25">
      <c r="A1673" t="s">
        <v>182</v>
      </c>
      <c r="B1673">
        <v>11</v>
      </c>
      <c r="C1673">
        <v>2025</v>
      </c>
      <c r="D1673" t="s">
        <v>144</v>
      </c>
      <c r="E1673" t="s">
        <v>145</v>
      </c>
      <c r="F1673">
        <v>49827</v>
      </c>
      <c r="G1673">
        <v>2881260.79</v>
      </c>
      <c r="H1673">
        <v>1473559</v>
      </c>
      <c r="I1673">
        <v>12.190755219105499</v>
      </c>
      <c r="J1673">
        <v>84592111.769999996</v>
      </c>
      <c r="K1673">
        <v>12.175090902631601</v>
      </c>
      <c r="L1673">
        <v>761693</v>
      </c>
      <c r="M1673">
        <v>12.6029740446173</v>
      </c>
      <c r="N1673">
        <v>57.420360013811298</v>
      </c>
      <c r="O1673">
        <v>43736686.280000001</v>
      </c>
      <c r="P1673">
        <v>12.5897821924749</v>
      </c>
      <c r="Q1673">
        <v>711866</v>
      </c>
      <c r="R1673">
        <v>11.778536393593701</v>
      </c>
      <c r="S1673">
        <v>57.392016882390799</v>
      </c>
      <c r="T1673">
        <v>40855425.490000002</v>
      </c>
      <c r="U1673">
        <v>11.7603996127167</v>
      </c>
      <c r="V1673">
        <v>3340</v>
      </c>
      <c r="W1673">
        <v>4.6900890274384297</v>
      </c>
    </row>
    <row r="1674" spans="1:23" hidden="1" x14ac:dyDescent="0.25">
      <c r="A1674" t="s">
        <v>182</v>
      </c>
      <c r="B1674">
        <v>11</v>
      </c>
      <c r="C1674">
        <v>2025</v>
      </c>
      <c r="D1674" t="s">
        <v>165</v>
      </c>
      <c r="E1674" t="s">
        <v>166</v>
      </c>
      <c r="F1674">
        <v>-705</v>
      </c>
      <c r="G1674">
        <v>-40167.360000000001</v>
      </c>
      <c r="H1674">
        <v>705</v>
      </c>
      <c r="I1674">
        <v>5.8324657712852702E-3</v>
      </c>
      <c r="J1674">
        <v>40167.360000000001</v>
      </c>
      <c r="K1674">
        <v>5.7811685875439299E-3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705</v>
      </c>
      <c r="R1674">
        <v>1.1664931542570501E-2</v>
      </c>
      <c r="S1674">
        <v>56.974978723404298</v>
      </c>
      <c r="T1674">
        <v>40167.360000000001</v>
      </c>
      <c r="U1674">
        <v>1.1562337176086301E-2</v>
      </c>
      <c r="V1674">
        <v>2</v>
      </c>
      <c r="W1674">
        <v>2.8084365433763002E-3</v>
      </c>
    </row>
    <row r="1675" spans="1:23" hidden="1" x14ac:dyDescent="0.25">
      <c r="A1675" t="s">
        <v>182</v>
      </c>
      <c r="B1675">
        <v>11</v>
      </c>
      <c r="C1675">
        <v>2025</v>
      </c>
      <c r="D1675" t="s">
        <v>146</v>
      </c>
      <c r="E1675" t="s">
        <v>147</v>
      </c>
      <c r="F1675">
        <v>-17011</v>
      </c>
      <c r="G1675">
        <v>-976041.68000000098</v>
      </c>
      <c r="H1675">
        <v>105839</v>
      </c>
      <c r="I1675">
        <v>0.87560616279015901</v>
      </c>
      <c r="J1675">
        <v>6089396.46</v>
      </c>
      <c r="K1675">
        <v>0.87642871056632099</v>
      </c>
      <c r="L1675">
        <v>44414</v>
      </c>
      <c r="M1675">
        <v>0.73487414117975602</v>
      </c>
      <c r="N1675">
        <v>57.564673076057097</v>
      </c>
      <c r="O1675">
        <v>2556677.39</v>
      </c>
      <c r="P1675">
        <v>0.73594993618078997</v>
      </c>
      <c r="Q1675">
        <v>61425</v>
      </c>
      <c r="R1675">
        <v>1.0163381844005599</v>
      </c>
      <c r="S1675">
        <v>57.512723972323997</v>
      </c>
      <c r="T1675">
        <v>3532719.07</v>
      </c>
      <c r="U1675">
        <v>1.0169074849761099</v>
      </c>
      <c r="V1675">
        <v>581</v>
      </c>
      <c r="W1675">
        <v>0.81585081585081598</v>
      </c>
    </row>
    <row r="1676" spans="1:23" x14ac:dyDescent="0.25">
      <c r="A1676" t="s">
        <v>182</v>
      </c>
      <c r="B1676">
        <v>11</v>
      </c>
      <c r="C1676">
        <v>2025</v>
      </c>
      <c r="D1676" t="s">
        <v>148</v>
      </c>
      <c r="E1676" t="s">
        <v>148</v>
      </c>
      <c r="F1676">
        <v>0</v>
      </c>
      <c r="G1676">
        <v>6.0000013240823998E-2</v>
      </c>
      <c r="H1676">
        <v>12087512</v>
      </c>
      <c r="I1676">
        <v>0</v>
      </c>
      <c r="J1676">
        <v>694796551.79999995</v>
      </c>
      <c r="K1676">
        <v>0</v>
      </c>
      <c r="L1676">
        <v>6043756</v>
      </c>
      <c r="M1676">
        <v>100</v>
      </c>
      <c r="N1676">
        <v>57.564673076057097</v>
      </c>
      <c r="O1676">
        <v>347398275.93000001</v>
      </c>
      <c r="P1676">
        <v>100</v>
      </c>
      <c r="Q1676">
        <v>6043756</v>
      </c>
      <c r="R1676">
        <v>100</v>
      </c>
      <c r="S1676">
        <v>57.505788266431402</v>
      </c>
      <c r="T1676">
        <v>347398275.87</v>
      </c>
      <c r="U1676">
        <v>100</v>
      </c>
      <c r="V1676">
        <v>71214</v>
      </c>
      <c r="W1676">
        <v>100</v>
      </c>
    </row>
    <row r="1677" spans="1:23" hidden="1" x14ac:dyDescent="0.25">
      <c r="A1677" t="s">
        <v>182</v>
      </c>
      <c r="B1677">
        <v>11</v>
      </c>
      <c r="C1677">
        <v>2025</v>
      </c>
      <c r="D1677" t="s">
        <v>149</v>
      </c>
      <c r="E1677" t="s">
        <v>150</v>
      </c>
      <c r="F1677">
        <v>3562</v>
      </c>
      <c r="G1677">
        <v>307942.539999992</v>
      </c>
      <c r="H1677">
        <v>880508</v>
      </c>
      <c r="I1677">
        <v>7.2844436472948297</v>
      </c>
      <c r="J1677">
        <v>50539552.259999998</v>
      </c>
      <c r="K1677">
        <v>7.2740073520900301</v>
      </c>
      <c r="L1677">
        <v>442035</v>
      </c>
      <c r="M1677">
        <v>7.3139120771917296</v>
      </c>
      <c r="N1677">
        <v>57.515236123836402</v>
      </c>
      <c r="O1677">
        <v>25423747.399999999</v>
      </c>
      <c r="P1677">
        <v>7.3183286048094303</v>
      </c>
      <c r="Q1677">
        <v>438473</v>
      </c>
      <c r="R1677">
        <v>7.2549752173979201</v>
      </c>
      <c r="S1677">
        <v>57.2801628834615</v>
      </c>
      <c r="T1677">
        <v>25115804.859999999</v>
      </c>
      <c r="U1677">
        <v>7.2296860993629704</v>
      </c>
      <c r="V1677">
        <v>6551</v>
      </c>
      <c r="W1677">
        <v>9.1990338978290804</v>
      </c>
    </row>
    <row r="1678" spans="1:23" hidden="1" x14ac:dyDescent="0.25">
      <c r="A1678" t="s">
        <v>182</v>
      </c>
      <c r="B1678">
        <v>11</v>
      </c>
      <c r="C1678">
        <v>2025</v>
      </c>
      <c r="D1678" t="s">
        <v>183</v>
      </c>
      <c r="E1678" t="s">
        <v>184</v>
      </c>
      <c r="F1678">
        <v>-34557</v>
      </c>
      <c r="G1678">
        <v>-1994754.28</v>
      </c>
      <c r="H1678">
        <v>44557</v>
      </c>
      <c r="I1678">
        <v>0.36862010974632298</v>
      </c>
      <c r="J1678">
        <v>2574674.2799999998</v>
      </c>
      <c r="K1678">
        <v>0.37056520694148898</v>
      </c>
      <c r="L1678">
        <v>5000</v>
      </c>
      <c r="M1678">
        <v>8.2730010940216606E-2</v>
      </c>
      <c r="N1678">
        <v>57.991999999999997</v>
      </c>
      <c r="O1678">
        <v>289960</v>
      </c>
      <c r="P1678">
        <v>8.3466159762527498E-2</v>
      </c>
      <c r="Q1678">
        <v>39557</v>
      </c>
      <c r="R1678">
        <v>0.65451020855243003</v>
      </c>
      <c r="S1678">
        <v>57.757521551179302</v>
      </c>
      <c r="T1678">
        <v>2284714.2799999998</v>
      </c>
      <c r="U1678">
        <v>0.65766425417003604</v>
      </c>
      <c r="V1678">
        <v>161</v>
      </c>
      <c r="W1678">
        <v>0.226079141741792</v>
      </c>
    </row>
    <row r="1679" spans="1:23" hidden="1" x14ac:dyDescent="0.25">
      <c r="A1679" t="s">
        <v>182</v>
      </c>
      <c r="B1679">
        <v>11</v>
      </c>
      <c r="C1679">
        <v>2025</v>
      </c>
      <c r="D1679" t="s">
        <v>151</v>
      </c>
      <c r="E1679" t="s">
        <v>152</v>
      </c>
      <c r="F1679">
        <v>-238</v>
      </c>
      <c r="G1679">
        <v>-31357.919999990601</v>
      </c>
      <c r="H1679">
        <v>833340</v>
      </c>
      <c r="I1679">
        <v>6.8942227316920102</v>
      </c>
      <c r="J1679">
        <v>47898433.460000001</v>
      </c>
      <c r="K1679">
        <v>6.8938789831224998</v>
      </c>
      <c r="L1679">
        <v>416551</v>
      </c>
      <c r="M1679">
        <v>6.8922537574316403</v>
      </c>
      <c r="N1679">
        <v>57.456440555898297</v>
      </c>
      <c r="O1679">
        <v>23933537.77</v>
      </c>
      <c r="P1679">
        <v>6.8893657304225</v>
      </c>
      <c r="Q1679">
        <v>416789</v>
      </c>
      <c r="R1679">
        <v>6.8961917059523898</v>
      </c>
      <c r="S1679">
        <v>57.498867988358597</v>
      </c>
      <c r="T1679">
        <v>23964895.690000001</v>
      </c>
      <c r="U1679">
        <v>6.8983922358232697</v>
      </c>
      <c r="V1679">
        <v>4180</v>
      </c>
      <c r="W1679">
        <v>5.8696323756564697</v>
      </c>
    </row>
    <row r="1680" spans="1:23" hidden="1" x14ac:dyDescent="0.25">
      <c r="A1680" t="s">
        <v>182</v>
      </c>
      <c r="B1680">
        <v>11</v>
      </c>
      <c r="C1680">
        <v>2025</v>
      </c>
      <c r="D1680" t="s">
        <v>153</v>
      </c>
      <c r="E1680" t="s">
        <v>154</v>
      </c>
      <c r="F1680">
        <v>1003</v>
      </c>
      <c r="G1680">
        <v>57008.4</v>
      </c>
      <c r="H1680">
        <v>12727</v>
      </c>
      <c r="I1680">
        <v>0.10529048492361399</v>
      </c>
      <c r="J1680">
        <v>732528.32</v>
      </c>
      <c r="K1680">
        <v>0.10543062110804199</v>
      </c>
      <c r="L1680">
        <v>6865</v>
      </c>
      <c r="M1680">
        <v>0.113588305020917</v>
      </c>
      <c r="N1680">
        <v>57.5044952658412</v>
      </c>
      <c r="O1680">
        <v>394768.36</v>
      </c>
      <c r="P1680">
        <v>0.113635670454376</v>
      </c>
      <c r="Q1680">
        <v>5862</v>
      </c>
      <c r="R1680">
        <v>9.6992664826309999E-2</v>
      </c>
      <c r="S1680">
        <v>57.618553394745803</v>
      </c>
      <c r="T1680">
        <v>337759.96</v>
      </c>
      <c r="U1680">
        <v>9.7225571760290896E-2</v>
      </c>
      <c r="V1680">
        <v>439</v>
      </c>
      <c r="W1680">
        <v>0.61645182127109799</v>
      </c>
    </row>
    <row r="1681" spans="1:23" hidden="1" x14ac:dyDescent="0.25">
      <c r="A1681" t="s">
        <v>182</v>
      </c>
      <c r="B1681">
        <v>11</v>
      </c>
      <c r="C1681">
        <v>2025</v>
      </c>
      <c r="D1681" t="s">
        <v>155</v>
      </c>
      <c r="E1681" t="s">
        <v>156</v>
      </c>
      <c r="F1681">
        <v>-6627</v>
      </c>
      <c r="G1681">
        <v>-381704.64</v>
      </c>
      <c r="H1681">
        <v>13133</v>
      </c>
      <c r="I1681">
        <v>0.108649323367787</v>
      </c>
      <c r="J1681">
        <v>759451.38</v>
      </c>
      <c r="K1681">
        <v>0.109305577011357</v>
      </c>
      <c r="L1681">
        <v>3253</v>
      </c>
      <c r="M1681">
        <v>5.3824145117704898E-2</v>
      </c>
      <c r="N1681">
        <v>58.0612880418076</v>
      </c>
      <c r="O1681">
        <v>188873.37</v>
      </c>
      <c r="P1681">
        <v>5.4367964116798798E-2</v>
      </c>
      <c r="Q1681">
        <v>9880</v>
      </c>
      <c r="R1681">
        <v>0.163474501617868</v>
      </c>
      <c r="S1681">
        <v>57.750810728744902</v>
      </c>
      <c r="T1681">
        <v>570578.01</v>
      </c>
      <c r="U1681">
        <v>0.16424318991540299</v>
      </c>
      <c r="V1681">
        <v>51</v>
      </c>
      <c r="W1681">
        <v>7.1615131856095707E-2</v>
      </c>
    </row>
    <row r="1682" spans="1:23" hidden="1" x14ac:dyDescent="0.25">
      <c r="A1682" t="s">
        <v>182</v>
      </c>
      <c r="B1682">
        <v>12</v>
      </c>
      <c r="C1682">
        <v>2025</v>
      </c>
      <c r="D1682" t="s">
        <v>88</v>
      </c>
      <c r="E1682" t="s">
        <v>89</v>
      </c>
      <c r="F1682">
        <v>-1006</v>
      </c>
      <c r="G1682">
        <v>-58538.740000000202</v>
      </c>
      <c r="H1682">
        <v>408648</v>
      </c>
      <c r="I1682">
        <v>3.4174762218091299</v>
      </c>
      <c r="J1682">
        <v>24281519.300000001</v>
      </c>
      <c r="K1682">
        <v>3.4073490706428</v>
      </c>
      <c r="L1682">
        <v>203821</v>
      </c>
      <c r="M1682">
        <v>3.4090631595180199</v>
      </c>
      <c r="N1682">
        <v>59.4221904514255</v>
      </c>
      <c r="O1682">
        <v>12111490.279999999</v>
      </c>
      <c r="P1682">
        <v>3.3991345136709898</v>
      </c>
      <c r="Q1682">
        <v>204827</v>
      </c>
      <c r="R1682">
        <v>3.4258892841002502</v>
      </c>
      <c r="S1682">
        <v>59.4161366421419</v>
      </c>
      <c r="T1682">
        <v>12170029.02</v>
      </c>
      <c r="U1682">
        <v>3.4155636276150698</v>
      </c>
      <c r="V1682">
        <v>1811</v>
      </c>
      <c r="W1682">
        <v>2.7456866490797198</v>
      </c>
    </row>
    <row r="1683" spans="1:23" hidden="1" x14ac:dyDescent="0.25">
      <c r="A1683" t="s">
        <v>182</v>
      </c>
      <c r="B1683">
        <v>12</v>
      </c>
      <c r="C1683">
        <v>2025</v>
      </c>
      <c r="D1683" t="s">
        <v>90</v>
      </c>
      <c r="E1683" t="s">
        <v>91</v>
      </c>
      <c r="F1683">
        <v>1191</v>
      </c>
      <c r="G1683">
        <v>49707.419999998099</v>
      </c>
      <c r="H1683">
        <v>447687</v>
      </c>
      <c r="I1683">
        <v>3.7439548885913201</v>
      </c>
      <c r="J1683">
        <v>26658768.920000002</v>
      </c>
      <c r="K1683">
        <v>3.7409410169833599</v>
      </c>
      <c r="L1683">
        <v>224439</v>
      </c>
      <c r="M1683">
        <v>3.75391508460396</v>
      </c>
      <c r="N1683">
        <v>59.500524284995002</v>
      </c>
      <c r="O1683">
        <v>13354238.17</v>
      </c>
      <c r="P1683">
        <v>3.7479163024543598</v>
      </c>
      <c r="Q1683">
        <v>223248</v>
      </c>
      <c r="R1683">
        <v>3.7339946925786802</v>
      </c>
      <c r="S1683">
        <v>59.595296486418697</v>
      </c>
      <c r="T1683">
        <v>13304530.75</v>
      </c>
      <c r="U1683">
        <v>3.7339657315119701</v>
      </c>
      <c r="V1683">
        <v>5275</v>
      </c>
      <c r="W1683">
        <v>7.99751356924103</v>
      </c>
    </row>
    <row r="1684" spans="1:23" hidden="1" x14ac:dyDescent="0.25">
      <c r="A1684" t="s">
        <v>182</v>
      </c>
      <c r="B1684">
        <v>12</v>
      </c>
      <c r="C1684">
        <v>2025</v>
      </c>
      <c r="D1684" t="s">
        <v>92</v>
      </c>
      <c r="E1684" t="s">
        <v>93</v>
      </c>
      <c r="F1684">
        <v>-83400</v>
      </c>
      <c r="G1684">
        <v>-5158634.5199999996</v>
      </c>
      <c r="H1684">
        <v>107426</v>
      </c>
      <c r="I1684">
        <v>0.89839128199347096</v>
      </c>
      <c r="J1684">
        <v>6592571.9800000004</v>
      </c>
      <c r="K1684">
        <v>0.92511484687857903</v>
      </c>
      <c r="L1684">
        <v>12013</v>
      </c>
      <c r="M1684">
        <v>0.20092667455900001</v>
      </c>
      <c r="N1684">
        <v>59.682737867310401</v>
      </c>
      <c r="O1684">
        <v>716968.73</v>
      </c>
      <c r="P1684">
        <v>0.20121992414015699</v>
      </c>
      <c r="Q1684">
        <v>95413</v>
      </c>
      <c r="R1684">
        <v>1.59585588942794</v>
      </c>
      <c r="S1684">
        <v>61.580741093980897</v>
      </c>
      <c r="T1684">
        <v>5875603.25</v>
      </c>
      <c r="U1684">
        <v>1.64900976965763</v>
      </c>
      <c r="V1684">
        <v>166</v>
      </c>
      <c r="W1684">
        <v>0.25167530852967002</v>
      </c>
    </row>
    <row r="1685" spans="1:23" hidden="1" x14ac:dyDescent="0.25">
      <c r="A1685" t="s">
        <v>182</v>
      </c>
      <c r="B1685">
        <v>12</v>
      </c>
      <c r="C1685">
        <v>2025</v>
      </c>
      <c r="D1685" t="s">
        <v>94</v>
      </c>
      <c r="E1685" t="s">
        <v>95</v>
      </c>
      <c r="F1685">
        <v>-141447</v>
      </c>
      <c r="G1685">
        <v>-8469494.7899999991</v>
      </c>
      <c r="H1685">
        <v>310001</v>
      </c>
      <c r="I1685">
        <v>2.5925027070658699</v>
      </c>
      <c r="J1685">
        <v>18535186.370000001</v>
      </c>
      <c r="K1685">
        <v>2.6009842823966398</v>
      </c>
      <c r="L1685">
        <v>84277</v>
      </c>
      <c r="M1685">
        <v>1.4095977151260199</v>
      </c>
      <c r="N1685">
        <v>59.717903935830698</v>
      </c>
      <c r="O1685">
        <v>5032845.79</v>
      </c>
      <c r="P1685">
        <v>1.41248677340909</v>
      </c>
      <c r="Q1685">
        <v>225724</v>
      </c>
      <c r="R1685">
        <v>3.7754076990057199</v>
      </c>
      <c r="S1685">
        <v>59.8179217983024</v>
      </c>
      <c r="T1685">
        <v>13502340.58</v>
      </c>
      <c r="U1685">
        <v>3.78948179145089</v>
      </c>
      <c r="V1685">
        <v>907</v>
      </c>
      <c r="W1685">
        <v>1.3751174990145201</v>
      </c>
    </row>
    <row r="1686" spans="1:23" hidden="1" x14ac:dyDescent="0.25">
      <c r="A1686" t="s">
        <v>182</v>
      </c>
      <c r="B1686">
        <v>12</v>
      </c>
      <c r="C1686">
        <v>2025</v>
      </c>
      <c r="D1686" t="s">
        <v>96</v>
      </c>
      <c r="E1686" t="s">
        <v>97</v>
      </c>
      <c r="F1686">
        <v>1597</v>
      </c>
      <c r="G1686">
        <v>93124.130000000805</v>
      </c>
      <c r="H1686">
        <v>148659</v>
      </c>
      <c r="I1686">
        <v>1.2432181184244699</v>
      </c>
      <c r="J1686">
        <v>8854996.8499999996</v>
      </c>
      <c r="K1686">
        <v>1.24259379796685</v>
      </c>
      <c r="L1686">
        <v>75128</v>
      </c>
      <c r="M1686">
        <v>1.25657364573949</v>
      </c>
      <c r="N1686">
        <v>59.552503593866497</v>
      </c>
      <c r="O1686">
        <v>4474060.49</v>
      </c>
      <c r="P1686">
        <v>1.25566161357731</v>
      </c>
      <c r="Q1686">
        <v>73531</v>
      </c>
      <c r="R1686">
        <v>1.2298625911094501</v>
      </c>
      <c r="S1686">
        <v>59.5794475799323</v>
      </c>
      <c r="T1686">
        <v>4380936.3600000003</v>
      </c>
      <c r="U1686">
        <v>1.2295259823556599</v>
      </c>
      <c r="V1686">
        <v>855</v>
      </c>
      <c r="W1686">
        <v>1.2962794505594499</v>
      </c>
    </row>
    <row r="1687" spans="1:23" hidden="1" x14ac:dyDescent="0.25">
      <c r="A1687" t="s">
        <v>182</v>
      </c>
      <c r="B1687">
        <v>12</v>
      </c>
      <c r="C1687">
        <v>2025</v>
      </c>
      <c r="D1687" t="s">
        <v>98</v>
      </c>
      <c r="E1687" t="s">
        <v>99</v>
      </c>
      <c r="F1687">
        <v>20000</v>
      </c>
      <c r="G1687">
        <v>1191839.08</v>
      </c>
      <c r="H1687">
        <v>20000</v>
      </c>
      <c r="I1687">
        <v>0.16725769962457299</v>
      </c>
      <c r="J1687">
        <v>1191839.08</v>
      </c>
      <c r="K1687">
        <v>0.16724702154835</v>
      </c>
      <c r="L1687">
        <v>20000</v>
      </c>
      <c r="M1687">
        <v>0.33451539924914703</v>
      </c>
      <c r="N1687">
        <v>59.591954000000001</v>
      </c>
      <c r="O1687">
        <v>1191839.08</v>
      </c>
      <c r="P1687">
        <v>0.33449404308731201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231</v>
      </c>
      <c r="W1687">
        <v>0.35022286909851702</v>
      </c>
    </row>
    <row r="1688" spans="1:23" hidden="1" x14ac:dyDescent="0.25">
      <c r="A1688" t="s">
        <v>182</v>
      </c>
      <c r="B1688">
        <v>12</v>
      </c>
      <c r="C1688">
        <v>2025</v>
      </c>
      <c r="D1688" t="s">
        <v>157</v>
      </c>
      <c r="E1688" t="s">
        <v>158</v>
      </c>
      <c r="F1688">
        <v>-230</v>
      </c>
      <c r="G1688">
        <v>-13708</v>
      </c>
      <c r="H1688">
        <v>230</v>
      </c>
      <c r="I1688">
        <v>1.9234635456825901E-3</v>
      </c>
      <c r="J1688">
        <v>13708</v>
      </c>
      <c r="K1688">
        <v>1.92360043386459E-3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230</v>
      </c>
      <c r="R1688">
        <v>3.8469270913651901E-3</v>
      </c>
      <c r="S1688">
        <v>59.6</v>
      </c>
      <c r="T1688">
        <v>13708</v>
      </c>
      <c r="U1688">
        <v>3.84720086783716E-3</v>
      </c>
      <c r="V1688">
        <v>5</v>
      </c>
      <c r="W1688">
        <v>7.5805815822189903E-3</v>
      </c>
    </row>
    <row r="1689" spans="1:23" hidden="1" x14ac:dyDescent="0.25">
      <c r="A1689" t="s">
        <v>182</v>
      </c>
      <c r="B1689">
        <v>12</v>
      </c>
      <c r="C1689">
        <v>2025</v>
      </c>
      <c r="D1689" t="s">
        <v>100</v>
      </c>
      <c r="E1689" t="s">
        <v>101</v>
      </c>
      <c r="F1689">
        <v>20324</v>
      </c>
      <c r="G1689">
        <v>1197504.0900000001</v>
      </c>
      <c r="H1689">
        <v>410594</v>
      </c>
      <c r="I1689">
        <v>3.4337503959825999</v>
      </c>
      <c r="J1689">
        <v>24320899.989999998</v>
      </c>
      <c r="K1689">
        <v>3.4128752387468202</v>
      </c>
      <c r="L1689">
        <v>215459</v>
      </c>
      <c r="M1689">
        <v>3.6037176703411</v>
      </c>
      <c r="N1689">
        <v>59.218700727284499</v>
      </c>
      <c r="O1689">
        <v>12759202.039999999</v>
      </c>
      <c r="P1689">
        <v>3.5809172131924698</v>
      </c>
      <c r="Q1689">
        <v>195135</v>
      </c>
      <c r="R1689">
        <v>3.26378312162411</v>
      </c>
      <c r="S1689">
        <v>59.249739667409699</v>
      </c>
      <c r="T1689">
        <v>11561697.949999999</v>
      </c>
      <c r="U1689">
        <v>3.2448332642917301</v>
      </c>
      <c r="V1689">
        <v>94</v>
      </c>
      <c r="W1689">
        <v>0.142514933745717</v>
      </c>
    </row>
    <row r="1690" spans="1:23" hidden="1" x14ac:dyDescent="0.25">
      <c r="A1690" t="s">
        <v>182</v>
      </c>
      <c r="B1690">
        <v>12</v>
      </c>
      <c r="C1690">
        <v>2025</v>
      </c>
      <c r="D1690" t="s">
        <v>159</v>
      </c>
      <c r="E1690" t="s">
        <v>160</v>
      </c>
      <c r="F1690">
        <v>-10</v>
      </c>
      <c r="G1690">
        <v>-584.20000000000005</v>
      </c>
      <c r="H1690">
        <v>50</v>
      </c>
      <c r="I1690">
        <v>4.18144249061433E-4</v>
      </c>
      <c r="J1690">
        <v>2946.2</v>
      </c>
      <c r="K1690">
        <v>4.1343095989581702E-4</v>
      </c>
      <c r="L1690">
        <v>20</v>
      </c>
      <c r="M1690">
        <v>3.34515399249147E-4</v>
      </c>
      <c r="N1690">
        <v>59.05</v>
      </c>
      <c r="O1690">
        <v>1181</v>
      </c>
      <c r="P1690">
        <v>3.3145201522181598E-4</v>
      </c>
      <c r="Q1690">
        <v>30</v>
      </c>
      <c r="R1690">
        <v>5.0177309887372004E-4</v>
      </c>
      <c r="S1690">
        <v>58.84</v>
      </c>
      <c r="T1690">
        <v>1765.2</v>
      </c>
      <c r="U1690">
        <v>4.9540990457441997E-4</v>
      </c>
      <c r="V1690">
        <v>2</v>
      </c>
      <c r="W1690">
        <v>3.0322326328876001E-3</v>
      </c>
    </row>
    <row r="1691" spans="1:23" hidden="1" x14ac:dyDescent="0.25">
      <c r="A1691" t="s">
        <v>182</v>
      </c>
      <c r="B1691">
        <v>12</v>
      </c>
      <c r="C1691">
        <v>2025</v>
      </c>
      <c r="D1691" t="s">
        <v>102</v>
      </c>
      <c r="E1691" t="s">
        <v>103</v>
      </c>
      <c r="F1691">
        <v>172023</v>
      </c>
      <c r="G1691">
        <v>10247680.48</v>
      </c>
      <c r="H1691">
        <v>851731</v>
      </c>
      <c r="I1691">
        <v>7.1229283879468799</v>
      </c>
      <c r="J1691">
        <v>50871765.859999999</v>
      </c>
      <c r="K1691">
        <v>7.13867456082244</v>
      </c>
      <c r="L1691">
        <v>511877</v>
      </c>
      <c r="M1691">
        <v>8.5615369510727692</v>
      </c>
      <c r="N1691">
        <v>59.701301621287897</v>
      </c>
      <c r="O1691">
        <v>30559723.170000002</v>
      </c>
      <c r="P1691">
        <v>8.5766992627580994</v>
      </c>
      <c r="Q1691">
        <v>339854</v>
      </c>
      <c r="R1691">
        <v>5.6843198248209799</v>
      </c>
      <c r="S1691">
        <v>59.7669666680398</v>
      </c>
      <c r="T1691">
        <v>20312042.690000001</v>
      </c>
      <c r="U1691">
        <v>5.7006498588060497</v>
      </c>
      <c r="V1691">
        <v>6815</v>
      </c>
      <c r="W1691">
        <v>10.332332696564499</v>
      </c>
    </row>
    <row r="1692" spans="1:23" hidden="1" x14ac:dyDescent="0.25">
      <c r="A1692" t="s">
        <v>182</v>
      </c>
      <c r="B1692">
        <v>12</v>
      </c>
      <c r="C1692">
        <v>2025</v>
      </c>
      <c r="D1692" t="s">
        <v>189</v>
      </c>
      <c r="E1692" t="s">
        <v>190</v>
      </c>
      <c r="F1692">
        <v>4554</v>
      </c>
      <c r="G1692">
        <v>280980.28000000003</v>
      </c>
      <c r="H1692">
        <v>13750</v>
      </c>
      <c r="I1692">
        <v>0.114989668491894</v>
      </c>
      <c r="J1692">
        <v>833166.2</v>
      </c>
      <c r="K1692">
        <v>0.116915586796127</v>
      </c>
      <c r="L1692">
        <v>9152</v>
      </c>
      <c r="M1692">
        <v>0.15307424669641001</v>
      </c>
      <c r="N1692">
        <v>60.869016608391597</v>
      </c>
      <c r="O1692">
        <v>557073.24</v>
      </c>
      <c r="P1692">
        <v>0.15634466386464499</v>
      </c>
      <c r="Q1692">
        <v>4598</v>
      </c>
      <c r="R1692">
        <v>7.6905090287378797E-2</v>
      </c>
      <c r="S1692">
        <v>60.046315789473702</v>
      </c>
      <c r="T1692">
        <v>276092.96000000002</v>
      </c>
      <c r="U1692">
        <v>7.7486509725396099E-2</v>
      </c>
      <c r="V1692">
        <v>116</v>
      </c>
      <c r="W1692">
        <v>0.17586949270748101</v>
      </c>
    </row>
    <row r="1693" spans="1:23" hidden="1" x14ac:dyDescent="0.25">
      <c r="A1693" t="s">
        <v>182</v>
      </c>
      <c r="B1693">
        <v>12</v>
      </c>
      <c r="C1693">
        <v>2025</v>
      </c>
      <c r="D1693" t="s">
        <v>161</v>
      </c>
      <c r="E1693" t="s">
        <v>162</v>
      </c>
      <c r="F1693">
        <v>-10004</v>
      </c>
      <c r="G1693">
        <v>-583843.99</v>
      </c>
      <c r="H1693">
        <v>31578</v>
      </c>
      <c r="I1693">
        <v>0.26408318193723901</v>
      </c>
      <c r="J1693">
        <v>1859274.81</v>
      </c>
      <c r="K1693">
        <v>0.26090617385391801</v>
      </c>
      <c r="L1693">
        <v>10787</v>
      </c>
      <c r="M1693">
        <v>0.180420880585027</v>
      </c>
      <c r="N1693">
        <v>59.118884768703097</v>
      </c>
      <c r="O1693">
        <v>637715.41</v>
      </c>
      <c r="P1693">
        <v>0.178977186945391</v>
      </c>
      <c r="Q1693">
        <v>20791</v>
      </c>
      <c r="R1693">
        <v>0.34774548328944999</v>
      </c>
      <c r="S1693">
        <v>58.7542398153047</v>
      </c>
      <c r="T1693">
        <v>1221559.3999999999</v>
      </c>
      <c r="U1693">
        <v>0.34283516076704401</v>
      </c>
      <c r="V1693">
        <v>161</v>
      </c>
      <c r="W1693">
        <v>0.24409472694745099</v>
      </c>
    </row>
    <row r="1694" spans="1:23" hidden="1" x14ac:dyDescent="0.25">
      <c r="A1694" t="s">
        <v>182</v>
      </c>
      <c r="B1694">
        <v>12</v>
      </c>
      <c r="C1694">
        <v>2025</v>
      </c>
      <c r="D1694" t="s">
        <v>104</v>
      </c>
      <c r="E1694" t="s">
        <v>105</v>
      </c>
      <c r="F1694">
        <v>69056</v>
      </c>
      <c r="G1694">
        <v>4141970.63</v>
      </c>
      <c r="H1694">
        <v>404064</v>
      </c>
      <c r="I1694">
        <v>3.3791407570551799</v>
      </c>
      <c r="J1694">
        <v>24156990.469999999</v>
      </c>
      <c r="K1694">
        <v>3.38987433243032</v>
      </c>
      <c r="L1694">
        <v>236560</v>
      </c>
      <c r="M1694">
        <v>3.9566481423189099</v>
      </c>
      <c r="N1694">
        <v>59.813495730470102</v>
      </c>
      <c r="O1694">
        <v>14149480.550000001</v>
      </c>
      <c r="P1694">
        <v>3.97110401578272</v>
      </c>
      <c r="Q1694">
        <v>167504</v>
      </c>
      <c r="R1694">
        <v>2.8016333717914499</v>
      </c>
      <c r="S1694">
        <v>59.7449011366893</v>
      </c>
      <c r="T1694">
        <v>10007509.92</v>
      </c>
      <c r="U1694">
        <v>2.8086446490452999</v>
      </c>
      <c r="V1694">
        <v>3920</v>
      </c>
      <c r="W1694">
        <v>5.9431759604596897</v>
      </c>
    </row>
    <row r="1695" spans="1:23" hidden="1" x14ac:dyDescent="0.25">
      <c r="A1695" t="s">
        <v>182</v>
      </c>
      <c r="B1695">
        <v>12</v>
      </c>
      <c r="C1695">
        <v>2025</v>
      </c>
      <c r="D1695" t="s">
        <v>187</v>
      </c>
      <c r="E1695" t="s">
        <v>188</v>
      </c>
      <c r="F1695">
        <v>2000</v>
      </c>
      <c r="G1695">
        <v>117062.65</v>
      </c>
      <c r="H1695">
        <v>4000</v>
      </c>
      <c r="I1695">
        <v>3.3451539924914703E-2</v>
      </c>
      <c r="J1695">
        <v>235602.65</v>
      </c>
      <c r="K1695">
        <v>3.3061377280394502E-2</v>
      </c>
      <c r="L1695">
        <v>3000</v>
      </c>
      <c r="M1695">
        <v>5.0177309887371999E-2</v>
      </c>
      <c r="N1695">
        <v>58.777549999999998</v>
      </c>
      <c r="O1695">
        <v>176332.65</v>
      </c>
      <c r="P1695">
        <v>4.9488409984676601E-2</v>
      </c>
      <c r="Q1695">
        <v>1000</v>
      </c>
      <c r="R1695">
        <v>1.6725769962457299E-2</v>
      </c>
      <c r="S1695">
        <v>59.27</v>
      </c>
      <c r="T1695">
        <v>59270</v>
      </c>
      <c r="U1695">
        <v>1.66343445751903E-2</v>
      </c>
      <c r="V1695">
        <v>14</v>
      </c>
      <c r="W1695">
        <v>2.1225628430213202E-2</v>
      </c>
    </row>
    <row r="1696" spans="1:23" hidden="1" x14ac:dyDescent="0.25">
      <c r="A1696" t="s">
        <v>182</v>
      </c>
      <c r="B1696">
        <v>12</v>
      </c>
      <c r="C1696">
        <v>2025</v>
      </c>
      <c r="D1696" t="s">
        <v>106</v>
      </c>
      <c r="E1696" t="s">
        <v>107</v>
      </c>
      <c r="F1696">
        <v>27537</v>
      </c>
      <c r="G1696">
        <v>1614645.41</v>
      </c>
      <c r="H1696">
        <v>287329</v>
      </c>
      <c r="I1696">
        <v>2.4028993787714499</v>
      </c>
      <c r="J1696">
        <v>17084962.449999999</v>
      </c>
      <c r="K1696">
        <v>2.39747893065219</v>
      </c>
      <c r="L1696">
        <v>157433</v>
      </c>
      <c r="M1696">
        <v>2.63318814249955</v>
      </c>
      <c r="N1696">
        <v>59.389098410117299</v>
      </c>
      <c r="O1696">
        <v>9349803.9299999997</v>
      </c>
      <c r="P1696">
        <v>2.62405703177591</v>
      </c>
      <c r="Q1696">
        <v>129896</v>
      </c>
      <c r="R1696">
        <v>2.1726106150433599</v>
      </c>
      <c r="S1696">
        <v>59.548858471392499</v>
      </c>
      <c r="T1696">
        <v>7735158.5199999996</v>
      </c>
      <c r="U1696">
        <v>2.1709008295157601</v>
      </c>
      <c r="V1696">
        <v>1273</v>
      </c>
      <c r="W1696">
        <v>1.9300160708329499</v>
      </c>
    </row>
    <row r="1697" spans="1:23" hidden="1" x14ac:dyDescent="0.25">
      <c r="A1697" t="s">
        <v>182</v>
      </c>
      <c r="B1697">
        <v>12</v>
      </c>
      <c r="C1697">
        <v>2025</v>
      </c>
      <c r="D1697" t="s">
        <v>108</v>
      </c>
      <c r="E1697" t="s">
        <v>109</v>
      </c>
      <c r="F1697">
        <v>630</v>
      </c>
      <c r="G1697">
        <v>38538.400000000001</v>
      </c>
      <c r="H1697">
        <v>810</v>
      </c>
      <c r="I1697">
        <v>6.7739368347952203E-3</v>
      </c>
      <c r="J1697">
        <v>49205.2</v>
      </c>
      <c r="K1697">
        <v>6.9048106265242196E-3</v>
      </c>
      <c r="L1697">
        <v>720</v>
      </c>
      <c r="M1697">
        <v>1.20425543729693E-2</v>
      </c>
      <c r="N1697">
        <v>60.933055555555597</v>
      </c>
      <c r="O1697">
        <v>43871.8</v>
      </c>
      <c r="P1697">
        <v>1.2312782829304401E-2</v>
      </c>
      <c r="Q1697">
        <v>90</v>
      </c>
      <c r="R1697">
        <v>1.5053192966211599E-3</v>
      </c>
      <c r="S1697">
        <v>59.26</v>
      </c>
      <c r="T1697">
        <v>5333.4</v>
      </c>
      <c r="U1697">
        <v>1.49683842344052E-3</v>
      </c>
      <c r="V1697">
        <v>5</v>
      </c>
      <c r="W1697">
        <v>7.5805815822189903E-3</v>
      </c>
    </row>
    <row r="1698" spans="1:23" hidden="1" x14ac:dyDescent="0.25">
      <c r="A1698" t="s">
        <v>182</v>
      </c>
      <c r="B1698">
        <v>12</v>
      </c>
      <c r="C1698">
        <v>2025</v>
      </c>
      <c r="D1698" t="s">
        <v>110</v>
      </c>
      <c r="E1698" t="s">
        <v>111</v>
      </c>
      <c r="F1698">
        <v>40415</v>
      </c>
      <c r="G1698">
        <v>2457152.4500000002</v>
      </c>
      <c r="H1698">
        <v>197153</v>
      </c>
      <c r="I1698">
        <v>1.64876786270418</v>
      </c>
      <c r="J1698">
        <v>11856163.27</v>
      </c>
      <c r="K1698">
        <v>1.66373802233305</v>
      </c>
      <c r="L1698">
        <v>118784</v>
      </c>
      <c r="M1698">
        <v>1.98675385922053</v>
      </c>
      <c r="N1698">
        <v>60.249342167295303</v>
      </c>
      <c r="O1698">
        <v>7156657.8600000003</v>
      </c>
      <c r="P1698">
        <v>2.0085424809060499</v>
      </c>
      <c r="Q1698">
        <v>78369</v>
      </c>
      <c r="R1698">
        <v>1.3107818661878201</v>
      </c>
      <c r="S1698">
        <v>59.966382242978703</v>
      </c>
      <c r="T1698">
        <v>4699505.41</v>
      </c>
      <c r="U1698">
        <v>1.31893356374069</v>
      </c>
      <c r="V1698">
        <v>988</v>
      </c>
      <c r="W1698">
        <v>1.4979229206464699</v>
      </c>
    </row>
    <row r="1699" spans="1:23" hidden="1" x14ac:dyDescent="0.25">
      <c r="A1699" t="s">
        <v>182</v>
      </c>
      <c r="B1699">
        <v>12</v>
      </c>
      <c r="C1699">
        <v>2025</v>
      </c>
      <c r="D1699" t="s">
        <v>112</v>
      </c>
      <c r="E1699" t="s">
        <v>113</v>
      </c>
      <c r="F1699">
        <v>1291</v>
      </c>
      <c r="G1699">
        <v>71127.16</v>
      </c>
      <c r="H1699">
        <v>12477</v>
      </c>
      <c r="I1699">
        <v>0.10434371591079</v>
      </c>
      <c r="J1699">
        <v>741768.44</v>
      </c>
      <c r="K1699">
        <v>0.10409002721119499</v>
      </c>
      <c r="L1699">
        <v>6884</v>
      </c>
      <c r="M1699">
        <v>0.115140200421556</v>
      </c>
      <c r="N1699">
        <v>59.042388146426497</v>
      </c>
      <c r="O1699">
        <v>406447.8</v>
      </c>
      <c r="P1699">
        <v>0.114071077385668</v>
      </c>
      <c r="Q1699">
        <v>5593</v>
      </c>
      <c r="R1699">
        <v>9.3547231400023897E-2</v>
      </c>
      <c r="S1699">
        <v>59.953627748971897</v>
      </c>
      <c r="T1699">
        <v>335320.64</v>
      </c>
      <c r="U1699">
        <v>9.4108977036162195E-2</v>
      </c>
      <c r="V1699">
        <v>73</v>
      </c>
      <c r="W1699">
        <v>0.110676491100397</v>
      </c>
    </row>
    <row r="1700" spans="1:23" hidden="1" x14ac:dyDescent="0.25">
      <c r="A1700" t="s">
        <v>182</v>
      </c>
      <c r="B1700">
        <v>12</v>
      </c>
      <c r="C1700">
        <v>2025</v>
      </c>
      <c r="D1700" t="s">
        <v>167</v>
      </c>
      <c r="E1700" t="s">
        <v>168</v>
      </c>
      <c r="F1700">
        <v>1687</v>
      </c>
      <c r="G1700">
        <v>100582.42</v>
      </c>
      <c r="H1700">
        <v>1981</v>
      </c>
      <c r="I1700">
        <v>1.6566875147813999E-2</v>
      </c>
      <c r="J1700">
        <v>118118.2</v>
      </c>
      <c r="K1700">
        <v>1.6575154710191501E-2</v>
      </c>
      <c r="L1700">
        <v>1834</v>
      </c>
      <c r="M1700">
        <v>3.06750621111468E-2</v>
      </c>
      <c r="N1700">
        <v>59.623942202835302</v>
      </c>
      <c r="O1700">
        <v>109350.31</v>
      </c>
      <c r="P1700">
        <v>3.0689568683006201E-2</v>
      </c>
      <c r="Q1700">
        <v>147</v>
      </c>
      <c r="R1700">
        <v>2.4586881844812299E-3</v>
      </c>
      <c r="S1700">
        <v>59.645510204081603</v>
      </c>
      <c r="T1700">
        <v>8767.89</v>
      </c>
      <c r="U1700">
        <v>2.4607407365845298E-3</v>
      </c>
      <c r="V1700">
        <v>22</v>
      </c>
      <c r="W1700">
        <v>3.3354558961763502E-2</v>
      </c>
    </row>
    <row r="1701" spans="1:23" hidden="1" x14ac:dyDescent="0.25">
      <c r="A1701" t="s">
        <v>182</v>
      </c>
      <c r="B1701">
        <v>12</v>
      </c>
      <c r="C1701">
        <v>2025</v>
      </c>
      <c r="D1701" t="s">
        <v>169</v>
      </c>
      <c r="E1701" t="s">
        <v>170</v>
      </c>
      <c r="F1701">
        <v>2942</v>
      </c>
      <c r="G1701">
        <v>175094.11</v>
      </c>
      <c r="H1701">
        <v>2942</v>
      </c>
      <c r="I1701">
        <v>2.4603607614774699E-2</v>
      </c>
      <c r="J1701">
        <v>175094.11</v>
      </c>
      <c r="K1701">
        <v>2.45704045785771E-2</v>
      </c>
      <c r="L1701">
        <v>2942</v>
      </c>
      <c r="M1701">
        <v>4.9207215229549503E-2</v>
      </c>
      <c r="N1701">
        <v>59.515333106730097</v>
      </c>
      <c r="O1701">
        <v>175094.11</v>
      </c>
      <c r="P1701">
        <v>4.9140809155774998E-2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8</v>
      </c>
      <c r="W1701">
        <v>1.21289305315504E-2</v>
      </c>
    </row>
    <row r="1702" spans="1:23" hidden="1" x14ac:dyDescent="0.25">
      <c r="A1702" t="s">
        <v>182</v>
      </c>
      <c r="B1702">
        <v>12</v>
      </c>
      <c r="C1702">
        <v>2025</v>
      </c>
      <c r="D1702" t="s">
        <v>163</v>
      </c>
      <c r="E1702" t="s">
        <v>164</v>
      </c>
      <c r="F1702">
        <v>-541</v>
      </c>
      <c r="G1702">
        <v>-30006.82</v>
      </c>
      <c r="H1702">
        <v>2269</v>
      </c>
      <c r="I1702">
        <v>1.8975386022407899E-2</v>
      </c>
      <c r="J1702">
        <v>133978.22</v>
      </c>
      <c r="K1702">
        <v>1.8800741327721499E-2</v>
      </c>
      <c r="L1702">
        <v>864</v>
      </c>
      <c r="M1702">
        <v>1.4451065247563099E-2</v>
      </c>
      <c r="N1702">
        <v>60.168634259259299</v>
      </c>
      <c r="O1702">
        <v>51985.7</v>
      </c>
      <c r="P1702">
        <v>1.45899788549676E-2</v>
      </c>
      <c r="Q1702">
        <v>1405</v>
      </c>
      <c r="R1702">
        <v>2.3499706797252599E-2</v>
      </c>
      <c r="S1702">
        <v>58.357665480427002</v>
      </c>
      <c r="T1702">
        <v>81992.52</v>
      </c>
      <c r="U1702">
        <v>2.3011503800711701E-2</v>
      </c>
      <c r="V1702">
        <v>18</v>
      </c>
      <c r="W1702">
        <v>2.72900936959884E-2</v>
      </c>
    </row>
    <row r="1703" spans="1:23" hidden="1" x14ac:dyDescent="0.25">
      <c r="A1703" t="s">
        <v>182</v>
      </c>
      <c r="B1703">
        <v>12</v>
      </c>
      <c r="C1703">
        <v>2025</v>
      </c>
      <c r="D1703" t="s">
        <v>116</v>
      </c>
      <c r="E1703" t="s">
        <v>117</v>
      </c>
      <c r="F1703">
        <v>-164846</v>
      </c>
      <c r="G1703">
        <v>-9766216.7300000004</v>
      </c>
      <c r="H1703">
        <v>491538</v>
      </c>
      <c r="I1703">
        <v>4.1106757579031798</v>
      </c>
      <c r="J1703">
        <v>29146358.949999999</v>
      </c>
      <c r="K1703">
        <v>4.0900166852781696</v>
      </c>
      <c r="L1703">
        <v>163346</v>
      </c>
      <c r="M1703">
        <v>2.7320876202875599</v>
      </c>
      <c r="N1703">
        <v>59.322365469616599</v>
      </c>
      <c r="O1703">
        <v>9690071.1099999994</v>
      </c>
      <c r="P1703">
        <v>2.7195542735412301</v>
      </c>
      <c r="Q1703">
        <v>328192</v>
      </c>
      <c r="R1703">
        <v>5.4892638955187998</v>
      </c>
      <c r="S1703">
        <v>59.283248342433701</v>
      </c>
      <c r="T1703">
        <v>19456287.84</v>
      </c>
      <c r="U1703">
        <v>5.4604790970920298</v>
      </c>
      <c r="V1703">
        <v>897</v>
      </c>
      <c r="W1703">
        <v>1.3599563358500899</v>
      </c>
    </row>
    <row r="1704" spans="1:23" hidden="1" x14ac:dyDescent="0.25">
      <c r="A1704" t="s">
        <v>182</v>
      </c>
      <c r="B1704">
        <v>12</v>
      </c>
      <c r="C1704">
        <v>2025</v>
      </c>
      <c r="D1704" t="s">
        <v>191</v>
      </c>
      <c r="E1704" t="s">
        <v>192</v>
      </c>
      <c r="F1704">
        <v>8049</v>
      </c>
      <c r="G1704">
        <v>481360.08</v>
      </c>
      <c r="H1704">
        <v>10953</v>
      </c>
      <c r="I1704">
        <v>9.1598679199397598E-2</v>
      </c>
      <c r="J1704">
        <v>656788.07999999996</v>
      </c>
      <c r="K1704">
        <v>9.2165001141311098E-2</v>
      </c>
      <c r="L1704">
        <v>9501</v>
      </c>
      <c r="M1704">
        <v>0.15891154041330699</v>
      </c>
      <c r="N1704">
        <v>59.896229870539898</v>
      </c>
      <c r="O1704">
        <v>569074.07999999996</v>
      </c>
      <c r="P1704">
        <v>0.159712743968248</v>
      </c>
      <c r="Q1704">
        <v>1452</v>
      </c>
      <c r="R1704">
        <v>2.4285817985488099E-2</v>
      </c>
      <c r="S1704">
        <v>60.409090909090899</v>
      </c>
      <c r="T1704">
        <v>87714</v>
      </c>
      <c r="U1704">
        <v>2.4617258310582799E-2</v>
      </c>
      <c r="V1704">
        <v>20</v>
      </c>
      <c r="W1704">
        <v>3.0322326328875999E-2</v>
      </c>
    </row>
    <row r="1705" spans="1:23" hidden="1" x14ac:dyDescent="0.25">
      <c r="A1705" t="s">
        <v>182</v>
      </c>
      <c r="B1705">
        <v>12</v>
      </c>
      <c r="C1705">
        <v>2025</v>
      </c>
      <c r="D1705" t="s">
        <v>118</v>
      </c>
      <c r="E1705" t="s">
        <v>119</v>
      </c>
      <c r="F1705">
        <v>-4126</v>
      </c>
      <c r="G1705">
        <v>-205026.56000000099</v>
      </c>
      <c r="H1705">
        <v>176318</v>
      </c>
      <c r="I1705">
        <v>1.47452715412028</v>
      </c>
      <c r="J1705">
        <v>10470287.68</v>
      </c>
      <c r="K1705">
        <v>1.4692624689185201</v>
      </c>
      <c r="L1705">
        <v>86096</v>
      </c>
      <c r="M1705">
        <v>1.44002189068773</v>
      </c>
      <c r="N1705">
        <v>59.615203493774402</v>
      </c>
      <c r="O1705">
        <v>5132630.5599999996</v>
      </c>
      <c r="P1705">
        <v>1.4404917379348701</v>
      </c>
      <c r="Q1705">
        <v>90222</v>
      </c>
      <c r="R1705">
        <v>1.50903241755283</v>
      </c>
      <c r="S1705">
        <v>59.161369954113198</v>
      </c>
      <c r="T1705">
        <v>5337657.12</v>
      </c>
      <c r="U1705">
        <v>1.4980331999037899</v>
      </c>
      <c r="V1705">
        <v>996</v>
      </c>
      <c r="W1705">
        <v>1.5100518511780201</v>
      </c>
    </row>
    <row r="1706" spans="1:23" hidden="1" x14ac:dyDescent="0.25">
      <c r="A1706" t="s">
        <v>182</v>
      </c>
      <c r="B1706">
        <v>12</v>
      </c>
      <c r="C1706">
        <v>2025</v>
      </c>
      <c r="D1706" t="s">
        <v>120</v>
      </c>
      <c r="E1706" t="s">
        <v>121</v>
      </c>
      <c r="F1706">
        <v>-72003</v>
      </c>
      <c r="G1706">
        <v>-4279244.1399999997</v>
      </c>
      <c r="H1706">
        <v>97375</v>
      </c>
      <c r="I1706">
        <v>0.81433592504714203</v>
      </c>
      <c r="J1706">
        <v>5787982.96</v>
      </c>
      <c r="K1706">
        <v>0.81220940567966704</v>
      </c>
      <c r="L1706">
        <v>12686</v>
      </c>
      <c r="M1706">
        <v>0.212183117743734</v>
      </c>
      <c r="N1706">
        <v>59.464717799148701</v>
      </c>
      <c r="O1706">
        <v>754369.41</v>
      </c>
      <c r="P1706">
        <v>0.21171656322285501</v>
      </c>
      <c r="Q1706">
        <v>84689</v>
      </c>
      <c r="R1706">
        <v>1.41648873235055</v>
      </c>
      <c r="S1706">
        <v>59.436450424494303</v>
      </c>
      <c r="T1706">
        <v>5033613.55</v>
      </c>
      <c r="U1706">
        <v>1.4127022481701801</v>
      </c>
      <c r="V1706">
        <v>331</v>
      </c>
      <c r="W1706">
        <v>0.50183450074289704</v>
      </c>
    </row>
    <row r="1707" spans="1:23" hidden="1" x14ac:dyDescent="0.25">
      <c r="A1707" t="s">
        <v>182</v>
      </c>
      <c r="B1707">
        <v>12</v>
      </c>
      <c r="C1707">
        <v>2025</v>
      </c>
      <c r="D1707" t="s">
        <v>122</v>
      </c>
      <c r="E1707" t="s">
        <v>123</v>
      </c>
      <c r="F1707">
        <v>-24348</v>
      </c>
      <c r="G1707">
        <v>-1552154.11</v>
      </c>
      <c r="H1707">
        <v>2368264</v>
      </c>
      <c r="I1707">
        <v>19.8055194371845</v>
      </c>
      <c r="J1707">
        <v>141294737.05000001</v>
      </c>
      <c r="K1707">
        <v>19.827445104476499</v>
      </c>
      <c r="L1707">
        <v>1171958</v>
      </c>
      <c r="M1707">
        <v>19.601899913661601</v>
      </c>
      <c r="N1707">
        <v>59.619279419569601</v>
      </c>
      <c r="O1707">
        <v>69871291.469999999</v>
      </c>
      <c r="P1707">
        <v>19.609636209891899</v>
      </c>
      <c r="Q1707">
        <v>1196306</v>
      </c>
      <c r="R1707">
        <v>20.009138960707499</v>
      </c>
      <c r="S1707">
        <v>59.703324717923302</v>
      </c>
      <c r="T1707">
        <v>71423445.579999998</v>
      </c>
      <c r="U1707">
        <v>20.0452539990732</v>
      </c>
      <c r="V1707">
        <v>14382</v>
      </c>
      <c r="W1707">
        <v>21.804784863094699</v>
      </c>
    </row>
    <row r="1708" spans="1:23" hidden="1" x14ac:dyDescent="0.25">
      <c r="A1708" t="s">
        <v>182</v>
      </c>
      <c r="B1708">
        <v>12</v>
      </c>
      <c r="C1708">
        <v>2025</v>
      </c>
      <c r="D1708" t="s">
        <v>124</v>
      </c>
      <c r="E1708" t="s">
        <v>125</v>
      </c>
      <c r="F1708">
        <v>1789</v>
      </c>
      <c r="G1708">
        <v>110588.290000001</v>
      </c>
      <c r="H1708">
        <v>146931</v>
      </c>
      <c r="I1708">
        <v>1.2287670531769099</v>
      </c>
      <c r="J1708">
        <v>8779874.2300000004</v>
      </c>
      <c r="K1708">
        <v>1.2320520774806401</v>
      </c>
      <c r="L1708">
        <v>74360</v>
      </c>
      <c r="M1708">
        <v>1.2437282544083299</v>
      </c>
      <c r="N1708">
        <v>59.7798717052179</v>
      </c>
      <c r="O1708">
        <v>4445231.26</v>
      </c>
      <c r="P1708">
        <v>1.2475705836189801</v>
      </c>
      <c r="Q1708">
        <v>72571</v>
      </c>
      <c r="R1708">
        <v>1.21380585194549</v>
      </c>
      <c r="S1708">
        <v>59.729684998139803</v>
      </c>
      <c r="T1708">
        <v>4334642.97</v>
      </c>
      <c r="U1708">
        <v>1.21653357134142</v>
      </c>
      <c r="V1708">
        <v>435</v>
      </c>
      <c r="W1708">
        <v>0.65951059765305198</v>
      </c>
    </row>
    <row r="1709" spans="1:23" hidden="1" x14ac:dyDescent="0.25">
      <c r="A1709" t="s">
        <v>182</v>
      </c>
      <c r="B1709">
        <v>12</v>
      </c>
      <c r="C1709">
        <v>2025</v>
      </c>
      <c r="D1709" t="s">
        <v>126</v>
      </c>
      <c r="E1709" t="s">
        <v>127</v>
      </c>
      <c r="F1709">
        <v>48388</v>
      </c>
      <c r="G1709">
        <v>2818060.43</v>
      </c>
      <c r="H1709">
        <v>195086</v>
      </c>
      <c r="I1709">
        <v>1.6314817794479799</v>
      </c>
      <c r="J1709">
        <v>11561673.710000001</v>
      </c>
      <c r="K1709">
        <v>1.6224132305775401</v>
      </c>
      <c r="L1709">
        <v>121737</v>
      </c>
      <c r="M1709">
        <v>2.0361450579196698</v>
      </c>
      <c r="N1709">
        <v>59.0606559221929</v>
      </c>
      <c r="O1709">
        <v>7189867.0700000003</v>
      </c>
      <c r="P1709">
        <v>2.0178627684407</v>
      </c>
      <c r="Q1709">
        <v>73349</v>
      </c>
      <c r="R1709">
        <v>1.22681850097628</v>
      </c>
      <c r="S1709">
        <v>59.602811762941599</v>
      </c>
      <c r="T1709">
        <v>4371806.6399999997</v>
      </c>
      <c r="U1709">
        <v>1.2269636926921701</v>
      </c>
      <c r="V1709">
        <v>2231</v>
      </c>
      <c r="W1709">
        <v>3.3824555019861098</v>
      </c>
    </row>
    <row r="1710" spans="1:23" hidden="1" x14ac:dyDescent="0.25">
      <c r="A1710" t="s">
        <v>182</v>
      </c>
      <c r="B1710">
        <v>12</v>
      </c>
      <c r="C1710">
        <v>2025</v>
      </c>
      <c r="D1710" t="s">
        <v>128</v>
      </c>
      <c r="E1710" t="s">
        <v>129</v>
      </c>
      <c r="F1710">
        <v>42710</v>
      </c>
      <c r="G1710">
        <v>2476977.33</v>
      </c>
      <c r="H1710">
        <v>48070</v>
      </c>
      <c r="I1710">
        <v>0.40200388104766199</v>
      </c>
      <c r="J1710">
        <v>2802384.71</v>
      </c>
      <c r="K1710">
        <v>0.39324981354037802</v>
      </c>
      <c r="L1710">
        <v>45390</v>
      </c>
      <c r="M1710">
        <v>0.75918269859593801</v>
      </c>
      <c r="N1710">
        <v>58.155563339942702</v>
      </c>
      <c r="O1710">
        <v>2639681.02</v>
      </c>
      <c r="P1710">
        <v>0.74083623507347895</v>
      </c>
      <c r="Q1710">
        <v>2680</v>
      </c>
      <c r="R1710">
        <v>4.4825063499385698E-2</v>
      </c>
      <c r="S1710">
        <v>60.710332089552203</v>
      </c>
      <c r="T1710">
        <v>162703.69</v>
      </c>
      <c r="U1710">
        <v>4.5663391987766797E-2</v>
      </c>
      <c r="V1710">
        <v>31</v>
      </c>
      <c r="W1710">
        <v>4.6999605809757698E-2</v>
      </c>
    </row>
    <row r="1711" spans="1:23" hidden="1" x14ac:dyDescent="0.25">
      <c r="A1711" t="s">
        <v>182</v>
      </c>
      <c r="B1711">
        <v>12</v>
      </c>
      <c r="C1711">
        <v>2025</v>
      </c>
      <c r="D1711" t="s">
        <v>175</v>
      </c>
      <c r="E1711" t="s">
        <v>176</v>
      </c>
      <c r="F1711">
        <v>-79725</v>
      </c>
      <c r="G1711">
        <v>-4739421.2900000103</v>
      </c>
      <c r="H1711">
        <v>619499</v>
      </c>
      <c r="I1711">
        <v>5.1807988829861804</v>
      </c>
      <c r="J1711">
        <v>36858782.289999999</v>
      </c>
      <c r="K1711">
        <v>5.1722767438550203</v>
      </c>
      <c r="L1711">
        <v>269887</v>
      </c>
      <c r="M1711">
        <v>4.5140678778577197</v>
      </c>
      <c r="N1711">
        <v>59.505202177207501</v>
      </c>
      <c r="O1711">
        <v>16059680.5</v>
      </c>
      <c r="P1711">
        <v>4.5072086922468202</v>
      </c>
      <c r="Q1711">
        <v>349612</v>
      </c>
      <c r="R1711">
        <v>5.8475298881146296</v>
      </c>
      <c r="S1711">
        <v>59.491956197155702</v>
      </c>
      <c r="T1711">
        <v>20799101.789999999</v>
      </c>
      <c r="U1711">
        <v>5.83734479550054</v>
      </c>
      <c r="V1711">
        <v>1208</v>
      </c>
      <c r="W1711">
        <v>1.83146851026411</v>
      </c>
    </row>
    <row r="1712" spans="1:23" hidden="1" x14ac:dyDescent="0.25">
      <c r="A1712" t="s">
        <v>182</v>
      </c>
      <c r="B1712">
        <v>12</v>
      </c>
      <c r="C1712">
        <v>2025</v>
      </c>
      <c r="D1712" t="s">
        <v>130</v>
      </c>
      <c r="E1712" t="s">
        <v>131</v>
      </c>
      <c r="F1712">
        <v>41937</v>
      </c>
      <c r="G1712">
        <v>2626445.6800000002</v>
      </c>
      <c r="H1712">
        <v>286759</v>
      </c>
      <c r="I1712">
        <v>2.39813253433215</v>
      </c>
      <c r="J1712">
        <v>17199043.760000002</v>
      </c>
      <c r="K1712">
        <v>2.4134876013125299</v>
      </c>
      <c r="L1712">
        <v>164348</v>
      </c>
      <c r="M1712">
        <v>2.7488468417899399</v>
      </c>
      <c r="N1712">
        <v>60.315578650181301</v>
      </c>
      <c r="O1712">
        <v>9912744.7200000007</v>
      </c>
      <c r="P1712">
        <v>2.7820484452357399</v>
      </c>
      <c r="Q1712">
        <v>122411</v>
      </c>
      <c r="R1712">
        <v>2.0474182268743699</v>
      </c>
      <c r="S1712">
        <v>59.523237617534399</v>
      </c>
      <c r="T1712">
        <v>7286299.04</v>
      </c>
      <c r="U1712">
        <v>2.0449267573686201</v>
      </c>
      <c r="V1712">
        <v>1100</v>
      </c>
      <c r="W1712">
        <v>1.6677279480881799</v>
      </c>
    </row>
    <row r="1713" spans="1:23" hidden="1" x14ac:dyDescent="0.25">
      <c r="A1713" t="s">
        <v>182</v>
      </c>
      <c r="B1713">
        <v>12</v>
      </c>
      <c r="C1713">
        <v>2025</v>
      </c>
      <c r="D1713" t="s">
        <v>132</v>
      </c>
      <c r="E1713" t="s">
        <v>133</v>
      </c>
      <c r="F1713">
        <v>-1405</v>
      </c>
      <c r="G1713">
        <v>-79338.250000000495</v>
      </c>
      <c r="H1713">
        <v>44481</v>
      </c>
      <c r="I1713">
        <v>0.37198948685003203</v>
      </c>
      <c r="J1713">
        <v>2655352.65</v>
      </c>
      <c r="K1713">
        <v>0.37261726798974998</v>
      </c>
      <c r="L1713">
        <v>21538</v>
      </c>
      <c r="M1713">
        <v>0.36023963345140603</v>
      </c>
      <c r="N1713">
        <v>59.801615748908901</v>
      </c>
      <c r="O1713">
        <v>1288007.2</v>
      </c>
      <c r="P1713">
        <v>0.3614839814227</v>
      </c>
      <c r="Q1713">
        <v>22943</v>
      </c>
      <c r="R1713">
        <v>0.38373934024865902</v>
      </c>
      <c r="S1713">
        <v>59.597500326897098</v>
      </c>
      <c r="T1713">
        <v>1367345.45</v>
      </c>
      <c r="U1713">
        <v>0.38375055455742502</v>
      </c>
      <c r="V1713">
        <v>582</v>
      </c>
      <c r="W1713">
        <v>0.88237969617029</v>
      </c>
    </row>
    <row r="1714" spans="1:23" hidden="1" x14ac:dyDescent="0.25">
      <c r="A1714" t="s">
        <v>182</v>
      </c>
      <c r="B1714">
        <v>12</v>
      </c>
      <c r="C1714">
        <v>2025</v>
      </c>
      <c r="D1714" t="s">
        <v>134</v>
      </c>
      <c r="E1714" t="s">
        <v>135</v>
      </c>
      <c r="F1714">
        <v>-21256</v>
      </c>
      <c r="G1714">
        <v>-1275358.96</v>
      </c>
      <c r="H1714">
        <v>50048</v>
      </c>
      <c r="I1714">
        <v>0.41854566754053202</v>
      </c>
      <c r="J1714">
        <v>2986506.4</v>
      </c>
      <c r="K1714">
        <v>0.41908702996639802</v>
      </c>
      <c r="L1714">
        <v>14396</v>
      </c>
      <c r="M1714">
        <v>0.240784184379536</v>
      </c>
      <c r="N1714">
        <v>59.431350375104202</v>
      </c>
      <c r="O1714">
        <v>855573.72</v>
      </c>
      <c r="P1714">
        <v>0.24011992689655001</v>
      </c>
      <c r="Q1714">
        <v>35652</v>
      </c>
      <c r="R1714">
        <v>0.59630715070152895</v>
      </c>
      <c r="S1714">
        <v>59.770354538314798</v>
      </c>
      <c r="T1714">
        <v>2130932.6800000002</v>
      </c>
      <c r="U1714">
        <v>0.59805413304629096</v>
      </c>
      <c r="V1714">
        <v>406</v>
      </c>
      <c r="W1714">
        <v>0.61554322447618204</v>
      </c>
    </row>
    <row r="1715" spans="1:23" hidden="1" x14ac:dyDescent="0.25">
      <c r="A1715" t="s">
        <v>182</v>
      </c>
      <c r="B1715">
        <v>12</v>
      </c>
      <c r="C1715">
        <v>2025</v>
      </c>
      <c r="D1715" t="s">
        <v>136</v>
      </c>
      <c r="E1715" t="s">
        <v>137</v>
      </c>
      <c r="F1715">
        <v>19568</v>
      </c>
      <c r="G1715">
        <v>1150116.99</v>
      </c>
      <c r="H1715">
        <v>64438</v>
      </c>
      <c r="I1715">
        <v>0.53888758242041301</v>
      </c>
      <c r="J1715">
        <v>3814007.15</v>
      </c>
      <c r="K1715">
        <v>0.535207602020912</v>
      </c>
      <c r="L1715">
        <v>42003</v>
      </c>
      <c r="M1715">
        <v>0.70253251573309505</v>
      </c>
      <c r="N1715">
        <v>59.092495059876697</v>
      </c>
      <c r="O1715">
        <v>2482062.0699999998</v>
      </c>
      <c r="P1715">
        <v>0.69659989416353196</v>
      </c>
      <c r="Q1715">
        <v>22435</v>
      </c>
      <c r="R1715">
        <v>0.37524264910772998</v>
      </c>
      <c r="S1715">
        <v>59.369069757075998</v>
      </c>
      <c r="T1715">
        <v>1331945.08</v>
      </c>
      <c r="U1715">
        <v>0.373815309869232</v>
      </c>
      <c r="V1715">
        <v>265</v>
      </c>
      <c r="W1715">
        <v>0.40177082385760599</v>
      </c>
    </row>
    <row r="1716" spans="1:23" hidden="1" x14ac:dyDescent="0.25">
      <c r="A1716" t="s">
        <v>182</v>
      </c>
      <c r="B1716">
        <v>12</v>
      </c>
      <c r="C1716">
        <v>2025</v>
      </c>
      <c r="D1716" t="s">
        <v>138</v>
      </c>
      <c r="E1716" t="s">
        <v>139</v>
      </c>
      <c r="F1716">
        <v>8545</v>
      </c>
      <c r="G1716">
        <v>505192.31</v>
      </c>
      <c r="H1716">
        <v>42545</v>
      </c>
      <c r="I1716">
        <v>0.35579894152637398</v>
      </c>
      <c r="J1716">
        <v>2518616.19</v>
      </c>
      <c r="K1716">
        <v>0.353429471536503</v>
      </c>
      <c r="L1716">
        <v>25545</v>
      </c>
      <c r="M1716">
        <v>0.427259793690973</v>
      </c>
      <c r="N1716">
        <v>59.1859170091995</v>
      </c>
      <c r="O1716">
        <v>1511904.25</v>
      </c>
      <c r="P1716">
        <v>0.424321516075299</v>
      </c>
      <c r="Q1716">
        <v>17000</v>
      </c>
      <c r="R1716">
        <v>0.28433808936177501</v>
      </c>
      <c r="S1716">
        <v>59.218349411764699</v>
      </c>
      <c r="T1716">
        <v>1006711.94</v>
      </c>
      <c r="U1716">
        <v>0.28253742699372802</v>
      </c>
      <c r="V1716">
        <v>109</v>
      </c>
      <c r="W1716">
        <v>0.16525667849237399</v>
      </c>
    </row>
    <row r="1717" spans="1:23" hidden="1" x14ac:dyDescent="0.25">
      <c r="A1717" t="s">
        <v>182</v>
      </c>
      <c r="B1717">
        <v>12</v>
      </c>
      <c r="C1717">
        <v>2025</v>
      </c>
      <c r="D1717" t="s">
        <v>140</v>
      </c>
      <c r="E1717" t="s">
        <v>141</v>
      </c>
      <c r="F1717">
        <v>1302</v>
      </c>
      <c r="G1717">
        <v>76930.14</v>
      </c>
      <c r="H1717">
        <v>1606</v>
      </c>
      <c r="I1717">
        <v>1.34307932798532E-2</v>
      </c>
      <c r="J1717">
        <v>94969.14</v>
      </c>
      <c r="K1717">
        <v>1.3326720083728301E-2</v>
      </c>
      <c r="L1717">
        <v>1454</v>
      </c>
      <c r="M1717">
        <v>2.4319269525412999E-2</v>
      </c>
      <c r="N1717">
        <v>59.112544704264103</v>
      </c>
      <c r="O1717">
        <v>85949.64</v>
      </c>
      <c r="P1717">
        <v>2.4122084153759198E-2</v>
      </c>
      <c r="Q1717">
        <v>152</v>
      </c>
      <c r="R1717">
        <v>2.5423170342935199E-3</v>
      </c>
      <c r="S1717">
        <v>59.338815789473699</v>
      </c>
      <c r="T1717">
        <v>9019.5</v>
      </c>
      <c r="U1717">
        <v>2.5313560130914201E-3</v>
      </c>
      <c r="V1717">
        <v>7</v>
      </c>
      <c r="W1717">
        <v>1.0612814215106601E-2</v>
      </c>
    </row>
    <row r="1718" spans="1:23" hidden="1" x14ac:dyDescent="0.25">
      <c r="A1718" t="s">
        <v>182</v>
      </c>
      <c r="B1718">
        <v>12</v>
      </c>
      <c r="C1718">
        <v>2025</v>
      </c>
      <c r="D1718" t="s">
        <v>142</v>
      </c>
      <c r="E1718" t="s">
        <v>143</v>
      </c>
      <c r="F1718">
        <v>294678</v>
      </c>
      <c r="G1718">
        <v>17614581.789999999</v>
      </c>
      <c r="H1718">
        <v>654368</v>
      </c>
      <c r="I1718">
        <v>5.4724043193966398</v>
      </c>
      <c r="J1718">
        <v>38902585.850000001</v>
      </c>
      <c r="K1718">
        <v>5.4590772555817404</v>
      </c>
      <c r="L1718">
        <v>474523</v>
      </c>
      <c r="M1718">
        <v>7.93676253989514</v>
      </c>
      <c r="N1718">
        <v>59.5515577116388</v>
      </c>
      <c r="O1718">
        <v>28258583.82</v>
      </c>
      <c r="P1718">
        <v>7.9308759986905999</v>
      </c>
      <c r="Q1718">
        <v>179845</v>
      </c>
      <c r="R1718">
        <v>3.0080460988981401</v>
      </c>
      <c r="S1718">
        <v>59.184308877088597</v>
      </c>
      <c r="T1718">
        <v>10644002.029999999</v>
      </c>
      <c r="U1718">
        <v>2.9872785123341501</v>
      </c>
      <c r="V1718">
        <v>7182</v>
      </c>
      <c r="W1718">
        <v>10.8887473846994</v>
      </c>
    </row>
    <row r="1719" spans="1:23" hidden="1" x14ac:dyDescent="0.25">
      <c r="A1719" t="s">
        <v>182</v>
      </c>
      <c r="B1719">
        <v>12</v>
      </c>
      <c r="C1719">
        <v>2025</v>
      </c>
      <c r="D1719" t="s">
        <v>144</v>
      </c>
      <c r="E1719" t="s">
        <v>145</v>
      </c>
      <c r="F1719">
        <v>-360069</v>
      </c>
      <c r="G1719">
        <v>-21377307</v>
      </c>
      <c r="H1719">
        <v>1130321</v>
      </c>
      <c r="I1719">
        <v>9.4527445148673692</v>
      </c>
      <c r="J1719">
        <v>67328113.659999996</v>
      </c>
      <c r="K1719">
        <v>9.4479419789656092</v>
      </c>
      <c r="L1719">
        <v>385126</v>
      </c>
      <c r="M1719">
        <v>6.4415288825613404</v>
      </c>
      <c r="N1719">
        <v>59.656848226294798</v>
      </c>
      <c r="O1719">
        <v>22975403.329999998</v>
      </c>
      <c r="P1719">
        <v>6.4481318664373601</v>
      </c>
      <c r="Q1719">
        <v>745195</v>
      </c>
      <c r="R1719">
        <v>12.463960147173401</v>
      </c>
      <c r="S1719">
        <v>59.518260763961102</v>
      </c>
      <c r="T1719">
        <v>44352710.329999998</v>
      </c>
      <c r="U1719">
        <v>12.447752091662201</v>
      </c>
      <c r="V1719">
        <v>2461</v>
      </c>
      <c r="W1719">
        <v>3.73116225476819</v>
      </c>
    </row>
    <row r="1720" spans="1:23" hidden="1" x14ac:dyDescent="0.25">
      <c r="A1720" t="s">
        <v>182</v>
      </c>
      <c r="B1720">
        <v>12</v>
      </c>
      <c r="C1720">
        <v>2025</v>
      </c>
      <c r="D1720" t="s">
        <v>165</v>
      </c>
      <c r="E1720" t="s">
        <v>166</v>
      </c>
      <c r="F1720">
        <v>-215</v>
      </c>
      <c r="G1720">
        <v>-12968.8</v>
      </c>
      <c r="H1720">
        <v>215</v>
      </c>
      <c r="I1720">
        <v>1.79802027096416E-3</v>
      </c>
      <c r="J1720">
        <v>12968.8</v>
      </c>
      <c r="K1720">
        <v>1.81987082774315E-3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215</v>
      </c>
      <c r="R1720">
        <v>3.5960405419283299E-3</v>
      </c>
      <c r="S1720">
        <v>60.32</v>
      </c>
      <c r="T1720">
        <v>12968.8</v>
      </c>
      <c r="U1720">
        <v>3.63974165558845E-3</v>
      </c>
      <c r="V1720">
        <v>2</v>
      </c>
      <c r="W1720">
        <v>3.0322326328876001E-3</v>
      </c>
    </row>
    <row r="1721" spans="1:23" hidden="1" x14ac:dyDescent="0.25">
      <c r="A1721" t="s">
        <v>182</v>
      </c>
      <c r="B1721">
        <v>12</v>
      </c>
      <c r="C1721">
        <v>2025</v>
      </c>
      <c r="D1721" t="s">
        <v>146</v>
      </c>
      <c r="E1721" t="s">
        <v>147</v>
      </c>
      <c r="F1721">
        <v>-39839</v>
      </c>
      <c r="G1721">
        <v>-2332897.3199999998</v>
      </c>
      <c r="H1721">
        <v>149013</v>
      </c>
      <c r="I1721">
        <v>1.24617857970783</v>
      </c>
      <c r="J1721">
        <v>8842773.0800000001</v>
      </c>
      <c r="K1721">
        <v>1.24087847485075</v>
      </c>
      <c r="L1721">
        <v>54587</v>
      </c>
      <c r="M1721">
        <v>0.91300960494065897</v>
      </c>
      <c r="N1721">
        <v>59.628444135050501</v>
      </c>
      <c r="O1721">
        <v>3254937.88</v>
      </c>
      <c r="P1721">
        <v>0.91351034694989397</v>
      </c>
      <c r="Q1721">
        <v>94426</v>
      </c>
      <c r="R1721">
        <v>1.579347554475</v>
      </c>
      <c r="S1721">
        <v>59.176870777116498</v>
      </c>
      <c r="T1721">
        <v>5587835.2000000002</v>
      </c>
      <c r="U1721">
        <v>1.56824660276999</v>
      </c>
      <c r="V1721">
        <v>763</v>
      </c>
      <c r="W1721">
        <v>1.15679674944662</v>
      </c>
    </row>
    <row r="1722" spans="1:23" x14ac:dyDescent="0.25">
      <c r="A1722" t="s">
        <v>182</v>
      </c>
      <c r="B1722">
        <v>12</v>
      </c>
      <c r="C1722">
        <v>2025</v>
      </c>
      <c r="D1722" t="s">
        <v>148</v>
      </c>
      <c r="E1722" t="s">
        <v>148</v>
      </c>
      <c r="F1722">
        <v>0</v>
      </c>
      <c r="G1722">
        <v>1.9999987191795299E-2</v>
      </c>
      <c r="H1722">
        <v>11957596</v>
      </c>
      <c r="I1722">
        <v>0</v>
      </c>
      <c r="J1722">
        <v>712622006.03999996</v>
      </c>
      <c r="K1722">
        <v>0</v>
      </c>
      <c r="L1722">
        <v>5978798</v>
      </c>
      <c r="M1722">
        <v>100</v>
      </c>
      <c r="N1722">
        <v>59.5515577116388</v>
      </c>
      <c r="O1722">
        <v>356311003.02999997</v>
      </c>
      <c r="P1722">
        <v>100</v>
      </c>
      <c r="Q1722">
        <v>5978798</v>
      </c>
      <c r="R1722">
        <v>100</v>
      </c>
      <c r="S1722">
        <v>59.538787682324802</v>
      </c>
      <c r="T1722">
        <v>356311003.00999999</v>
      </c>
      <c r="U1722">
        <v>100</v>
      </c>
      <c r="V1722">
        <v>65958</v>
      </c>
      <c r="W1722">
        <v>100</v>
      </c>
    </row>
    <row r="1723" spans="1:23" hidden="1" x14ac:dyDescent="0.25">
      <c r="A1723" t="s">
        <v>182</v>
      </c>
      <c r="B1723">
        <v>12</v>
      </c>
      <c r="C1723">
        <v>2025</v>
      </c>
      <c r="D1723" t="s">
        <v>149</v>
      </c>
      <c r="E1723" t="s">
        <v>150</v>
      </c>
      <c r="F1723">
        <v>168533</v>
      </c>
      <c r="G1723">
        <v>10088822.6</v>
      </c>
      <c r="H1723">
        <v>881135</v>
      </c>
      <c r="I1723">
        <v>7.3688306579349199</v>
      </c>
      <c r="J1723">
        <v>52516281.780000001</v>
      </c>
      <c r="K1723">
        <v>7.3694442965394797</v>
      </c>
      <c r="L1723">
        <v>524834</v>
      </c>
      <c r="M1723">
        <v>8.7782527524763303</v>
      </c>
      <c r="N1723">
        <v>59.6427674083615</v>
      </c>
      <c r="O1723">
        <v>31302552.190000001</v>
      </c>
      <c r="P1723">
        <v>8.7851769728717706</v>
      </c>
      <c r="Q1723">
        <v>356301</v>
      </c>
      <c r="R1723">
        <v>5.9594085633935103</v>
      </c>
      <c r="S1723">
        <v>59.538787682324802</v>
      </c>
      <c r="T1723">
        <v>21213729.59</v>
      </c>
      <c r="U1723">
        <v>5.95371162012772</v>
      </c>
      <c r="V1723">
        <v>5432</v>
      </c>
      <c r="W1723">
        <v>8.23554383092271</v>
      </c>
    </row>
    <row r="1724" spans="1:23" hidden="1" x14ac:dyDescent="0.25">
      <c r="A1724" t="s">
        <v>182</v>
      </c>
      <c r="B1724">
        <v>12</v>
      </c>
      <c r="C1724">
        <v>2025</v>
      </c>
      <c r="D1724" t="s">
        <v>183</v>
      </c>
      <c r="E1724" t="s">
        <v>184</v>
      </c>
      <c r="F1724">
        <v>-3000</v>
      </c>
      <c r="G1724">
        <v>-172142.39</v>
      </c>
      <c r="H1724">
        <v>23000</v>
      </c>
      <c r="I1724">
        <v>0.19234635456825899</v>
      </c>
      <c r="J1724">
        <v>1367088.57</v>
      </c>
      <c r="K1724">
        <v>0.191839230112586</v>
      </c>
      <c r="L1724">
        <v>10000</v>
      </c>
      <c r="M1724">
        <v>0.16725769962457299</v>
      </c>
      <c r="N1724">
        <v>59.747309000000001</v>
      </c>
      <c r="O1724">
        <v>597473.09</v>
      </c>
      <c r="P1724">
        <v>0.16768303109339999</v>
      </c>
      <c r="Q1724">
        <v>13000</v>
      </c>
      <c r="R1724">
        <v>0.217435009511945</v>
      </c>
      <c r="S1724">
        <v>59.201190769230799</v>
      </c>
      <c r="T1724">
        <v>769615.48</v>
      </c>
      <c r="U1724">
        <v>0.215995429133127</v>
      </c>
      <c r="V1724">
        <v>31</v>
      </c>
      <c r="W1724">
        <v>4.6999605809757698E-2</v>
      </c>
    </row>
    <row r="1725" spans="1:23" hidden="1" x14ac:dyDescent="0.25">
      <c r="A1725" t="s">
        <v>182</v>
      </c>
      <c r="B1725">
        <v>12</v>
      </c>
      <c r="C1725">
        <v>2025</v>
      </c>
      <c r="D1725" t="s">
        <v>151</v>
      </c>
      <c r="E1725" t="s">
        <v>152</v>
      </c>
      <c r="F1725">
        <v>-1138</v>
      </c>
      <c r="G1725">
        <v>-86528.209999997198</v>
      </c>
      <c r="H1725">
        <v>763924</v>
      </c>
      <c r="I1725">
        <v>6.3886085464001301</v>
      </c>
      <c r="J1725">
        <v>45582177.549999997</v>
      </c>
      <c r="K1725">
        <v>6.3964033054911704</v>
      </c>
      <c r="L1725">
        <v>381393</v>
      </c>
      <c r="M1725">
        <v>6.3790915832914896</v>
      </c>
      <c r="N1725">
        <v>59.644053954844502</v>
      </c>
      <c r="O1725">
        <v>22747824.670000002</v>
      </c>
      <c r="P1725">
        <v>6.3842610743302597</v>
      </c>
      <c r="Q1725">
        <v>382531</v>
      </c>
      <c r="R1725">
        <v>6.3981255095087697</v>
      </c>
      <c r="S1725">
        <v>59.6928167390355</v>
      </c>
      <c r="T1725">
        <v>22834352.879999999</v>
      </c>
      <c r="U1725">
        <v>6.40854553665275</v>
      </c>
      <c r="V1725">
        <v>3718</v>
      </c>
      <c r="W1725">
        <v>5.63692046453804</v>
      </c>
    </row>
    <row r="1726" spans="1:23" hidden="1" x14ac:dyDescent="0.25">
      <c r="A1726" t="s">
        <v>182</v>
      </c>
      <c r="B1726">
        <v>12</v>
      </c>
      <c r="C1726">
        <v>2025</v>
      </c>
      <c r="D1726" t="s">
        <v>153</v>
      </c>
      <c r="E1726" t="s">
        <v>154</v>
      </c>
      <c r="F1726">
        <v>7130</v>
      </c>
      <c r="G1726">
        <v>422593.09</v>
      </c>
      <c r="H1726">
        <v>34446</v>
      </c>
      <c r="I1726">
        <v>0.28806793606340297</v>
      </c>
      <c r="J1726">
        <v>2050706.09</v>
      </c>
      <c r="K1726">
        <v>0.28776912200560001</v>
      </c>
      <c r="L1726">
        <v>20788</v>
      </c>
      <c r="M1726">
        <v>0.347695305979563</v>
      </c>
      <c r="N1726">
        <v>59.488627573600198</v>
      </c>
      <c r="O1726">
        <v>1236649.5900000001</v>
      </c>
      <c r="P1726">
        <v>0.34707027834778398</v>
      </c>
      <c r="Q1726">
        <v>13658</v>
      </c>
      <c r="R1726">
        <v>0.22844056614724201</v>
      </c>
      <c r="S1726">
        <v>59.602906721335501</v>
      </c>
      <c r="T1726">
        <v>814056.5</v>
      </c>
      <c r="U1726">
        <v>0.22846796566008701</v>
      </c>
      <c r="V1726">
        <v>556</v>
      </c>
      <c r="W1726">
        <v>0.84296067194275104</v>
      </c>
    </row>
    <row r="1727" spans="1:23" hidden="1" x14ac:dyDescent="0.25">
      <c r="A1727" t="s">
        <v>182</v>
      </c>
      <c r="B1727">
        <v>12</v>
      </c>
      <c r="C1727">
        <v>2025</v>
      </c>
      <c r="D1727" t="s">
        <v>155</v>
      </c>
      <c r="E1727" t="s">
        <v>156</v>
      </c>
      <c r="F1727">
        <v>732</v>
      </c>
      <c r="G1727">
        <v>44737.4</v>
      </c>
      <c r="H1727">
        <v>13884</v>
      </c>
      <c r="I1727">
        <v>0.11611029507937901</v>
      </c>
      <c r="J1727">
        <v>823419.14</v>
      </c>
      <c r="K1727">
        <v>0.115547812588008</v>
      </c>
      <c r="L1727">
        <v>7308</v>
      </c>
      <c r="M1727">
        <v>0.122231926885638</v>
      </c>
      <c r="N1727">
        <v>59.397683360700597</v>
      </c>
      <c r="O1727">
        <v>434078.27</v>
      </c>
      <c r="P1727">
        <v>0.121825670919136</v>
      </c>
      <c r="Q1727">
        <v>6576</v>
      </c>
      <c r="R1727">
        <v>0.109988663273119</v>
      </c>
      <c r="S1727">
        <v>59.206336678832102</v>
      </c>
      <c r="T1727">
        <v>389340.87</v>
      </c>
      <c r="U1727">
        <v>0.109269954256527</v>
      </c>
      <c r="V1727">
        <v>54</v>
      </c>
      <c r="W1727">
        <v>8.1870281087965097E-2</v>
      </c>
    </row>
    <row r="1728" spans="1:23" hidden="1" x14ac:dyDescent="0.25">
      <c r="A1728" t="s">
        <v>182</v>
      </c>
      <c r="B1728">
        <v>1</v>
      </c>
      <c r="C1728">
        <v>2026</v>
      </c>
      <c r="D1728" t="s">
        <v>88</v>
      </c>
      <c r="E1728" t="s">
        <v>89</v>
      </c>
      <c r="F1728">
        <v>38805</v>
      </c>
      <c r="G1728">
        <v>5241133.57</v>
      </c>
      <c r="H1728">
        <v>259453</v>
      </c>
      <c r="I1728">
        <v>2.5863411267245699</v>
      </c>
      <c r="J1728">
        <v>19144792.149999999</v>
      </c>
      <c r="K1728">
        <v>2.3319041182609999</v>
      </c>
      <c r="L1728">
        <v>149129</v>
      </c>
      <c r="M1728">
        <v>2.9731663606688499</v>
      </c>
      <c r="N1728">
        <v>81.761178979272998</v>
      </c>
      <c r="O1728">
        <v>12192962.859999999</v>
      </c>
      <c r="P1728">
        <v>2.4222742439486402</v>
      </c>
      <c r="Q1728">
        <v>110324</v>
      </c>
      <c r="R1728">
        <v>2.1995158927802798</v>
      </c>
      <c r="S1728">
        <v>63.012846615423697</v>
      </c>
      <c r="T1728">
        <v>6951829.29</v>
      </c>
      <c r="U1728">
        <v>2.1886868593411699</v>
      </c>
      <c r="V1728">
        <v>1649</v>
      </c>
      <c r="W1728">
        <v>2.1646669642153902</v>
      </c>
    </row>
    <row r="1729" spans="1:23" hidden="1" x14ac:dyDescent="0.25">
      <c r="A1729" t="s">
        <v>182</v>
      </c>
      <c r="B1729">
        <v>1</v>
      </c>
      <c r="C1729">
        <v>2026</v>
      </c>
      <c r="D1729" t="s">
        <v>90</v>
      </c>
      <c r="E1729" t="s">
        <v>91</v>
      </c>
      <c r="F1729">
        <v>53092</v>
      </c>
      <c r="G1729">
        <v>10811078.550000001</v>
      </c>
      <c r="H1729">
        <v>348804</v>
      </c>
      <c r="I1729">
        <v>3.4770310243706399</v>
      </c>
      <c r="J1729">
        <v>29714166.550000001</v>
      </c>
      <c r="K1729">
        <v>3.61929170114486</v>
      </c>
      <c r="L1729">
        <v>200948</v>
      </c>
      <c r="M1729">
        <v>4.0062753310468402</v>
      </c>
      <c r="N1729">
        <v>100.835154119474</v>
      </c>
      <c r="O1729">
        <v>20262622.550000001</v>
      </c>
      <c r="P1729">
        <v>4.0254062348319204</v>
      </c>
      <c r="Q1729">
        <v>147856</v>
      </c>
      <c r="R1729">
        <v>2.9477867176944401</v>
      </c>
      <c r="S1729">
        <v>63.923980088735</v>
      </c>
      <c r="T1729">
        <v>9451544</v>
      </c>
      <c r="U1729">
        <v>2.9756873033464402</v>
      </c>
      <c r="V1729">
        <v>5831</v>
      </c>
      <c r="W1729">
        <v>7.6544409146997801</v>
      </c>
    </row>
    <row r="1730" spans="1:23" hidden="1" x14ac:dyDescent="0.25">
      <c r="A1730" t="s">
        <v>182</v>
      </c>
      <c r="B1730">
        <v>1</v>
      </c>
      <c r="C1730">
        <v>2026</v>
      </c>
      <c r="D1730" t="s">
        <v>92</v>
      </c>
      <c r="E1730" t="s">
        <v>93</v>
      </c>
      <c r="F1730">
        <v>2683</v>
      </c>
      <c r="G1730">
        <v>547871.77</v>
      </c>
      <c r="H1730">
        <v>16683</v>
      </c>
      <c r="I1730">
        <v>0.166303450016558</v>
      </c>
      <c r="J1730">
        <v>1438359.55</v>
      </c>
      <c r="K1730">
        <v>0.17519733470624499</v>
      </c>
      <c r="L1730">
        <v>9683</v>
      </c>
      <c r="M1730">
        <v>0.19304876898763099</v>
      </c>
      <c r="N1730">
        <v>102.56280698130701</v>
      </c>
      <c r="O1730">
        <v>993115.66</v>
      </c>
      <c r="P1730">
        <v>0.197294005739312</v>
      </c>
      <c r="Q1730">
        <v>7000</v>
      </c>
      <c r="R1730">
        <v>0.13955813104548401</v>
      </c>
      <c r="S1730">
        <v>63.606270000000002</v>
      </c>
      <c r="T1730">
        <v>445243.89</v>
      </c>
      <c r="U1730">
        <v>0.14017885229816199</v>
      </c>
      <c r="V1730">
        <v>72</v>
      </c>
      <c r="W1730">
        <v>9.4515476909343907E-2</v>
      </c>
    </row>
    <row r="1731" spans="1:23" hidden="1" x14ac:dyDescent="0.25">
      <c r="A1731" t="s">
        <v>182</v>
      </c>
      <c r="B1731">
        <v>1</v>
      </c>
      <c r="C1731">
        <v>2026</v>
      </c>
      <c r="D1731" t="s">
        <v>94</v>
      </c>
      <c r="E1731" t="s">
        <v>95</v>
      </c>
      <c r="F1731">
        <v>-10444</v>
      </c>
      <c r="G1731">
        <v>8833228.7100000009</v>
      </c>
      <c r="H1731">
        <v>305970</v>
      </c>
      <c r="I1731">
        <v>3.0500429539990499</v>
      </c>
      <c r="J1731">
        <v>28952750.25</v>
      </c>
      <c r="K1731">
        <v>3.5265484740693398</v>
      </c>
      <c r="L1731">
        <v>147763</v>
      </c>
      <c r="M1731">
        <v>2.9459325882391201</v>
      </c>
      <c r="N1731">
        <v>127.860083241407</v>
      </c>
      <c r="O1731">
        <v>18892989.48</v>
      </c>
      <c r="P1731">
        <v>3.7533126553455798</v>
      </c>
      <c r="Q1731">
        <v>158207</v>
      </c>
      <c r="R1731">
        <v>3.1541533197589802</v>
      </c>
      <c r="S1731">
        <v>63.586066166478098</v>
      </c>
      <c r="T1731">
        <v>10059760.77</v>
      </c>
      <c r="U1731">
        <v>3.167175902476</v>
      </c>
      <c r="V1731">
        <v>1298</v>
      </c>
      <c r="W1731">
        <v>1.7039040142823401</v>
      </c>
    </row>
    <row r="1732" spans="1:23" hidden="1" x14ac:dyDescent="0.25">
      <c r="A1732" t="s">
        <v>182</v>
      </c>
      <c r="B1732">
        <v>1</v>
      </c>
      <c r="C1732">
        <v>2026</v>
      </c>
      <c r="D1732" t="s">
        <v>96</v>
      </c>
      <c r="E1732" t="s">
        <v>97</v>
      </c>
      <c r="F1732">
        <v>8991</v>
      </c>
      <c r="G1732">
        <v>1815697.5</v>
      </c>
      <c r="H1732">
        <v>75377</v>
      </c>
      <c r="I1732">
        <v>0.75139094598681699</v>
      </c>
      <c r="J1732">
        <v>6020475.7199999997</v>
      </c>
      <c r="K1732">
        <v>0.73331546330516595</v>
      </c>
      <c r="L1732">
        <v>42184</v>
      </c>
      <c r="M1732">
        <v>0.84101717143181298</v>
      </c>
      <c r="N1732">
        <v>92.880869761046895</v>
      </c>
      <c r="O1732">
        <v>3918086.61</v>
      </c>
      <c r="P1732">
        <v>0.77837359056493105</v>
      </c>
      <c r="Q1732">
        <v>33193</v>
      </c>
      <c r="R1732">
        <v>0.66176472054182001</v>
      </c>
      <c r="S1732">
        <v>63.3383276594463</v>
      </c>
      <c r="T1732">
        <v>2102389.11</v>
      </c>
      <c r="U1732">
        <v>0.661907999510008</v>
      </c>
      <c r="V1732">
        <v>749</v>
      </c>
      <c r="W1732">
        <v>0.98322350284859195</v>
      </c>
    </row>
    <row r="1733" spans="1:23" hidden="1" x14ac:dyDescent="0.25">
      <c r="A1733" t="s">
        <v>182</v>
      </c>
      <c r="B1733">
        <v>1</v>
      </c>
      <c r="C1733">
        <v>2026</v>
      </c>
      <c r="D1733" t="s">
        <v>100</v>
      </c>
      <c r="E1733" t="s">
        <v>101</v>
      </c>
      <c r="F1733">
        <v>3428</v>
      </c>
      <c r="G1733">
        <v>1595026.53</v>
      </c>
      <c r="H1733">
        <v>108702</v>
      </c>
      <c r="I1733">
        <v>1.0835891400647299</v>
      </c>
      <c r="J1733">
        <v>8420761.0500000007</v>
      </c>
      <c r="K1733">
        <v>1.0256787964860099</v>
      </c>
      <c r="L1733">
        <v>56065</v>
      </c>
      <c r="M1733">
        <v>1.1177609452950099</v>
      </c>
      <c r="N1733">
        <v>89.322996343529795</v>
      </c>
      <c r="O1733">
        <v>5007893.79</v>
      </c>
      <c r="P1733">
        <v>0.99487649419013802</v>
      </c>
      <c r="Q1733">
        <v>52637</v>
      </c>
      <c r="R1733">
        <v>1.04941733483445</v>
      </c>
      <c r="S1733">
        <v>64.837799646636398</v>
      </c>
      <c r="T1733">
        <v>3412867.26</v>
      </c>
      <c r="U1733">
        <v>1.0744938365190699</v>
      </c>
      <c r="V1733">
        <v>41</v>
      </c>
      <c r="W1733">
        <v>5.3821313240043099E-2</v>
      </c>
    </row>
    <row r="1734" spans="1:23" hidden="1" x14ac:dyDescent="0.25">
      <c r="A1734" t="s">
        <v>182</v>
      </c>
      <c r="B1734">
        <v>1</v>
      </c>
      <c r="C1734">
        <v>2026</v>
      </c>
      <c r="D1734" t="s">
        <v>159</v>
      </c>
      <c r="E1734" t="s">
        <v>160</v>
      </c>
      <c r="F1734">
        <v>4345</v>
      </c>
      <c r="G1734">
        <v>368677.85</v>
      </c>
      <c r="H1734">
        <v>4429</v>
      </c>
      <c r="I1734">
        <v>4.4150211600031998E-2</v>
      </c>
      <c r="J1734">
        <v>373979.09</v>
      </c>
      <c r="K1734">
        <v>4.5551989976266201E-2</v>
      </c>
      <c r="L1734">
        <v>4387</v>
      </c>
      <c r="M1734">
        <v>8.74630744137911E-2</v>
      </c>
      <c r="N1734">
        <v>84.642915431958002</v>
      </c>
      <c r="O1734">
        <v>371328.47</v>
      </c>
      <c r="P1734">
        <v>7.3768730312187294E-2</v>
      </c>
      <c r="Q1734">
        <v>42</v>
      </c>
      <c r="R1734">
        <v>8.3734878627290303E-4</v>
      </c>
      <c r="S1734">
        <v>63.11</v>
      </c>
      <c r="T1734">
        <v>2650.62</v>
      </c>
      <c r="U1734">
        <v>8.3451087779902802E-4</v>
      </c>
      <c r="V1734">
        <v>20</v>
      </c>
      <c r="W1734">
        <v>2.6254299141484399E-2</v>
      </c>
    </row>
    <row r="1735" spans="1:23" hidden="1" x14ac:dyDescent="0.25">
      <c r="A1735" t="s">
        <v>182</v>
      </c>
      <c r="B1735">
        <v>1</v>
      </c>
      <c r="C1735">
        <v>2026</v>
      </c>
      <c r="D1735" t="s">
        <v>102</v>
      </c>
      <c r="E1735" t="s">
        <v>103</v>
      </c>
      <c r="F1735">
        <v>113920</v>
      </c>
      <c r="G1735">
        <v>29542927.84</v>
      </c>
      <c r="H1735">
        <v>1109092</v>
      </c>
      <c r="I1735">
        <v>11.0559147626784</v>
      </c>
      <c r="J1735">
        <v>92420584.579999998</v>
      </c>
      <c r="K1735">
        <v>11.2571575656511</v>
      </c>
      <c r="L1735">
        <v>611506</v>
      </c>
      <c r="M1735">
        <v>12.1915192118714</v>
      </c>
      <c r="N1735">
        <v>99.723888579997606</v>
      </c>
      <c r="O1735">
        <v>60981756.210000001</v>
      </c>
      <c r="P1735">
        <v>12.11473692771</v>
      </c>
      <c r="Q1735">
        <v>497586</v>
      </c>
      <c r="R1735">
        <v>9.9203103134854391</v>
      </c>
      <c r="S1735">
        <v>63.182702829259703</v>
      </c>
      <c r="T1735">
        <v>31438828.370000001</v>
      </c>
      <c r="U1735">
        <v>9.8980782835795793</v>
      </c>
      <c r="V1735">
        <v>10502</v>
      </c>
      <c r="W1735">
        <v>13.786132479193499</v>
      </c>
    </row>
    <row r="1736" spans="1:23" hidden="1" x14ac:dyDescent="0.25">
      <c r="A1736" t="s">
        <v>182</v>
      </c>
      <c r="B1736">
        <v>1</v>
      </c>
      <c r="C1736">
        <v>2026</v>
      </c>
      <c r="D1736" t="s">
        <v>189</v>
      </c>
      <c r="E1736" t="s">
        <v>190</v>
      </c>
      <c r="F1736">
        <v>5054</v>
      </c>
      <c r="G1736">
        <v>680002.23</v>
      </c>
      <c r="H1736">
        <v>40492</v>
      </c>
      <c r="I1736">
        <v>0.40364198873526602</v>
      </c>
      <c r="J1736">
        <v>2863577.33</v>
      </c>
      <c r="K1736">
        <v>0.348793954850318</v>
      </c>
      <c r="L1736">
        <v>22773</v>
      </c>
      <c r="M1736">
        <v>0.45402247404268598</v>
      </c>
      <c r="N1736">
        <v>77.8022122689149</v>
      </c>
      <c r="O1736">
        <v>1771789.78</v>
      </c>
      <c r="P1736">
        <v>0.35198669913650799</v>
      </c>
      <c r="Q1736">
        <v>17719</v>
      </c>
      <c r="R1736">
        <v>0.35326150342784701</v>
      </c>
      <c r="S1736">
        <v>61.616770133754699</v>
      </c>
      <c r="T1736">
        <v>1091787.55</v>
      </c>
      <c r="U1736">
        <v>0.34373414020891402</v>
      </c>
      <c r="V1736">
        <v>250</v>
      </c>
      <c r="W1736">
        <v>0.32817873926855501</v>
      </c>
    </row>
    <row r="1737" spans="1:23" hidden="1" x14ac:dyDescent="0.25">
      <c r="A1737" t="s">
        <v>182</v>
      </c>
      <c r="B1737">
        <v>1</v>
      </c>
      <c r="C1737">
        <v>2026</v>
      </c>
      <c r="D1737" t="s">
        <v>161</v>
      </c>
      <c r="E1737" t="s">
        <v>162</v>
      </c>
      <c r="F1737">
        <v>-9598</v>
      </c>
      <c r="G1737">
        <v>-383800.5</v>
      </c>
      <c r="H1737">
        <v>15342</v>
      </c>
      <c r="I1737">
        <v>0.15293577474998701</v>
      </c>
      <c r="J1737">
        <v>1191274.8400000001</v>
      </c>
      <c r="K1737">
        <v>0.14510153380676499</v>
      </c>
      <c r="L1737">
        <v>2872</v>
      </c>
      <c r="M1737">
        <v>5.7258707480375599E-2</v>
      </c>
      <c r="N1737">
        <v>140.57700905292501</v>
      </c>
      <c r="O1737">
        <v>403737.17</v>
      </c>
      <c r="P1737">
        <v>8.0207096457580299E-2</v>
      </c>
      <c r="Q1737">
        <v>12470</v>
      </c>
      <c r="R1737">
        <v>0.24861284201959799</v>
      </c>
      <c r="S1737">
        <v>63.154584603047297</v>
      </c>
      <c r="T1737">
        <v>787537.67</v>
      </c>
      <c r="U1737">
        <v>0.24794529290939499</v>
      </c>
      <c r="V1737">
        <v>82</v>
      </c>
      <c r="W1737">
        <v>0.107642626480086</v>
      </c>
    </row>
    <row r="1738" spans="1:23" hidden="1" x14ac:dyDescent="0.25">
      <c r="A1738" t="s">
        <v>182</v>
      </c>
      <c r="B1738">
        <v>1</v>
      </c>
      <c r="C1738">
        <v>2026</v>
      </c>
      <c r="D1738" t="s">
        <v>104</v>
      </c>
      <c r="E1738" t="s">
        <v>105</v>
      </c>
      <c r="F1738">
        <v>69624</v>
      </c>
      <c r="G1738">
        <v>11629344.07</v>
      </c>
      <c r="H1738">
        <v>442256</v>
      </c>
      <c r="I1738">
        <v>4.4086014859751099</v>
      </c>
      <c r="J1738">
        <v>35215087.07</v>
      </c>
      <c r="K1738">
        <v>4.2893234839038303</v>
      </c>
      <c r="L1738">
        <v>255940</v>
      </c>
      <c r="M1738">
        <v>5.1026440085401603</v>
      </c>
      <c r="N1738">
        <v>91.514478276158499</v>
      </c>
      <c r="O1738">
        <v>23422215.57</v>
      </c>
      <c r="P1738">
        <v>4.6530962295922098</v>
      </c>
      <c r="Q1738">
        <v>186316</v>
      </c>
      <c r="R1738">
        <v>3.7145589634100502</v>
      </c>
      <c r="S1738">
        <v>63.295001502823098</v>
      </c>
      <c r="T1738">
        <v>11792871.5</v>
      </c>
      <c r="U1738">
        <v>3.7128217350039399</v>
      </c>
      <c r="V1738">
        <v>5894</v>
      </c>
      <c r="W1738">
        <v>7.73714195699546</v>
      </c>
    </row>
    <row r="1739" spans="1:23" hidden="1" x14ac:dyDescent="0.25">
      <c r="A1739" t="s">
        <v>182</v>
      </c>
      <c r="B1739">
        <v>1</v>
      </c>
      <c r="C1739">
        <v>2026</v>
      </c>
      <c r="D1739" t="s">
        <v>187</v>
      </c>
      <c r="E1739" t="s">
        <v>188</v>
      </c>
      <c r="F1739">
        <v>-6041</v>
      </c>
      <c r="G1739">
        <v>-275609.57</v>
      </c>
      <c r="H1739">
        <v>6041</v>
      </c>
      <c r="I1739">
        <v>6.02193335461262E-2</v>
      </c>
      <c r="J1739">
        <v>506091.57</v>
      </c>
      <c r="K1739">
        <v>6.1643762285513999E-2</v>
      </c>
      <c r="L1739">
        <v>0</v>
      </c>
      <c r="M1739">
        <v>0</v>
      </c>
      <c r="N1739">
        <v>0</v>
      </c>
      <c r="O1739">
        <v>115241</v>
      </c>
      <c r="P1739">
        <v>2.2893968377665101E-2</v>
      </c>
      <c r="Q1739">
        <v>6041</v>
      </c>
      <c r="R1739">
        <v>0.120438667092252</v>
      </c>
      <c r="S1739">
        <v>64.699647409369305</v>
      </c>
      <c r="T1739">
        <v>390850.57</v>
      </c>
      <c r="U1739">
        <v>0.123053871267458</v>
      </c>
      <c r="V1739">
        <v>63</v>
      </c>
      <c r="W1739">
        <v>8.2701042295675903E-2</v>
      </c>
    </row>
    <row r="1740" spans="1:23" hidden="1" x14ac:dyDescent="0.25">
      <c r="A1740" t="s">
        <v>182</v>
      </c>
      <c r="B1740">
        <v>1</v>
      </c>
      <c r="C1740">
        <v>2026</v>
      </c>
      <c r="D1740" t="s">
        <v>106</v>
      </c>
      <c r="E1740" t="s">
        <v>107</v>
      </c>
      <c r="F1740">
        <v>-88632</v>
      </c>
      <c r="G1740">
        <v>-2539870.84</v>
      </c>
      <c r="H1740">
        <v>443152</v>
      </c>
      <c r="I1740">
        <v>4.4175332063620196</v>
      </c>
      <c r="J1740">
        <v>31036199.579999998</v>
      </c>
      <c r="K1740">
        <v>3.7803200498978602</v>
      </c>
      <c r="L1740">
        <v>177260</v>
      </c>
      <c r="M1740">
        <v>3.5340106155889202</v>
      </c>
      <c r="N1740">
        <v>80.380031422768795</v>
      </c>
      <c r="O1740">
        <v>14248164.369999999</v>
      </c>
      <c r="P1740">
        <v>2.8305639878737199</v>
      </c>
      <c r="Q1740">
        <v>265892</v>
      </c>
      <c r="R1740">
        <v>5.3010557971351098</v>
      </c>
      <c r="S1740">
        <v>63.1385495238668</v>
      </c>
      <c r="T1740">
        <v>16788035.210000001</v>
      </c>
      <c r="U1740">
        <v>5.2854796234911401</v>
      </c>
      <c r="V1740">
        <v>1674</v>
      </c>
      <c r="W1740">
        <v>2.19748483814225</v>
      </c>
    </row>
    <row r="1741" spans="1:23" hidden="1" x14ac:dyDescent="0.25">
      <c r="A1741" t="s">
        <v>182</v>
      </c>
      <c r="B1741">
        <v>1</v>
      </c>
      <c r="C1741">
        <v>2026</v>
      </c>
      <c r="D1741" t="s">
        <v>173</v>
      </c>
      <c r="E1741" t="s">
        <v>174</v>
      </c>
      <c r="F1741">
        <v>0</v>
      </c>
      <c r="G1741">
        <v>68000</v>
      </c>
      <c r="H1741">
        <v>0</v>
      </c>
      <c r="I1741">
        <v>0</v>
      </c>
      <c r="J1741">
        <v>68000</v>
      </c>
      <c r="K1741">
        <v>8.2826430707291804E-3</v>
      </c>
      <c r="L1741">
        <v>0</v>
      </c>
      <c r="M1741">
        <v>0</v>
      </c>
      <c r="N1741">
        <v>0</v>
      </c>
      <c r="O1741">
        <v>68000</v>
      </c>
      <c r="P1741">
        <v>1.35089928903882E-2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1</v>
      </c>
      <c r="W1741">
        <v>1.31271495707422E-3</v>
      </c>
    </row>
    <row r="1742" spans="1:23" hidden="1" x14ac:dyDescent="0.25">
      <c r="A1742" t="s">
        <v>182</v>
      </c>
      <c r="B1742">
        <v>1</v>
      </c>
      <c r="C1742">
        <v>2026</v>
      </c>
      <c r="D1742" t="s">
        <v>108</v>
      </c>
      <c r="E1742" t="s">
        <v>109</v>
      </c>
      <c r="F1742">
        <v>2592</v>
      </c>
      <c r="G1742">
        <v>186989.91</v>
      </c>
      <c r="H1742">
        <v>2592</v>
      </c>
      <c r="I1742">
        <v>2.5838191119278101E-2</v>
      </c>
      <c r="J1742">
        <v>186989.91</v>
      </c>
      <c r="K1742">
        <v>2.2776039446437801E-2</v>
      </c>
      <c r="L1742">
        <v>2592</v>
      </c>
      <c r="M1742">
        <v>5.16763822385563E-2</v>
      </c>
      <c r="N1742">
        <v>72.141168981481499</v>
      </c>
      <c r="O1742">
        <v>186989.91</v>
      </c>
      <c r="P1742">
        <v>3.7147725952416701E-2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16</v>
      </c>
      <c r="W1742">
        <v>2.1003439313187499E-2</v>
      </c>
    </row>
    <row r="1743" spans="1:23" hidden="1" x14ac:dyDescent="0.25">
      <c r="A1743" t="s">
        <v>182</v>
      </c>
      <c r="B1743">
        <v>1</v>
      </c>
      <c r="C1743">
        <v>2026</v>
      </c>
      <c r="D1743" t="s">
        <v>110</v>
      </c>
      <c r="E1743" t="s">
        <v>111</v>
      </c>
      <c r="F1743">
        <v>43740</v>
      </c>
      <c r="G1743">
        <v>5516144.3700000001</v>
      </c>
      <c r="H1743">
        <v>155688</v>
      </c>
      <c r="I1743">
        <v>1.55196616472923</v>
      </c>
      <c r="J1743">
        <v>12523693.01</v>
      </c>
      <c r="K1743">
        <v>1.52543057542965</v>
      </c>
      <c r="L1743">
        <v>99714</v>
      </c>
      <c r="M1743">
        <v>1.9879856398670499</v>
      </c>
      <c r="N1743">
        <v>90.457896483944097</v>
      </c>
      <c r="O1743">
        <v>9019918.6899999995</v>
      </c>
      <c r="P1743">
        <v>1.7919120213983799</v>
      </c>
      <c r="Q1743">
        <v>55974</v>
      </c>
      <c r="R1743">
        <v>1.1159466895914201</v>
      </c>
      <c r="S1743">
        <v>62.596461214135097</v>
      </c>
      <c r="T1743">
        <v>3503774.32</v>
      </c>
      <c r="U1743">
        <v>1.10311466124639</v>
      </c>
      <c r="V1743">
        <v>1375</v>
      </c>
      <c r="W1743">
        <v>1.80498306597705</v>
      </c>
    </row>
    <row r="1744" spans="1:23" hidden="1" x14ac:dyDescent="0.25">
      <c r="A1744" t="s">
        <v>182</v>
      </c>
      <c r="B1744">
        <v>1</v>
      </c>
      <c r="C1744">
        <v>2026</v>
      </c>
      <c r="D1744" t="s">
        <v>112</v>
      </c>
      <c r="E1744" t="s">
        <v>113</v>
      </c>
      <c r="F1744">
        <v>-4095</v>
      </c>
      <c r="G1744">
        <v>278270.36</v>
      </c>
      <c r="H1744">
        <v>7967</v>
      </c>
      <c r="I1744">
        <v>7.9418545002812105E-2</v>
      </c>
      <c r="J1744">
        <v>1043278.54</v>
      </c>
      <c r="K1744">
        <v>0.12707505544369799</v>
      </c>
      <c r="L1744">
        <v>1936</v>
      </c>
      <c r="M1744">
        <v>3.8597791672008101E-2</v>
      </c>
      <c r="N1744">
        <v>341.30911673553697</v>
      </c>
      <c r="O1744">
        <v>660774.44999999995</v>
      </c>
      <c r="P1744">
        <v>0.13127054922353201</v>
      </c>
      <c r="Q1744">
        <v>6031</v>
      </c>
      <c r="R1744">
        <v>0.120239298333616</v>
      </c>
      <c r="S1744">
        <v>63.422996186370398</v>
      </c>
      <c r="T1744">
        <v>382504.09</v>
      </c>
      <c r="U1744">
        <v>0.120426098010133</v>
      </c>
      <c r="V1744">
        <v>103</v>
      </c>
      <c r="W1744">
        <v>0.13520964057864501</v>
      </c>
    </row>
    <row r="1745" spans="1:23" hidden="1" x14ac:dyDescent="0.25">
      <c r="A1745" t="s">
        <v>182</v>
      </c>
      <c r="B1745">
        <v>1</v>
      </c>
      <c r="C1745">
        <v>2026</v>
      </c>
      <c r="D1745" t="s">
        <v>167</v>
      </c>
      <c r="E1745" t="s">
        <v>168</v>
      </c>
      <c r="F1745">
        <v>-665</v>
      </c>
      <c r="G1745">
        <v>-25289.23</v>
      </c>
      <c r="H1745">
        <v>3335</v>
      </c>
      <c r="I1745">
        <v>3.32447405026206E-2</v>
      </c>
      <c r="J1745">
        <v>226724.77</v>
      </c>
      <c r="K1745">
        <v>2.7615887429458301E-2</v>
      </c>
      <c r="L1745">
        <v>1335</v>
      </c>
      <c r="M1745">
        <v>2.6615729277960101E-2</v>
      </c>
      <c r="N1745">
        <v>75.444022471910102</v>
      </c>
      <c r="O1745">
        <v>100717.77</v>
      </c>
      <c r="P1745">
        <v>2.0008759395084699E-2</v>
      </c>
      <c r="Q1745">
        <v>2000</v>
      </c>
      <c r="R1745">
        <v>3.9873751727281102E-2</v>
      </c>
      <c r="S1745">
        <v>63.003500000000003</v>
      </c>
      <c r="T1745">
        <v>126007</v>
      </c>
      <c r="U1745">
        <v>3.9671553138066598E-2</v>
      </c>
      <c r="V1745">
        <v>26</v>
      </c>
      <c r="W1745">
        <v>3.4130588883929697E-2</v>
      </c>
    </row>
    <row r="1746" spans="1:23" hidden="1" x14ac:dyDescent="0.25">
      <c r="A1746" t="s">
        <v>182</v>
      </c>
      <c r="B1746">
        <v>1</v>
      </c>
      <c r="C1746">
        <v>2026</v>
      </c>
      <c r="D1746" t="s">
        <v>169</v>
      </c>
      <c r="E1746" t="s">
        <v>170</v>
      </c>
      <c r="F1746">
        <v>-695</v>
      </c>
      <c r="G1746">
        <v>-44755.17</v>
      </c>
      <c r="H1746">
        <v>2457</v>
      </c>
      <c r="I1746">
        <v>2.4492451998482399E-2</v>
      </c>
      <c r="J1746">
        <v>154691.87</v>
      </c>
      <c r="K1746">
        <v>1.8842022722847601E-2</v>
      </c>
      <c r="L1746">
        <v>881</v>
      </c>
      <c r="M1746">
        <v>1.7564387635867301E-2</v>
      </c>
      <c r="N1746">
        <v>62.393132803632199</v>
      </c>
      <c r="O1746">
        <v>54968.35</v>
      </c>
      <c r="P1746">
        <v>1.0920103666858401E-2</v>
      </c>
      <c r="Q1746">
        <v>1576</v>
      </c>
      <c r="R1746">
        <v>3.1420516361097502E-2</v>
      </c>
      <c r="S1746">
        <v>63.276345177665</v>
      </c>
      <c r="T1746">
        <v>99723.520000000004</v>
      </c>
      <c r="U1746">
        <v>3.1396564657479697E-2</v>
      </c>
      <c r="V1746">
        <v>4</v>
      </c>
      <c r="W1746">
        <v>5.25085982829688E-3</v>
      </c>
    </row>
    <row r="1747" spans="1:23" hidden="1" x14ac:dyDescent="0.25">
      <c r="A1747" t="s">
        <v>182</v>
      </c>
      <c r="B1747">
        <v>1</v>
      </c>
      <c r="C1747">
        <v>2026</v>
      </c>
      <c r="D1747" t="s">
        <v>163</v>
      </c>
      <c r="E1747" t="s">
        <v>164</v>
      </c>
      <c r="F1747">
        <v>11492</v>
      </c>
      <c r="G1747">
        <v>794097.44</v>
      </c>
      <c r="H1747">
        <v>11732</v>
      </c>
      <c r="I1747">
        <v>0.11694971381611501</v>
      </c>
      <c r="J1747">
        <v>808828.64</v>
      </c>
      <c r="K1747">
        <v>9.8518219566225099E-2</v>
      </c>
      <c r="L1747">
        <v>11612</v>
      </c>
      <c r="M1747">
        <v>0.23150700252859399</v>
      </c>
      <c r="N1747">
        <v>69.020241129865695</v>
      </c>
      <c r="O1747">
        <v>801463.04</v>
      </c>
      <c r="P1747">
        <v>0.159219978077484</v>
      </c>
      <c r="Q1747">
        <v>120</v>
      </c>
      <c r="R1747">
        <v>2.3924251036368601E-3</v>
      </c>
      <c r="S1747">
        <v>61.38</v>
      </c>
      <c r="T1747">
        <v>7365.6</v>
      </c>
      <c r="U1747">
        <v>2.3189568182223502E-3</v>
      </c>
      <c r="V1747">
        <v>33</v>
      </c>
      <c r="W1747">
        <v>4.3319593583449299E-2</v>
      </c>
    </row>
    <row r="1748" spans="1:23" hidden="1" x14ac:dyDescent="0.25">
      <c r="A1748" t="s">
        <v>182</v>
      </c>
      <c r="B1748">
        <v>1</v>
      </c>
      <c r="C1748">
        <v>2026</v>
      </c>
      <c r="D1748" t="s">
        <v>116</v>
      </c>
      <c r="E1748" t="s">
        <v>117</v>
      </c>
      <c r="F1748">
        <v>13537</v>
      </c>
      <c r="G1748">
        <v>1322978.6000000001</v>
      </c>
      <c r="H1748">
        <v>22849</v>
      </c>
      <c r="I1748">
        <v>0.227768838304161</v>
      </c>
      <c r="J1748">
        <v>1905627.08</v>
      </c>
      <c r="K1748">
        <v>0.232112190140528</v>
      </c>
      <c r="L1748">
        <v>18193</v>
      </c>
      <c r="M1748">
        <v>0.36271158258721198</v>
      </c>
      <c r="N1748">
        <v>88.732085967130203</v>
      </c>
      <c r="O1748">
        <v>1614302.84</v>
      </c>
      <c r="P1748">
        <v>0.32070008218372797</v>
      </c>
      <c r="Q1748">
        <v>4656</v>
      </c>
      <c r="R1748">
        <v>9.2826094021110403E-2</v>
      </c>
      <c r="S1748">
        <v>62.569639175257699</v>
      </c>
      <c r="T1748">
        <v>291324.24</v>
      </c>
      <c r="U1748">
        <v>9.1719389141610194E-2</v>
      </c>
      <c r="V1748">
        <v>683</v>
      </c>
      <c r="W1748">
        <v>0.89658431568169294</v>
      </c>
    </row>
    <row r="1749" spans="1:23" hidden="1" x14ac:dyDescent="0.25">
      <c r="A1749" t="s">
        <v>182</v>
      </c>
      <c r="B1749">
        <v>1</v>
      </c>
      <c r="C1749">
        <v>2026</v>
      </c>
      <c r="D1749" t="s">
        <v>191</v>
      </c>
      <c r="E1749" t="s">
        <v>192</v>
      </c>
      <c r="F1749">
        <v>-8049</v>
      </c>
      <c r="G1749">
        <v>-508012.13</v>
      </c>
      <c r="H1749">
        <v>11033</v>
      </c>
      <c r="I1749">
        <v>0.109981775701773</v>
      </c>
      <c r="J1749">
        <v>686992.45</v>
      </c>
      <c r="K1749">
        <v>8.3678136112290594E-2</v>
      </c>
      <c r="L1749">
        <v>1492</v>
      </c>
      <c r="M1749">
        <v>2.97458187885517E-2</v>
      </c>
      <c r="N1749">
        <v>59.98</v>
      </c>
      <c r="O1749">
        <v>89490.16</v>
      </c>
      <c r="P1749">
        <v>1.7778263752936799E-2</v>
      </c>
      <c r="Q1749">
        <v>9541</v>
      </c>
      <c r="R1749">
        <v>0.190217732614994</v>
      </c>
      <c r="S1749">
        <v>62.624702861335301</v>
      </c>
      <c r="T1749">
        <v>597502.29</v>
      </c>
      <c r="U1749">
        <v>0.18811529397455301</v>
      </c>
      <c r="V1749">
        <v>41</v>
      </c>
      <c r="W1749">
        <v>5.3821313240043099E-2</v>
      </c>
    </row>
    <row r="1750" spans="1:23" hidden="1" x14ac:dyDescent="0.25">
      <c r="A1750" t="s">
        <v>182</v>
      </c>
      <c r="B1750">
        <v>1</v>
      </c>
      <c r="C1750">
        <v>2026</v>
      </c>
      <c r="D1750" t="s">
        <v>118</v>
      </c>
      <c r="E1750" t="s">
        <v>119</v>
      </c>
      <c r="F1750">
        <v>9129</v>
      </c>
      <c r="G1750">
        <v>1938739.17</v>
      </c>
      <c r="H1750">
        <v>83405</v>
      </c>
      <c r="I1750">
        <v>0.83141756570347003</v>
      </c>
      <c r="J1750">
        <v>6666628.9900000002</v>
      </c>
      <c r="K1750">
        <v>0.81201924131096703</v>
      </c>
      <c r="L1750">
        <v>46267</v>
      </c>
      <c r="M1750">
        <v>0.92241943558305695</v>
      </c>
      <c r="N1750">
        <v>92.9968245185554</v>
      </c>
      <c r="O1750">
        <v>4302684.08</v>
      </c>
      <c r="P1750">
        <v>0.85477836244568595</v>
      </c>
      <c r="Q1750">
        <v>37138</v>
      </c>
      <c r="R1750">
        <v>0.740415695823882</v>
      </c>
      <c r="S1750">
        <v>63.652994506973997</v>
      </c>
      <c r="T1750">
        <v>2363944.91</v>
      </c>
      <c r="U1750">
        <v>0.74425520893702102</v>
      </c>
      <c r="V1750">
        <v>627</v>
      </c>
      <c r="W1750">
        <v>0.82307227808553696</v>
      </c>
    </row>
    <row r="1751" spans="1:23" hidden="1" x14ac:dyDescent="0.25">
      <c r="A1751" t="s">
        <v>182</v>
      </c>
      <c r="B1751">
        <v>1</v>
      </c>
      <c r="C1751">
        <v>2026</v>
      </c>
      <c r="D1751" t="s">
        <v>120</v>
      </c>
      <c r="E1751" t="s">
        <v>121</v>
      </c>
      <c r="F1751">
        <v>-974</v>
      </c>
      <c r="G1751">
        <v>620194.11999999895</v>
      </c>
      <c r="H1751">
        <v>57968</v>
      </c>
      <c r="I1751">
        <v>0.57785041003175797</v>
      </c>
      <c r="J1751">
        <v>4483454.0199999996</v>
      </c>
      <c r="K1751">
        <v>0.54610072605420401</v>
      </c>
      <c r="L1751">
        <v>28497</v>
      </c>
      <c r="M1751">
        <v>0.56814115148616495</v>
      </c>
      <c r="N1751">
        <v>89.547112678527498</v>
      </c>
      <c r="O1751">
        <v>2551824.0699999998</v>
      </c>
      <c r="P1751">
        <v>0.50694960616399298</v>
      </c>
      <c r="Q1751">
        <v>29471</v>
      </c>
      <c r="R1751">
        <v>0.58755966857734998</v>
      </c>
      <c r="S1751">
        <v>65.543413864477003</v>
      </c>
      <c r="T1751">
        <v>1931629.95</v>
      </c>
      <c r="U1751">
        <v>0.60814685060755402</v>
      </c>
      <c r="V1751">
        <v>178</v>
      </c>
      <c r="W1751">
        <v>0.233663262359211</v>
      </c>
    </row>
    <row r="1752" spans="1:23" hidden="1" x14ac:dyDescent="0.25">
      <c r="A1752" t="s">
        <v>182</v>
      </c>
      <c r="B1752">
        <v>1</v>
      </c>
      <c r="C1752">
        <v>2026</v>
      </c>
      <c r="D1752" t="s">
        <v>122</v>
      </c>
      <c r="E1752" t="s">
        <v>123</v>
      </c>
      <c r="F1752">
        <v>-472036</v>
      </c>
      <c r="G1752">
        <v>6468426.7699999996</v>
      </c>
      <c r="H1752">
        <v>2264002</v>
      </c>
      <c r="I1752">
        <v>22.568563414517001</v>
      </c>
      <c r="J1752">
        <v>179969932.81</v>
      </c>
      <c r="K1752">
        <v>21.920981131299101</v>
      </c>
      <c r="L1752">
        <v>895983</v>
      </c>
      <c r="M1752">
        <v>17.863101846932199</v>
      </c>
      <c r="N1752">
        <v>104.041237155169</v>
      </c>
      <c r="O1752">
        <v>93219179.790000007</v>
      </c>
      <c r="P1752">
        <v>18.5190770151608</v>
      </c>
      <c r="Q1752">
        <v>1368019</v>
      </c>
      <c r="R1752">
        <v>27.2740249821017</v>
      </c>
      <c r="S1752">
        <v>63.413412401435899</v>
      </c>
      <c r="T1752">
        <v>86750753.019999996</v>
      </c>
      <c r="U1752">
        <v>27.312269224727402</v>
      </c>
      <c r="V1752">
        <v>17937</v>
      </c>
      <c r="W1752">
        <v>23.546168185040301</v>
      </c>
    </row>
    <row r="1753" spans="1:23" hidden="1" x14ac:dyDescent="0.25">
      <c r="A1753" t="s">
        <v>182</v>
      </c>
      <c r="B1753">
        <v>1</v>
      </c>
      <c r="C1753">
        <v>2026</v>
      </c>
      <c r="D1753" t="s">
        <v>124</v>
      </c>
      <c r="E1753" t="s">
        <v>125</v>
      </c>
      <c r="F1753">
        <v>3217</v>
      </c>
      <c r="G1753">
        <v>5794510.2400000002</v>
      </c>
      <c r="H1753">
        <v>212855</v>
      </c>
      <c r="I1753">
        <v>2.1218318559776002</v>
      </c>
      <c r="J1753">
        <v>19039459.140000001</v>
      </c>
      <c r="K1753">
        <v>2.3190741811228301</v>
      </c>
      <c r="L1753">
        <v>108036</v>
      </c>
      <c r="M1753">
        <v>2.15390032080427</v>
      </c>
      <c r="N1753">
        <v>114.933769206561</v>
      </c>
      <c r="O1753">
        <v>12416984.689999999</v>
      </c>
      <c r="P1753">
        <v>2.4667787926068998</v>
      </c>
      <c r="Q1753">
        <v>104819</v>
      </c>
      <c r="R1753">
        <v>2.0897633911509401</v>
      </c>
      <c r="S1753">
        <v>63.180095688758698</v>
      </c>
      <c r="T1753">
        <v>6622474.4500000002</v>
      </c>
      <c r="U1753">
        <v>2.08499406420805</v>
      </c>
      <c r="V1753">
        <v>805</v>
      </c>
      <c r="W1753">
        <v>1.05673554044475</v>
      </c>
    </row>
    <row r="1754" spans="1:23" hidden="1" x14ac:dyDescent="0.25">
      <c r="A1754" t="s">
        <v>182</v>
      </c>
      <c r="B1754">
        <v>1</v>
      </c>
      <c r="C1754">
        <v>2026</v>
      </c>
      <c r="D1754" t="s">
        <v>126</v>
      </c>
      <c r="E1754" t="s">
        <v>127</v>
      </c>
      <c r="F1754">
        <v>360</v>
      </c>
      <c r="G1754">
        <v>2381063.5</v>
      </c>
      <c r="H1754">
        <v>150664</v>
      </c>
      <c r="I1754">
        <v>1.50188473255977</v>
      </c>
      <c r="J1754">
        <v>11849949.279999999</v>
      </c>
      <c r="K1754">
        <v>1.4433661807718301</v>
      </c>
      <c r="L1754">
        <v>75512</v>
      </c>
      <c r="M1754">
        <v>1.5054733702152201</v>
      </c>
      <c r="N1754">
        <v>94.230140772327601</v>
      </c>
      <c r="O1754">
        <v>7115506.3899999997</v>
      </c>
      <c r="P1754">
        <v>1.4135783122650301</v>
      </c>
      <c r="Q1754">
        <v>75152</v>
      </c>
      <c r="R1754">
        <v>1.49829609490431</v>
      </c>
      <c r="S1754">
        <v>62.998228789652998</v>
      </c>
      <c r="T1754">
        <v>4734442.8899999997</v>
      </c>
      <c r="U1754">
        <v>1.4905735609115101</v>
      </c>
      <c r="V1754">
        <v>1672</v>
      </c>
      <c r="W1754">
        <v>2.1948594082280999</v>
      </c>
    </row>
    <row r="1755" spans="1:23" hidden="1" x14ac:dyDescent="0.25">
      <c r="A1755" t="s">
        <v>182</v>
      </c>
      <c r="B1755">
        <v>1</v>
      </c>
      <c r="C1755">
        <v>2026</v>
      </c>
      <c r="D1755" t="s">
        <v>128</v>
      </c>
      <c r="E1755" t="s">
        <v>129</v>
      </c>
      <c r="F1755">
        <v>-248</v>
      </c>
      <c r="G1755">
        <v>-15130.64</v>
      </c>
      <c r="H1755">
        <v>1068</v>
      </c>
      <c r="I1755">
        <v>1.0646291711183999E-2</v>
      </c>
      <c r="J1755">
        <v>64790.04</v>
      </c>
      <c r="K1755">
        <v>7.8916584685039103E-3</v>
      </c>
      <c r="L1755">
        <v>410</v>
      </c>
      <c r="M1755">
        <v>8.1741191040926205E-3</v>
      </c>
      <c r="N1755">
        <v>60.560243902438998</v>
      </c>
      <c r="O1755">
        <v>24829.7</v>
      </c>
      <c r="P1755">
        <v>4.9327094230951904E-3</v>
      </c>
      <c r="Q1755">
        <v>658</v>
      </c>
      <c r="R1755">
        <v>1.31184643182755E-2</v>
      </c>
      <c r="S1755">
        <v>60.73</v>
      </c>
      <c r="T1755">
        <v>39960.339999999997</v>
      </c>
      <c r="U1755">
        <v>1.25809578176229E-2</v>
      </c>
      <c r="V1755">
        <v>7</v>
      </c>
      <c r="W1755">
        <v>9.1890046995195505E-3</v>
      </c>
    </row>
    <row r="1756" spans="1:23" hidden="1" x14ac:dyDescent="0.25">
      <c r="A1756" t="s">
        <v>182</v>
      </c>
      <c r="B1756">
        <v>1</v>
      </c>
      <c r="C1756">
        <v>2026</v>
      </c>
      <c r="D1756" t="s">
        <v>175</v>
      </c>
      <c r="E1756" t="s">
        <v>176</v>
      </c>
      <c r="F1756">
        <v>28858</v>
      </c>
      <c r="G1756">
        <v>4881474.62</v>
      </c>
      <c r="H1756">
        <v>388046</v>
      </c>
      <c r="I1756">
        <v>3.8682124656911299</v>
      </c>
      <c r="J1756">
        <v>27669934.32</v>
      </c>
      <c r="K1756">
        <v>3.3702969082805798</v>
      </c>
      <c r="L1756">
        <v>208452</v>
      </c>
      <c r="M1756">
        <v>4.1558816475276004</v>
      </c>
      <c r="N1756">
        <v>78.078907710168295</v>
      </c>
      <c r="O1756">
        <v>16275704.470000001</v>
      </c>
      <c r="P1756">
        <v>3.2333584701660301</v>
      </c>
      <c r="Q1756">
        <v>179594</v>
      </c>
      <c r="R1756">
        <v>3.5805432838546598</v>
      </c>
      <c r="S1756">
        <v>63.4443792665679</v>
      </c>
      <c r="T1756">
        <v>11394229.85</v>
      </c>
      <c r="U1756">
        <v>3.5873149504521198</v>
      </c>
      <c r="V1756">
        <v>1310</v>
      </c>
      <c r="W1756">
        <v>1.7196565937672299</v>
      </c>
    </row>
    <row r="1757" spans="1:23" hidden="1" x14ac:dyDescent="0.25">
      <c r="A1757" t="s">
        <v>182</v>
      </c>
      <c r="B1757">
        <v>1</v>
      </c>
      <c r="C1757">
        <v>2026</v>
      </c>
      <c r="D1757" t="s">
        <v>130</v>
      </c>
      <c r="E1757" t="s">
        <v>131</v>
      </c>
      <c r="F1757">
        <v>27603</v>
      </c>
      <c r="G1757">
        <v>7289704.9299999997</v>
      </c>
      <c r="H1757">
        <v>239107</v>
      </c>
      <c r="I1757">
        <v>2.3835232885637501</v>
      </c>
      <c r="J1757">
        <v>20651231.370000001</v>
      </c>
      <c r="K1757">
        <v>2.5153938001287601</v>
      </c>
      <c r="L1757">
        <v>133355</v>
      </c>
      <c r="M1757">
        <v>2.6586820807957801</v>
      </c>
      <c r="N1757">
        <v>104.76148738329999</v>
      </c>
      <c r="O1757">
        <v>13970468.15</v>
      </c>
      <c r="P1757">
        <v>2.77539639579037</v>
      </c>
      <c r="Q1757">
        <v>105752</v>
      </c>
      <c r="R1757">
        <v>2.1083644963317099</v>
      </c>
      <c r="S1757">
        <v>63.173871132460803</v>
      </c>
      <c r="T1757">
        <v>6680763.2199999997</v>
      </c>
      <c r="U1757">
        <v>2.1033454735456898</v>
      </c>
      <c r="V1757">
        <v>1502</v>
      </c>
      <c r="W1757">
        <v>1.97169786552548</v>
      </c>
    </row>
    <row r="1758" spans="1:23" hidden="1" x14ac:dyDescent="0.25">
      <c r="A1758" t="s">
        <v>182</v>
      </c>
      <c r="B1758">
        <v>1</v>
      </c>
      <c r="C1758">
        <v>2026</v>
      </c>
      <c r="D1758" t="s">
        <v>132</v>
      </c>
      <c r="E1758" t="s">
        <v>133</v>
      </c>
      <c r="F1758">
        <v>3324</v>
      </c>
      <c r="G1758">
        <v>1010323.93</v>
      </c>
      <c r="H1758">
        <v>26302</v>
      </c>
      <c r="I1758">
        <v>0.26218985448273702</v>
      </c>
      <c r="J1758">
        <v>2447316.21</v>
      </c>
      <c r="K1758">
        <v>0.29809186247999497</v>
      </c>
      <c r="L1758">
        <v>14813</v>
      </c>
      <c r="M1758">
        <v>0.29532494216810701</v>
      </c>
      <c r="N1758">
        <v>116.709651657328</v>
      </c>
      <c r="O1758">
        <v>1728820.07</v>
      </c>
      <c r="P1758">
        <v>0.34345026521162503</v>
      </c>
      <c r="Q1758">
        <v>11489</v>
      </c>
      <c r="R1758">
        <v>0.229054766797366</v>
      </c>
      <c r="S1758">
        <v>62.537743928975502</v>
      </c>
      <c r="T1758">
        <v>718496.14</v>
      </c>
      <c r="U1758">
        <v>0.226208526490637</v>
      </c>
      <c r="V1758">
        <v>572</v>
      </c>
      <c r="W1758">
        <v>0.75087295544645405</v>
      </c>
    </row>
    <row r="1759" spans="1:23" hidden="1" x14ac:dyDescent="0.25">
      <c r="A1759" t="s">
        <v>182</v>
      </c>
      <c r="B1759">
        <v>1</v>
      </c>
      <c r="C1759">
        <v>2026</v>
      </c>
      <c r="D1759" t="s">
        <v>134</v>
      </c>
      <c r="E1759" t="s">
        <v>135</v>
      </c>
      <c r="F1759">
        <v>-16313</v>
      </c>
      <c r="G1759">
        <v>262356.25</v>
      </c>
      <c r="H1759">
        <v>48607</v>
      </c>
      <c r="I1759">
        <v>0.48453586255198799</v>
      </c>
      <c r="J1759">
        <v>4344368.79</v>
      </c>
      <c r="K1759">
        <v>0.52915964787037695</v>
      </c>
      <c r="L1759">
        <v>16147</v>
      </c>
      <c r="M1759">
        <v>0.32192073457020398</v>
      </c>
      <c r="N1759">
        <v>142.649564625008</v>
      </c>
      <c r="O1759">
        <v>2303362.52</v>
      </c>
      <c r="P1759">
        <v>0.457589822156864</v>
      </c>
      <c r="Q1759">
        <v>32460</v>
      </c>
      <c r="R1759">
        <v>0.64715099053377201</v>
      </c>
      <c r="S1759">
        <v>62.877580714725802</v>
      </c>
      <c r="T1759">
        <v>2041006.27</v>
      </c>
      <c r="U1759">
        <v>0.64258246522361595</v>
      </c>
      <c r="V1759">
        <v>453</v>
      </c>
      <c r="W1759">
        <v>0.59465987555462196</v>
      </c>
    </row>
    <row r="1760" spans="1:23" hidden="1" x14ac:dyDescent="0.25">
      <c r="A1760" t="s">
        <v>182</v>
      </c>
      <c r="B1760">
        <v>1</v>
      </c>
      <c r="C1760">
        <v>2026</v>
      </c>
      <c r="D1760" t="s">
        <v>177</v>
      </c>
      <c r="E1760" t="s">
        <v>178</v>
      </c>
      <c r="F1760">
        <v>3220</v>
      </c>
      <c r="G1760">
        <v>205223.52</v>
      </c>
      <c r="H1760">
        <v>3220</v>
      </c>
      <c r="I1760">
        <v>3.2098370140461303E-2</v>
      </c>
      <c r="J1760">
        <v>205223.52</v>
      </c>
      <c r="K1760">
        <v>2.4996958321744901E-2</v>
      </c>
      <c r="L1760">
        <v>3220</v>
      </c>
      <c r="M1760">
        <v>6.4196740280922496E-2</v>
      </c>
      <c r="N1760">
        <v>63.734012422360301</v>
      </c>
      <c r="O1760">
        <v>205223.52</v>
      </c>
      <c r="P1760">
        <v>4.0770045185594801E-2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17</v>
      </c>
      <c r="W1760">
        <v>2.23161542702618E-2</v>
      </c>
    </row>
    <row r="1761" spans="1:23" hidden="1" x14ac:dyDescent="0.25">
      <c r="A1761" t="s">
        <v>182</v>
      </c>
      <c r="B1761">
        <v>1</v>
      </c>
      <c r="C1761">
        <v>2026</v>
      </c>
      <c r="D1761" t="s">
        <v>136</v>
      </c>
      <c r="E1761" t="s">
        <v>137</v>
      </c>
      <c r="F1761">
        <v>-5865</v>
      </c>
      <c r="G1761">
        <v>130135.73</v>
      </c>
      <c r="H1761">
        <v>47589</v>
      </c>
      <c r="I1761">
        <v>0.47438799273739501</v>
      </c>
      <c r="J1761">
        <v>3562897.49</v>
      </c>
      <c r="K1761">
        <v>0.433973650106866</v>
      </c>
      <c r="L1761">
        <v>20862</v>
      </c>
      <c r="M1761">
        <v>0.41592310426726897</v>
      </c>
      <c r="N1761">
        <v>88.511006135557494</v>
      </c>
      <c r="O1761">
        <v>1846516.61</v>
      </c>
      <c r="P1761">
        <v>0.36683205524226098</v>
      </c>
      <c r="Q1761">
        <v>26727</v>
      </c>
      <c r="R1761">
        <v>0.53285288120752095</v>
      </c>
      <c r="S1761">
        <v>64.218987540689199</v>
      </c>
      <c r="T1761">
        <v>1716380.88</v>
      </c>
      <c r="U1761">
        <v>0.54037867170936205</v>
      </c>
      <c r="V1761">
        <v>224</v>
      </c>
      <c r="W1761">
        <v>0.29404815038462501</v>
      </c>
    </row>
    <row r="1762" spans="1:23" hidden="1" x14ac:dyDescent="0.25">
      <c r="A1762" t="s">
        <v>182</v>
      </c>
      <c r="B1762">
        <v>1</v>
      </c>
      <c r="C1762">
        <v>2026</v>
      </c>
      <c r="D1762" t="s">
        <v>138</v>
      </c>
      <c r="E1762" t="s">
        <v>139</v>
      </c>
      <c r="F1762">
        <v>41936</v>
      </c>
      <c r="G1762">
        <v>2939365.73</v>
      </c>
      <c r="H1762">
        <v>65040</v>
      </c>
      <c r="I1762">
        <v>0.64834720308559002</v>
      </c>
      <c r="J1762">
        <v>4439113.3499999996</v>
      </c>
      <c r="K1762">
        <v>0.540699873949395</v>
      </c>
      <c r="L1762">
        <v>53488</v>
      </c>
      <c r="M1762">
        <v>1.06638361619441</v>
      </c>
      <c r="N1762">
        <v>68.973219039784595</v>
      </c>
      <c r="O1762">
        <v>3689239.54</v>
      </c>
      <c r="P1762">
        <v>0.73291045171763403</v>
      </c>
      <c r="Q1762">
        <v>11552</v>
      </c>
      <c r="R1762">
        <v>0.23031078997677601</v>
      </c>
      <c r="S1762">
        <v>64.912899065096994</v>
      </c>
      <c r="T1762">
        <v>749873.81</v>
      </c>
      <c r="U1762">
        <v>0.23608734991119101</v>
      </c>
      <c r="V1762">
        <v>270</v>
      </c>
      <c r="W1762">
        <v>0.35443303841003998</v>
      </c>
    </row>
    <row r="1763" spans="1:23" hidden="1" x14ac:dyDescent="0.25">
      <c r="A1763" t="s">
        <v>182</v>
      </c>
      <c r="B1763">
        <v>1</v>
      </c>
      <c r="C1763">
        <v>2026</v>
      </c>
      <c r="D1763" t="s">
        <v>140</v>
      </c>
      <c r="E1763" t="s">
        <v>141</v>
      </c>
      <c r="F1763">
        <v>1017</v>
      </c>
      <c r="G1763">
        <v>61976.55</v>
      </c>
      <c r="H1763">
        <v>1017</v>
      </c>
      <c r="I1763">
        <v>1.01379013766612E-2</v>
      </c>
      <c r="J1763">
        <v>61976.55</v>
      </c>
      <c r="K1763">
        <v>7.54896532948824E-3</v>
      </c>
      <c r="L1763">
        <v>1017</v>
      </c>
      <c r="M1763">
        <v>2.02758027533224E-2</v>
      </c>
      <c r="N1763">
        <v>60.940560471976397</v>
      </c>
      <c r="O1763">
        <v>61976.55</v>
      </c>
      <c r="P1763">
        <v>1.2312364313541E-2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4</v>
      </c>
      <c r="W1763">
        <v>5.25085982829688E-3</v>
      </c>
    </row>
    <row r="1764" spans="1:23" hidden="1" x14ac:dyDescent="0.25">
      <c r="A1764" t="s">
        <v>182</v>
      </c>
      <c r="B1764">
        <v>1</v>
      </c>
      <c r="C1764">
        <v>2026</v>
      </c>
      <c r="D1764" t="s">
        <v>142</v>
      </c>
      <c r="E1764" t="s">
        <v>143</v>
      </c>
      <c r="F1764">
        <v>299499</v>
      </c>
      <c r="G1764">
        <v>27904549.27</v>
      </c>
      <c r="H1764">
        <v>511081</v>
      </c>
      <c r="I1764">
        <v>5.0946792266326399</v>
      </c>
      <c r="J1764">
        <v>41243193.829999998</v>
      </c>
      <c r="K1764">
        <v>5.02356843515867</v>
      </c>
      <c r="L1764">
        <v>405290</v>
      </c>
      <c r="M1764">
        <v>8.0802164187748797</v>
      </c>
      <c r="N1764">
        <v>85.306500407115905</v>
      </c>
      <c r="O1764">
        <v>34573871.549999997</v>
      </c>
      <c r="P1764">
        <v>6.86850272003156</v>
      </c>
      <c r="Q1764">
        <v>105791</v>
      </c>
      <c r="R1764">
        <v>2.1091420344904002</v>
      </c>
      <c r="S1764">
        <v>63.042435367847901</v>
      </c>
      <c r="T1764">
        <v>6669322.2800000003</v>
      </c>
      <c r="U1764">
        <v>2.0997434525535201</v>
      </c>
      <c r="V1764">
        <v>6010</v>
      </c>
      <c r="W1764">
        <v>7.8894168920160697</v>
      </c>
    </row>
    <row r="1765" spans="1:23" hidden="1" x14ac:dyDescent="0.25">
      <c r="A1765" t="s">
        <v>182</v>
      </c>
      <c r="B1765">
        <v>1</v>
      </c>
      <c r="C1765">
        <v>2026</v>
      </c>
      <c r="D1765" t="s">
        <v>144</v>
      </c>
      <c r="E1765" t="s">
        <v>145</v>
      </c>
      <c r="F1765">
        <v>-256983</v>
      </c>
      <c r="G1765">
        <v>5133285.57</v>
      </c>
      <c r="H1765">
        <v>914243</v>
      </c>
      <c r="I1765">
        <v>9.1135746001011597</v>
      </c>
      <c r="J1765">
        <v>79656230.909999996</v>
      </c>
      <c r="K1765">
        <v>9.7024136615752195</v>
      </c>
      <c r="L1765">
        <v>328630</v>
      </c>
      <c r="M1765">
        <v>6.5518555150681896</v>
      </c>
      <c r="N1765">
        <v>129.00452861881101</v>
      </c>
      <c r="O1765">
        <v>42394758.240000002</v>
      </c>
      <c r="P1765">
        <v>8.4222130537336408</v>
      </c>
      <c r="Q1765">
        <v>585613</v>
      </c>
      <c r="R1765">
        <v>11.6752936851341</v>
      </c>
      <c r="S1765">
        <v>63.628151475462502</v>
      </c>
      <c r="T1765">
        <v>37261472.670000002</v>
      </c>
      <c r="U1765">
        <v>11.7312569383488</v>
      </c>
      <c r="V1765">
        <v>3105</v>
      </c>
      <c r="W1765">
        <v>4.0759799417154596</v>
      </c>
    </row>
    <row r="1766" spans="1:23" hidden="1" x14ac:dyDescent="0.25">
      <c r="A1766" t="s">
        <v>182</v>
      </c>
      <c r="B1766">
        <v>1</v>
      </c>
      <c r="C1766">
        <v>2026</v>
      </c>
      <c r="D1766" t="s">
        <v>165</v>
      </c>
      <c r="E1766" t="s">
        <v>166</v>
      </c>
      <c r="F1766">
        <v>0</v>
      </c>
      <c r="G1766">
        <v>25753</v>
      </c>
      <c r="H1766">
        <v>0</v>
      </c>
      <c r="I1766">
        <v>0</v>
      </c>
      <c r="J1766">
        <v>25753</v>
      </c>
      <c r="K1766">
        <v>3.1368074558895398E-3</v>
      </c>
      <c r="L1766">
        <v>0</v>
      </c>
      <c r="M1766">
        <v>0</v>
      </c>
      <c r="N1766">
        <v>0</v>
      </c>
      <c r="O1766">
        <v>25753</v>
      </c>
      <c r="P1766">
        <v>5.1161337339142403E-3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1</v>
      </c>
      <c r="W1766">
        <v>1.31271495707422E-3</v>
      </c>
    </row>
    <row r="1767" spans="1:23" hidden="1" x14ac:dyDescent="0.25">
      <c r="A1767" t="s">
        <v>182</v>
      </c>
      <c r="B1767">
        <v>1</v>
      </c>
      <c r="C1767">
        <v>2026</v>
      </c>
      <c r="D1767" t="s">
        <v>146</v>
      </c>
      <c r="E1767" t="s">
        <v>147</v>
      </c>
      <c r="F1767">
        <v>19613</v>
      </c>
      <c r="G1767">
        <v>6078878.7300000004</v>
      </c>
      <c r="H1767">
        <v>85209</v>
      </c>
      <c r="I1767">
        <v>0.84940062773247305</v>
      </c>
      <c r="J1767">
        <v>10238628.189999999</v>
      </c>
      <c r="K1767">
        <v>1.24710151223053</v>
      </c>
      <c r="L1767">
        <v>52411</v>
      </c>
      <c r="M1767">
        <v>1.0449116008892601</v>
      </c>
      <c r="N1767">
        <v>155.66872335959999</v>
      </c>
      <c r="O1767">
        <v>8158753.46</v>
      </c>
      <c r="P1767">
        <v>1.62083150714074</v>
      </c>
      <c r="Q1767">
        <v>32798</v>
      </c>
      <c r="R1767">
        <v>0.65388965457568204</v>
      </c>
      <c r="S1767">
        <v>63.414681687907802</v>
      </c>
      <c r="T1767">
        <v>2079874.73</v>
      </c>
      <c r="U1767">
        <v>0.65481965979443202</v>
      </c>
      <c r="V1767">
        <v>583</v>
      </c>
      <c r="W1767">
        <v>0.76531281997427103</v>
      </c>
    </row>
    <row r="1768" spans="1:23" x14ac:dyDescent="0.25">
      <c r="A1768" t="s">
        <v>182</v>
      </c>
      <c r="B1768">
        <v>1</v>
      </c>
      <c r="C1768">
        <v>2026</v>
      </c>
      <c r="D1768" t="s">
        <v>148</v>
      </c>
      <c r="E1768" t="s">
        <v>148</v>
      </c>
      <c r="F1768">
        <v>0</v>
      </c>
      <c r="G1768">
        <v>185742811.75999999</v>
      </c>
      <c r="H1768">
        <v>10031662</v>
      </c>
      <c r="I1768">
        <v>0</v>
      </c>
      <c r="J1768">
        <v>820993967.98000002</v>
      </c>
      <c r="K1768">
        <v>0</v>
      </c>
      <c r="L1768">
        <v>5015831</v>
      </c>
      <c r="M1768">
        <v>100</v>
      </c>
      <c r="N1768">
        <v>89.547112678527498</v>
      </c>
      <c r="O1768">
        <v>503368389.87</v>
      </c>
      <c r="P1768">
        <v>100</v>
      </c>
      <c r="Q1768">
        <v>5015831</v>
      </c>
      <c r="R1768">
        <v>100</v>
      </c>
      <c r="S1768">
        <v>63.11</v>
      </c>
      <c r="T1768">
        <v>317625578.11000001</v>
      </c>
      <c r="U1768">
        <v>100</v>
      </c>
      <c r="V1768">
        <v>76178</v>
      </c>
      <c r="W1768">
        <v>100</v>
      </c>
    </row>
    <row r="1769" spans="1:23" hidden="1" x14ac:dyDescent="0.25">
      <c r="A1769" t="s">
        <v>182</v>
      </c>
      <c r="B1769">
        <v>1</v>
      </c>
      <c r="C1769">
        <v>2026</v>
      </c>
      <c r="D1769" t="s">
        <v>149</v>
      </c>
      <c r="E1769" t="s">
        <v>150</v>
      </c>
      <c r="F1769">
        <v>72938</v>
      </c>
      <c r="G1769">
        <v>15070853.529999999</v>
      </c>
      <c r="H1769">
        <v>701384</v>
      </c>
      <c r="I1769">
        <v>6.9917028703718298</v>
      </c>
      <c r="J1769">
        <v>54496338.969999999</v>
      </c>
      <c r="K1769">
        <v>6.6378488874996897</v>
      </c>
      <c r="L1769">
        <v>387161</v>
      </c>
      <c r="M1769">
        <v>7.7187807962429398</v>
      </c>
      <c r="N1769">
        <v>89.842717241664303</v>
      </c>
      <c r="O1769">
        <v>34783596.25</v>
      </c>
      <c r="P1769">
        <v>6.9101669771085996</v>
      </c>
      <c r="Q1769">
        <v>314223</v>
      </c>
      <c r="R1769">
        <v>6.2646249445007198</v>
      </c>
      <c r="S1769">
        <v>62.734881660476802</v>
      </c>
      <c r="T1769">
        <v>19712742.719999999</v>
      </c>
      <c r="U1769">
        <v>6.2062831454880802</v>
      </c>
      <c r="V1769">
        <v>5086</v>
      </c>
      <c r="W1769">
        <v>6.6764682716794903</v>
      </c>
    </row>
    <row r="1770" spans="1:23" hidden="1" x14ac:dyDescent="0.25">
      <c r="A1770" t="s">
        <v>182</v>
      </c>
      <c r="B1770">
        <v>1</v>
      </c>
      <c r="C1770">
        <v>2026</v>
      </c>
      <c r="D1770" t="s">
        <v>183</v>
      </c>
      <c r="E1770" t="s">
        <v>184</v>
      </c>
      <c r="F1770">
        <v>3005</v>
      </c>
      <c r="G1770">
        <v>192408.18</v>
      </c>
      <c r="H1770">
        <v>3995</v>
      </c>
      <c r="I1770">
        <v>3.9823909537622E-2</v>
      </c>
      <c r="J1770">
        <v>252693.02</v>
      </c>
      <c r="K1770">
        <v>3.0778913104774E-2</v>
      </c>
      <c r="L1770">
        <v>3500</v>
      </c>
      <c r="M1770">
        <v>6.9779065522741907E-2</v>
      </c>
      <c r="N1770">
        <v>63.585885714285702</v>
      </c>
      <c r="O1770">
        <v>222550.6</v>
      </c>
      <c r="P1770">
        <v>4.42122716639946E-2</v>
      </c>
      <c r="Q1770">
        <v>495</v>
      </c>
      <c r="R1770">
        <v>9.8687535525020693E-3</v>
      </c>
      <c r="S1770">
        <v>60.8937777777778</v>
      </c>
      <c r="T1770">
        <v>30142.42</v>
      </c>
      <c r="U1770">
        <v>9.4899221213101004E-3</v>
      </c>
      <c r="V1770">
        <v>33</v>
      </c>
      <c r="W1770">
        <v>4.3319593583449299E-2</v>
      </c>
    </row>
    <row r="1771" spans="1:23" hidden="1" x14ac:dyDescent="0.25">
      <c r="A1771" t="s">
        <v>182</v>
      </c>
      <c r="B1771">
        <v>1</v>
      </c>
      <c r="C1771">
        <v>2026</v>
      </c>
      <c r="D1771" t="s">
        <v>151</v>
      </c>
      <c r="E1771" t="s">
        <v>152</v>
      </c>
      <c r="F1771">
        <v>-8801</v>
      </c>
      <c r="G1771">
        <v>19377504.280000001</v>
      </c>
      <c r="H1771">
        <v>798863</v>
      </c>
      <c r="I1771">
        <v>7.9634162315277397</v>
      </c>
      <c r="J1771">
        <v>70285585.120000005</v>
      </c>
      <c r="K1771">
        <v>8.5610355083281409</v>
      </c>
      <c r="L1771">
        <v>395031</v>
      </c>
      <c r="M1771">
        <v>7.87568400928979</v>
      </c>
      <c r="N1771">
        <v>113.488674812863</v>
      </c>
      <c r="O1771">
        <v>44831544.700000003</v>
      </c>
      <c r="P1771">
        <v>8.9063090973150292</v>
      </c>
      <c r="Q1771">
        <v>403832</v>
      </c>
      <c r="R1771">
        <v>8.0511484537656894</v>
      </c>
      <c r="S1771">
        <v>63.031261564214802</v>
      </c>
      <c r="T1771">
        <v>25454040.420000002</v>
      </c>
      <c r="U1771">
        <v>8.0138509535226294</v>
      </c>
      <c r="V1771">
        <v>4465</v>
      </c>
      <c r="W1771">
        <v>5.8612722833364002</v>
      </c>
    </row>
    <row r="1772" spans="1:23" hidden="1" x14ac:dyDescent="0.25">
      <c r="A1772" t="s">
        <v>182</v>
      </c>
      <c r="B1772">
        <v>1</v>
      </c>
      <c r="C1772">
        <v>2026</v>
      </c>
      <c r="D1772" t="s">
        <v>153</v>
      </c>
      <c r="E1772" t="s">
        <v>154</v>
      </c>
      <c r="F1772">
        <v>2697</v>
      </c>
      <c r="G1772">
        <v>775921.73</v>
      </c>
      <c r="H1772">
        <v>32299</v>
      </c>
      <c r="I1772">
        <v>0.32197057675986301</v>
      </c>
      <c r="J1772">
        <v>2642933.9700000002</v>
      </c>
      <c r="K1772">
        <v>0.32191880489728297</v>
      </c>
      <c r="L1772">
        <v>17498</v>
      </c>
      <c r="M1772">
        <v>0.34885545386198202</v>
      </c>
      <c r="N1772">
        <v>97.692756315007401</v>
      </c>
      <c r="O1772">
        <v>1709427.85</v>
      </c>
      <c r="P1772">
        <v>0.339597774592377</v>
      </c>
      <c r="Q1772">
        <v>14801</v>
      </c>
      <c r="R1772">
        <v>0.29508569965774401</v>
      </c>
      <c r="S1772">
        <v>63.070476319167597</v>
      </c>
      <c r="T1772">
        <v>933506.12</v>
      </c>
      <c r="U1772">
        <v>0.29390143122438001</v>
      </c>
      <c r="V1772">
        <v>768</v>
      </c>
      <c r="W1772">
        <v>1.0081650870329999</v>
      </c>
    </row>
    <row r="1773" spans="1:23" hidden="1" x14ac:dyDescent="0.25">
      <c r="A1773" t="s">
        <v>182</v>
      </c>
      <c r="B1773">
        <v>1</v>
      </c>
      <c r="C1773">
        <v>2026</v>
      </c>
      <c r="D1773" t="s">
        <v>155</v>
      </c>
      <c r="E1773" t="s">
        <v>156</v>
      </c>
      <c r="F1773">
        <v>1720</v>
      </c>
      <c r="G1773">
        <v>1761161.19</v>
      </c>
      <c r="H1773">
        <v>2252</v>
      </c>
      <c r="I1773">
        <v>2.24489222224592E-2</v>
      </c>
      <c r="J1773">
        <v>1793409.49</v>
      </c>
      <c r="K1773">
        <v>0.218443686548948</v>
      </c>
      <c r="L1773">
        <v>1986</v>
      </c>
      <c r="M1773">
        <v>3.9594635465190098E-2</v>
      </c>
      <c r="N1773">
        <v>894.90701913393798</v>
      </c>
      <c r="O1773">
        <v>1777285.34</v>
      </c>
      <c r="P1773">
        <v>0.35307845620957701</v>
      </c>
      <c r="Q1773">
        <v>266</v>
      </c>
      <c r="R1773">
        <v>5.3032089797283802E-3</v>
      </c>
      <c r="S1773">
        <v>60.617105263157903</v>
      </c>
      <c r="T1773">
        <v>16124.15</v>
      </c>
      <c r="U1773">
        <v>5.0764645895161097E-3</v>
      </c>
      <c r="V1773">
        <v>142</v>
      </c>
      <c r="W1773">
        <v>0.18640552390453899</v>
      </c>
    </row>
  </sheetData>
  <autoFilter ref="A1:W1773" xr:uid="{00D6178D-06E4-4D3E-B78F-19263D9F2CA6}">
    <filterColumn colId="4">
      <filters>
        <filter val="Totals"/>
      </filters>
    </filterColumn>
  </autoFilter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5583b3fa-365b-4fa2-9885-a560b35483b3}" enabled="1" method="Standard" siteId="{df7f7579-3e9c-4a7e-b844-420280f5385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Graphs</vt:lpstr>
      <vt:lpstr>Price-&gt;&gt;</vt:lpstr>
      <vt:lpstr>Gold</vt:lpstr>
      <vt:lpstr>Silver</vt:lpstr>
      <vt:lpstr>Platium</vt:lpstr>
      <vt:lpstr>Palladium</vt:lpstr>
      <vt:lpstr>Retail Trade-&gt;&gt;</vt:lpstr>
      <vt:lpstr>List of ETFs used</vt:lpstr>
      <vt:lpstr>Commsec</vt:lpstr>
      <vt:lpstr>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Tian</dc:creator>
  <cp:lastModifiedBy>Jason Tian</cp:lastModifiedBy>
  <dcterms:created xsi:type="dcterms:W3CDTF">2026-01-29T02:10:45Z</dcterms:created>
  <dcterms:modified xsi:type="dcterms:W3CDTF">2026-01-29T05:42:53Z</dcterms:modified>
</cp:coreProperties>
</file>